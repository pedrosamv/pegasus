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ropbox\Python\Pegasus\"/>
    </mc:Choice>
  </mc:AlternateContent>
  <bookViews>
    <workbookView xWindow="0" yWindow="0" windowWidth="23040" windowHeight="9072" firstSheet="10" activeTab="14"/>
  </bookViews>
  <sheets>
    <sheet name="mensual" sheetId="3" r:id="rId1"/>
    <sheet name="trimestral" sheetId="1" r:id="rId2"/>
    <sheet name="anual" sheetId="2" r:id="rId3"/>
    <sheet name="serie_pbi" sheetId="4" r:id="rId4"/>
    <sheet name="diaria" sheetId="5" r:id="rId5"/>
    <sheet name="tcn" sheetId="6" r:id="rId6"/>
    <sheet name="reservas" sheetId="7" r:id="rId7"/>
    <sheet name="deuda_25" sheetId="8" r:id="rId8"/>
    <sheet name="desempleo" sheetId="11" r:id="rId9"/>
    <sheet name="deuda_23" sheetId="10" r:id="rId10"/>
    <sheet name="lorenz" sheetId="13" r:id="rId11"/>
    <sheet name="w y desempleo" sheetId="9" r:id="rId12"/>
    <sheet name="cc" sheetId="14" r:id="rId13"/>
    <sheet name="tot" sheetId="15" r:id="rId14"/>
    <sheet name="ied" sheetId="16" r:id="rId15"/>
  </sheets>
  <definedNames>
    <definedName name="_xlnm._FilterDatabase" localSheetId="1" hidden="1">trimestral!$A$1:$E$86</definedName>
    <definedName name="_xlnm._FilterDatabase" localSheetId="11" hidden="1">'w y desempleo'!$A$1:$F$88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O12" i="13" l="1"/>
  <c r="AO11" i="13"/>
  <c r="AO10" i="13"/>
  <c r="AO9" i="13"/>
  <c r="AO8" i="13"/>
  <c r="AO7" i="13"/>
  <c r="AO6" i="13"/>
  <c r="AO5" i="13"/>
  <c r="AO4" i="13"/>
  <c r="AN12" i="13"/>
  <c r="AN10" i="13"/>
  <c r="AN9" i="13"/>
  <c r="AN8" i="13"/>
  <c r="AN7" i="13"/>
  <c r="AN6" i="13"/>
  <c r="AN5" i="13"/>
  <c r="AN4" i="13"/>
  <c r="AM11" i="13"/>
  <c r="AM12" i="13" s="1"/>
  <c r="AM10" i="13"/>
  <c r="AM9" i="13"/>
  <c r="AM8" i="13"/>
  <c r="AM7" i="13"/>
  <c r="AM6" i="13"/>
  <c r="AL6" i="13"/>
  <c r="AL7" i="13"/>
  <c r="AL8" i="13" s="1"/>
  <c r="AL9" i="13" s="1"/>
  <c r="AL10" i="13" s="1"/>
  <c r="AL11" i="13" s="1"/>
  <c r="AL12" i="13" s="1"/>
  <c r="AL5" i="13"/>
  <c r="AL4" i="13"/>
  <c r="AK12" i="13"/>
  <c r="AK10" i="13"/>
  <c r="AK9" i="13"/>
  <c r="AK8" i="13"/>
  <c r="AK7" i="13"/>
  <c r="AK6" i="13"/>
  <c r="AJ12" i="13"/>
  <c r="AJ11" i="13"/>
  <c r="AJ10" i="13"/>
  <c r="AJ9" i="13"/>
  <c r="AJ8" i="13"/>
  <c r="AJ7" i="13"/>
  <c r="AJ6" i="13"/>
  <c r="AJ5" i="13"/>
  <c r="AJ4" i="13"/>
  <c r="AI12" i="13"/>
  <c r="AI10" i="13"/>
  <c r="AI9" i="13"/>
  <c r="AI8" i="13"/>
  <c r="AI7" i="13"/>
  <c r="AI6" i="13"/>
  <c r="AI5" i="13"/>
  <c r="AI4" i="13"/>
  <c r="AH12" i="13"/>
  <c r="AH11" i="13"/>
  <c r="AH10" i="13"/>
  <c r="AH9" i="13"/>
  <c r="AH8" i="13"/>
  <c r="AH7" i="13"/>
  <c r="AH6" i="13"/>
  <c r="AH5" i="13"/>
  <c r="AH4" i="13"/>
  <c r="AG12" i="13"/>
  <c r="AG11" i="13"/>
  <c r="AG10" i="13"/>
  <c r="AG9" i="13"/>
  <c r="AG8" i="13"/>
  <c r="AG7" i="13"/>
  <c r="AG6" i="13"/>
  <c r="AG5" i="13"/>
  <c r="AG4" i="13"/>
  <c r="AF12" i="13"/>
  <c r="AF11" i="13"/>
  <c r="AF10" i="13"/>
  <c r="AF9" i="13"/>
  <c r="AF8" i="13"/>
  <c r="AF7" i="13"/>
  <c r="AF6" i="13"/>
  <c r="AF5" i="13"/>
  <c r="AF4" i="13"/>
  <c r="AE12" i="13"/>
  <c r="AE11" i="13"/>
  <c r="AE10" i="13"/>
  <c r="AE9" i="13"/>
  <c r="AE8" i="13"/>
  <c r="AE7" i="13"/>
  <c r="AE6" i="13"/>
  <c r="AE5" i="13"/>
  <c r="AE4" i="13"/>
  <c r="AD12" i="13"/>
  <c r="AD11" i="13"/>
  <c r="AD10" i="13"/>
  <c r="AD9" i="13"/>
  <c r="AD8" i="13"/>
  <c r="AD4" i="13"/>
  <c r="AC12" i="13"/>
  <c r="AC11" i="13"/>
  <c r="AC10" i="13"/>
  <c r="AC9" i="13"/>
  <c r="AC8" i="13"/>
  <c r="AC7" i="13"/>
  <c r="AC6" i="13"/>
  <c r="AC5" i="13"/>
  <c r="AC4" i="13"/>
  <c r="AB12" i="13"/>
  <c r="AB11" i="13"/>
  <c r="AB10" i="13"/>
  <c r="AB9" i="13"/>
  <c r="AB8" i="13"/>
  <c r="AA12" i="13"/>
  <c r="AA11" i="13"/>
  <c r="AA10" i="13"/>
  <c r="AA9" i="13"/>
  <c r="AA8" i="13"/>
  <c r="AA7" i="13"/>
  <c r="AA6" i="13"/>
  <c r="AA5" i="13"/>
  <c r="AA4" i="13"/>
  <c r="Z12" i="13"/>
  <c r="Z10" i="13"/>
  <c r="Z9" i="13"/>
  <c r="Z8" i="13"/>
  <c r="Z7" i="13"/>
  <c r="Z6" i="13"/>
  <c r="Z5" i="13"/>
  <c r="Z4" i="13"/>
  <c r="AB4" i="13"/>
  <c r="AK4" i="13"/>
  <c r="AM4" i="13"/>
  <c r="AM5" i="13" s="1"/>
  <c r="AB5" i="13"/>
  <c r="AD5" i="13"/>
  <c r="AD6" i="13" s="1"/>
  <c r="AD7" i="13" s="1"/>
  <c r="AK5" i="13"/>
  <c r="AK11" i="13" s="1"/>
  <c r="AB6" i="13"/>
  <c r="AB7" i="13"/>
  <c r="Y12" i="13"/>
  <c r="Y11" i="13"/>
  <c r="Y9" i="13"/>
  <c r="Y8" i="13"/>
  <c r="Y10" i="13" s="1"/>
  <c r="X12" i="13"/>
  <c r="X10" i="13"/>
  <c r="X9" i="13"/>
  <c r="X8" i="13"/>
  <c r="X7" i="13"/>
  <c r="X6" i="13"/>
  <c r="X5" i="13"/>
  <c r="X4" i="13"/>
  <c r="Y4" i="13"/>
  <c r="Y5" i="13"/>
  <c r="Y6" i="13"/>
  <c r="Y7" i="13"/>
  <c r="W12" i="13"/>
  <c r="W11" i="13"/>
  <c r="W10" i="13"/>
  <c r="W9" i="13"/>
  <c r="W8" i="13"/>
  <c r="W7" i="13"/>
  <c r="W5" i="13"/>
  <c r="W4" i="13"/>
  <c r="W6" i="13"/>
  <c r="V12" i="13"/>
  <c r="V11" i="13"/>
  <c r="V10" i="13"/>
  <c r="V9" i="13"/>
  <c r="V8" i="13"/>
  <c r="V7" i="13"/>
  <c r="V4" i="13"/>
  <c r="V5" i="13"/>
  <c r="V6" i="13"/>
  <c r="U12" i="13"/>
  <c r="U11" i="13"/>
  <c r="U10" i="13"/>
  <c r="U9" i="13"/>
  <c r="U8" i="13"/>
  <c r="U7" i="13"/>
  <c r="U6" i="13"/>
  <c r="U5" i="13"/>
  <c r="U4" i="13"/>
  <c r="T12" i="13"/>
  <c r="T11" i="13"/>
  <c r="T10" i="13"/>
  <c r="T9" i="13"/>
  <c r="T8" i="13"/>
  <c r="T7" i="13"/>
  <c r="T6" i="13"/>
  <c r="T5" i="13"/>
  <c r="T4" i="13"/>
  <c r="S12" i="13"/>
  <c r="S11" i="13"/>
  <c r="S10" i="13"/>
  <c r="S9" i="13"/>
  <c r="S8" i="13"/>
  <c r="S7" i="13"/>
  <c r="S6" i="13"/>
  <c r="S5" i="13"/>
  <c r="S4" i="13"/>
  <c r="R12" i="13"/>
  <c r="R11" i="13"/>
  <c r="R10" i="13"/>
  <c r="R9" i="13"/>
  <c r="R8" i="13"/>
  <c r="R7" i="13"/>
  <c r="R6" i="13"/>
  <c r="R5" i="13"/>
  <c r="R4" i="13"/>
  <c r="Q12" i="13"/>
  <c r="Q11" i="13"/>
  <c r="Q10" i="13"/>
  <c r="Q9" i="13"/>
  <c r="Q8" i="13"/>
  <c r="Q7" i="13"/>
  <c r="Q6" i="13"/>
  <c r="Q5" i="13"/>
  <c r="Q4" i="13"/>
  <c r="P12" i="13"/>
  <c r="P11" i="13"/>
  <c r="P10" i="13"/>
  <c r="P9" i="13"/>
  <c r="P8" i="13"/>
  <c r="P7" i="13"/>
  <c r="P6" i="13"/>
  <c r="P5" i="13"/>
  <c r="P4" i="13"/>
  <c r="O12" i="13"/>
  <c r="O11" i="13"/>
  <c r="O10" i="13"/>
  <c r="O9" i="13"/>
  <c r="O8" i="13"/>
  <c r="O7" i="13"/>
  <c r="O6" i="13"/>
  <c r="O5" i="13"/>
  <c r="O4" i="13"/>
  <c r="N12" i="13"/>
  <c r="N11" i="13"/>
  <c r="N10" i="13"/>
  <c r="N9" i="13"/>
  <c r="N8" i="13"/>
  <c r="N7" i="13"/>
  <c r="N6" i="13"/>
  <c r="N5" i="13"/>
  <c r="N4" i="13"/>
  <c r="M12" i="13"/>
  <c r="M11" i="13"/>
  <c r="M10" i="13"/>
  <c r="M9" i="13"/>
  <c r="M8" i="13"/>
  <c r="M7" i="13"/>
  <c r="M6" i="13"/>
  <c r="M5" i="13"/>
  <c r="M4" i="13"/>
  <c r="L12" i="13"/>
  <c r="L11" i="13"/>
  <c r="L10" i="13"/>
  <c r="L9" i="13"/>
  <c r="L8" i="13"/>
  <c r="L7" i="13"/>
  <c r="L6" i="13"/>
  <c r="L5" i="13"/>
  <c r="L4" i="13"/>
  <c r="K12" i="13"/>
  <c r="K11" i="13"/>
  <c r="K10" i="13"/>
  <c r="K9" i="13"/>
  <c r="K8" i="13"/>
  <c r="K7" i="13"/>
  <c r="K6" i="13"/>
  <c r="K5" i="13"/>
  <c r="K4" i="13"/>
  <c r="J12" i="13"/>
  <c r="J11" i="13"/>
  <c r="J10" i="13"/>
  <c r="J9" i="13"/>
  <c r="J8" i="13"/>
  <c r="J7" i="13"/>
  <c r="J6" i="13"/>
  <c r="J5" i="13"/>
  <c r="J4" i="13"/>
  <c r="I12" i="13"/>
  <c r="I11" i="13"/>
  <c r="I10" i="13"/>
  <c r="I9" i="13"/>
  <c r="I8" i="13"/>
  <c r="I7" i="13"/>
  <c r="I6" i="13"/>
  <c r="I5" i="13"/>
  <c r="I4" i="13"/>
  <c r="H12" i="13"/>
  <c r="H11" i="13"/>
  <c r="H10" i="13"/>
  <c r="H9" i="13"/>
  <c r="H8" i="13"/>
  <c r="H7" i="13"/>
  <c r="H6" i="13"/>
  <c r="H5" i="13"/>
  <c r="H4" i="13"/>
  <c r="G12" i="13"/>
  <c r="G11" i="13"/>
  <c r="G10" i="13"/>
  <c r="G9" i="13"/>
  <c r="G8" i="13"/>
  <c r="G7" i="13"/>
  <c r="G6" i="13"/>
  <c r="G5" i="13"/>
  <c r="G4" i="13"/>
  <c r="F4" i="13"/>
  <c r="F5" i="13"/>
  <c r="F6" i="13" s="1"/>
  <c r="F7" i="13" s="1"/>
  <c r="F8" i="13" s="1"/>
  <c r="F9" i="13" s="1"/>
  <c r="F10" i="13" s="1"/>
  <c r="F11" i="13" s="1"/>
  <c r="F12" i="13" s="1"/>
  <c r="E12" i="13"/>
  <c r="E11" i="13"/>
  <c r="E10" i="13"/>
  <c r="E9" i="13"/>
  <c r="E8" i="13"/>
  <c r="E7" i="13"/>
  <c r="E6" i="13"/>
  <c r="E5" i="13"/>
  <c r="E4" i="13"/>
  <c r="D12" i="13"/>
  <c r="D11" i="13"/>
  <c r="D10" i="13"/>
  <c r="D9" i="13"/>
  <c r="D8" i="13"/>
  <c r="D7" i="13"/>
  <c r="D6" i="13"/>
  <c r="D5" i="13"/>
  <c r="D4" i="13"/>
  <c r="D3" i="13"/>
  <c r="C12" i="13"/>
  <c r="C11" i="13"/>
  <c r="C10" i="13"/>
  <c r="C9" i="13"/>
  <c r="C8" i="13"/>
  <c r="C7" i="13"/>
  <c r="C6" i="13"/>
  <c r="C5" i="13"/>
  <c r="C4" i="13"/>
  <c r="B12" i="13"/>
  <c r="B11" i="13"/>
  <c r="B10" i="13"/>
  <c r="B9" i="13"/>
  <c r="B8" i="13"/>
  <c r="B7" i="13"/>
  <c r="B6" i="13"/>
  <c r="B5" i="13"/>
  <c r="B4" i="13"/>
  <c r="AN11" i="13" l="1"/>
  <c r="AI11" i="13"/>
  <c r="Z11" i="13"/>
  <c r="X11" i="13"/>
  <c r="C6" i="10"/>
  <c r="C5" i="10"/>
  <c r="C3" i="10"/>
  <c r="C2" i="10"/>
  <c r="C7" i="10" l="1"/>
  <c r="C6" i="8"/>
  <c r="C2" i="8"/>
  <c r="C3" i="8"/>
  <c r="C5" i="8"/>
  <c r="C7" i="8" l="1"/>
</calcChain>
</file>

<file path=xl/sharedStrings.xml><?xml version="1.0" encoding="utf-8"?>
<sst xmlns="http://schemas.openxmlformats.org/spreadsheetml/2006/main" count="4111" uniqueCount="4073">
  <si>
    <t>year</t>
  </si>
  <si>
    <t>pbi</t>
  </si>
  <si>
    <t>trimestre</t>
  </si>
  <si>
    <t>dia</t>
  </si>
  <si>
    <t>mes</t>
  </si>
  <si>
    <t>inflacion_mensual</t>
  </si>
  <si>
    <t>resultado_financiero</t>
  </si>
  <si>
    <t>resultado_primario</t>
  </si>
  <si>
    <t>pobreza</t>
  </si>
  <si>
    <t>serie_tasa_pbi</t>
  </si>
  <si>
    <t>fecha</t>
  </si>
  <si>
    <t>r_primario_pbi</t>
  </si>
  <si>
    <t>r_financiero_pbi</t>
  </si>
  <si>
    <t>tasa_leliqs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</si>
  <si>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</si>
  <si>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</si>
  <si>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</si>
  <si>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</si>
  <si>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</si>
  <si>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</si>
  <si>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</si>
  <si>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</si>
  <si>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</si>
  <si>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</si>
  <si>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</si>
  <si>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</si>
  <si>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</si>
  <si>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</si>
  <si>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</si>
  <si>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</si>
  <si>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</si>
  <si>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</si>
  <si>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</si>
  <si>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</si>
  <si>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</si>
  <si>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</si>
  <si>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</si>
  <si>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</si>
  <si>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</si>
  <si>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</si>
  <si>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</si>
  <si>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</si>
  <si>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</si>
  <si>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</si>
  <si>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</si>
  <si>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</si>
  <si>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</si>
  <si>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</si>
  <si>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</si>
  <si>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</si>
  <si>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</si>
  <si>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</si>
  <si>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</si>
  <si>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</si>
  <si>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</si>
  <si>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</si>
  <si>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</si>
  <si>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</si>
  <si>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</si>
  <si>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</si>
  <si>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</si>
  <si>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</si>
  <si>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</si>
  <si>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</si>
  <si>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</si>
  <si>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</si>
  <si>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</si>
  <si>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</si>
  <si>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</si>
  <si>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</si>
  <si>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</si>
  <si>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</si>
  <si>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</si>
  <si>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</si>
  <si>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</si>
  <si>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</si>
  <si>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</si>
  <si>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</si>
  <si>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</si>
  <si>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</si>
  <si>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</si>
  <si>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</si>
  <si>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</si>
  <si>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</si>
  <si>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</si>
  <si>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</si>
  <si>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</si>
  <si>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</si>
  <si>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</si>
  <si>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</si>
  <si>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</si>
  <si>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</si>
  <si>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</si>
  <si>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</si>
  <si>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</si>
  <si>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</si>
  <si>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</si>
  <si>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</si>
  <si>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</si>
  <si>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</si>
  <si>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</si>
  <si>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</si>
  <si>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</si>
  <si>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</si>
  <si>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</si>
  <si>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</si>
  <si>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</si>
  <si>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</si>
  <si>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</si>
  <si>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</si>
  <si>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</si>
  <si>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</si>
  <si>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</si>
  <si>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</si>
  <si>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</si>
  <si>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</si>
  <si>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</si>
  <si>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</si>
  <si>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</si>
  <si>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</si>
  <si>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</si>
  <si>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</si>
  <si>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</si>
  <si>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</si>
  <si>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</si>
  <si>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</si>
  <si>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</si>
  <si>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</si>
  <si>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</si>
  <si>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</si>
  <si>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</si>
  <si>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</si>
  <si>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</si>
  <si>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</si>
  <si>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</si>
  <si>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</si>
  <si>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</si>
  <si>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</si>
  <si>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</si>
  <si>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</si>
  <si>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</si>
  <si>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</si>
  <si>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</si>
  <si>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</si>
  <si>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</si>
  <si>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</si>
  <si>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</si>
  <si>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</si>
  <si>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</si>
  <si>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</si>
  <si>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</si>
  <si>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</si>
  <si>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</si>
  <si>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</si>
  <si>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</si>
  <si>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</si>
  <si>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</si>
  <si>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</si>
  <si>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</si>
  <si>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</si>
  <si>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</si>
  <si>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</si>
  <si>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</si>
  <si>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</si>
  <si>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</si>
  <si>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</si>
  <si>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</si>
  <si>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</si>
  <si>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</si>
  <si>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</si>
  <si>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</si>
  <si>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</si>
  <si>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</si>
  <si>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</si>
  <si>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</si>
  <si>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</si>
  <si>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</si>
  <si>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</si>
  <si>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</si>
  <si>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</si>
  <si>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</si>
  <si>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</si>
  <si>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</si>
  <si>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</si>
  <si>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</si>
  <si>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</si>
  <si>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</si>
  <si>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</si>
  <si>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</si>
  <si>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</si>
  <si>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</si>
  <si>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</si>
  <si>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</si>
  <si>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</si>
  <si>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</si>
  <si>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</si>
  <si>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</si>
  <si>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</si>
  <si>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</si>
  <si>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</si>
  <si>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</si>
  <si>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</si>
  <si>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</si>
  <si>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</si>
  <si>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</si>
  <si>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</si>
  <si>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</si>
  <si>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</si>
  <si>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</si>
  <si>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</si>
  <si>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</si>
  <si>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</si>
  <si>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</si>
  <si>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</si>
  <si>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</si>
  <si>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</si>
  <si>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</si>
  <si>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</si>
  <si>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</si>
  <si>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</si>
  <si>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</si>
  <si>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</si>
  <si>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</si>
  <si>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</si>
  <si>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</si>
  <si>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</si>
  <si>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</si>
  <si>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</si>
  <si>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</si>
  <si>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</si>
  <si>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</si>
  <si>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</si>
  <si>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</si>
  <si>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</si>
  <si>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</si>
  <si>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</si>
  <si>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</si>
  <si>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</si>
  <si>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</si>
  <si>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</si>
  <si>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</si>
  <si>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</si>
  <si>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</si>
  <si>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</si>
  <si>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</si>
  <si>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</si>
  <si>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</si>
  <si>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</si>
  <si>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</si>
  <si>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</si>
  <si>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</si>
  <si>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</si>
  <si>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</si>
  <si>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</si>
  <si>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</si>
  <si>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</si>
  <si>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</si>
  <si>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</si>
  <si>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</si>
  <si>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</si>
  <si>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</si>
  <si>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</si>
  <si>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</si>
  <si>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</si>
  <si>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</si>
  <si>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</si>
  <si>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</si>
  <si>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</si>
  <si>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</si>
  <si>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</si>
  <si>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</si>
  <si>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</si>
  <si>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</si>
  <si>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</si>
  <si>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</si>
  <si>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</si>
  <si>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</si>
  <si>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</si>
  <si>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</si>
  <si>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</si>
  <si>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</si>
  <si>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</si>
  <si>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</si>
  <si>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</si>
  <si>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</si>
  <si>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</si>
  <si>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</si>
  <si>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</si>
  <si>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</si>
  <si>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</si>
  <si>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</si>
  <si>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</si>
  <si>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</si>
  <si>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</si>
  <si>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</si>
  <si>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</si>
  <si>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</si>
  <si>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</si>
  <si>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</si>
  <si>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</si>
  <si>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</si>
  <si>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</si>
  <si>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</si>
  <si>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</si>
  <si>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</si>
  <si>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</si>
  <si>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</si>
  <si>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</si>
  <si>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</si>
  <si>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</si>
  <si>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</si>
  <si>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</si>
  <si>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</si>
  <si>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</si>
  <si>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</si>
  <si>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</si>
  <si>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</si>
  <si>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</si>
  <si>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</si>
  <si>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</si>
  <si>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</si>
  <si>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</si>
  <si>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</si>
  <si>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</si>
  <si>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</si>
  <si>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</si>
  <si>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</si>
  <si>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</si>
  <si>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</si>
  <si>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</si>
  <si>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</si>
  <si>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</si>
  <si>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</si>
  <si>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</si>
  <si>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</si>
  <si>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</si>
  <si>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</si>
  <si>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</si>
  <si>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</si>
  <si>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</si>
  <si>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</si>
  <si>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</si>
  <si>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</si>
  <si>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</si>
  <si>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</si>
  <si>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</si>
  <si>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</si>
  <si>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</si>
  <si>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</si>
  <si>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</si>
  <si>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</si>
  <si>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</si>
  <si>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</si>
  <si>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</si>
  <si>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</si>
  <si>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</si>
  <si>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</si>
  <si>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</si>
  <si>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</si>
  <si>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</si>
  <si>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</si>
  <si>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</si>
  <si>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</si>
  <si>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</si>
  <si>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</si>
  <si>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</si>
  <si>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</si>
  <si>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</si>
  <si>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</si>
  <si>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</si>
  <si>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</si>
  <si>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</si>
  <si>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</si>
  <si>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</si>
  <si>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</si>
  <si>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</si>
  <si>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</si>
  <si>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</si>
  <si>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</si>
  <si>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</si>
  <si>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</si>
  <si>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</si>
  <si>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</si>
  <si>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</si>
  <si>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</si>
  <si>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</si>
  <si>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</si>
  <si>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</si>
  <si>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</si>
  <si>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</si>
  <si>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</si>
  <si>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</si>
  <si>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</si>
  <si>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</si>
  <si>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</si>
  <si>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</si>
  <si>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</si>
  <si>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</si>
  <si>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</si>
  <si>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</si>
  <si>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</si>
  <si>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</si>
  <si>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</si>
  <si>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</si>
  <si>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</si>
  <si>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</si>
  <si>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</si>
  <si>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</si>
  <si>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</si>
  <si>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</si>
  <si>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</si>
  <si>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</si>
  <si>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</si>
  <si>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</si>
  <si>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</si>
  <si>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</si>
  <si>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</si>
  <si>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</si>
  <si>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</si>
  <si>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</si>
  <si>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</si>
  <si>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</si>
  <si>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</si>
  <si>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</si>
  <si>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</si>
  <si>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</si>
  <si>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</si>
  <si>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</si>
  <si>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</si>
  <si>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</si>
  <si>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</si>
  <si>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</si>
  <si>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</si>
  <si>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</si>
  <si>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</si>
  <si>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</si>
  <si>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</si>
  <si>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</si>
  <si>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</si>
  <si>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</si>
  <si>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</si>
  <si>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</si>
  <si>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</si>
  <si>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</si>
  <si>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</si>
  <si>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</si>
  <si>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</si>
  <si>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</si>
  <si>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</si>
  <si>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</si>
  <si>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</si>
  <si>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</si>
  <si>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</si>
  <si>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</si>
  <si>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</si>
  <si>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</si>
  <si>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</si>
  <si>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</si>
  <si>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</si>
  <si>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</si>
  <si>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</si>
  <si>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</si>
  <si>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</si>
  <si>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</si>
  <si>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</si>
  <si>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</si>
  <si>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</si>
  <si>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</si>
  <si>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</si>
  <si>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</si>
  <si>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</si>
  <si>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</si>
  <si>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</si>
  <si>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</si>
  <si>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</si>
  <si>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</si>
  <si>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</si>
  <si>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</si>
  <si>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</si>
  <si>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</si>
  <si>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</si>
  <si>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</si>
  <si>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</si>
  <si>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</si>
  <si>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</si>
  <si>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</si>
  <si>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</si>
  <si>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</si>
  <si>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</si>
  <si>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</si>
  <si>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</si>
  <si>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</si>
  <si>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</si>
  <si>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</si>
  <si>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</si>
  <si>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</si>
  <si>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</si>
  <si>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</si>
  <si>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</si>
  <si>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</si>
  <si>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</si>
  <si>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</si>
  <si>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</si>
  <si>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</si>
  <si>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</si>
  <si>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</si>
  <si>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</si>
  <si>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</si>
  <si>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</si>
  <si>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</si>
  <si>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</si>
  <si>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</si>
  <si>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</si>
  <si>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</si>
  <si>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</si>
  <si>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</si>
  <si>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</si>
  <si>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</si>
  <si>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</si>
  <si>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</si>
  <si>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</si>
  <si>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</si>
  <si>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</si>
  <si>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</si>
  <si>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</si>
  <si>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</si>
  <si>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</si>
  <si>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</si>
  <si>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</si>
  <si>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</si>
  <si>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</si>
  <si>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</si>
  <si>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</si>
  <si>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</si>
  <si>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</si>
  <si>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</si>
  <si>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</si>
  <si>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</si>
  <si>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</si>
  <si>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</si>
  <si>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</si>
  <si>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</si>
  <si>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</si>
  <si>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</si>
  <si>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</si>
  <si>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</si>
  <si>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</si>
  <si>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</si>
  <si>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</si>
  <si>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</si>
  <si>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</si>
  <si>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</si>
  <si>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</si>
  <si>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</si>
  <si>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</si>
  <si>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</si>
  <si>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</si>
  <si>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</si>
  <si>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</si>
  <si>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</si>
  <si>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</si>
  <si>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</si>
  <si>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</si>
  <si>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</si>
  <si>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</si>
  <si>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</si>
  <si>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</si>
  <si>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</si>
  <si>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</si>
  <si>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</si>
  <si>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</si>
  <si>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</si>
  <si>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</si>
  <si>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</si>
  <si>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</si>
  <si>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</si>
  <si>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</si>
  <si>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</si>
  <si>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</si>
  <si>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</si>
  <si>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</si>
  <si>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</si>
  <si>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</si>
  <si>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</si>
  <si>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</si>
  <si>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</si>
  <si>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</si>
  <si>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</si>
  <si>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</si>
  <si>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</si>
  <si>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</si>
  <si>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</si>
  <si>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</si>
  <si>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</si>
  <si>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</si>
  <si>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</si>
  <si>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</si>
  <si>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</si>
  <si>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</si>
  <si>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</si>
  <si>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</si>
  <si>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</si>
  <si>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</si>
  <si>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</si>
  <si>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</si>
  <si>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</si>
  <si>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</si>
  <si>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</si>
  <si>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</si>
  <si>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</si>
  <si>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</si>
  <si>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</si>
  <si>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</si>
  <si>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</si>
  <si>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</si>
  <si>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</si>
  <si>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</si>
  <si>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</si>
  <si>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</si>
  <si>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</si>
  <si>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</si>
  <si>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</si>
  <si>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</si>
  <si>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</si>
  <si>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</si>
  <si>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</si>
  <si>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</si>
  <si>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</si>
  <si>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</si>
  <si>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</si>
  <si>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</si>
  <si>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</si>
  <si>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</si>
  <si>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</si>
  <si>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</si>
  <si>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</si>
  <si>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</si>
  <si>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</si>
  <si>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</si>
  <si>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</si>
  <si>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</si>
  <si>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</si>
  <si>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</si>
  <si>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</si>
  <si>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</si>
  <si>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</si>
  <si>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</si>
  <si>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</si>
  <si>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</si>
  <si>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</si>
  <si>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</si>
  <si>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</si>
  <si>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</si>
  <si>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</si>
  <si>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</si>
  <si>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</si>
  <si>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</si>
  <si>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</si>
  <si>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</si>
  <si>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</si>
  <si>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</si>
  <si>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</si>
  <si>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</si>
  <si>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</si>
  <si>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</si>
  <si>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</si>
  <si>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</si>
  <si>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</si>
  <si>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</si>
  <si>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</si>
  <si>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</si>
  <si>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</si>
  <si>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</si>
  <si>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</si>
  <si>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</si>
  <si>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</si>
  <si>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</si>
  <si>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</si>
  <si>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</si>
  <si>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</si>
  <si>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</si>
  <si>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</si>
  <si>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</si>
  <si>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</si>
  <si>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</si>
  <si>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</si>
  <si>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</si>
  <si>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</si>
  <si>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</si>
  <si>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</si>
  <si>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</si>
  <si>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</si>
  <si>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</si>
  <si>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</si>
  <si>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</si>
  <si>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</si>
  <si>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</si>
  <si>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</si>
  <si>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</si>
  <si>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</si>
  <si>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</si>
  <si>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</si>
  <si>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</si>
  <si>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</si>
  <si>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</si>
  <si>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</si>
  <si>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</si>
  <si>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</si>
  <si>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</si>
  <si>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</si>
  <si>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</si>
  <si>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</si>
  <si>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</si>
  <si>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</si>
  <si>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</si>
  <si>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</si>
  <si>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</si>
  <si>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</si>
  <si>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</si>
  <si>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</si>
  <si>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</si>
  <si>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</si>
  <si>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</si>
  <si>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</si>
  <si>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</si>
  <si>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</si>
  <si>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</si>
  <si>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</si>
  <si>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</si>
  <si>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</si>
  <si>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</si>
  <si>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</si>
  <si>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</si>
  <si>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</si>
  <si>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</si>
  <si>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</si>
  <si>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</si>
  <si>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</si>
  <si>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</si>
  <si>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</si>
  <si>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</si>
  <si>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</si>
  <si>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</si>
  <si>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</si>
  <si>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</si>
  <si>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</si>
  <si>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</si>
  <si>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</si>
  <si>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</si>
  <si>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</si>
  <si>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</si>
  <si>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</si>
  <si>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</si>
  <si>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</si>
  <si>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</si>
  <si>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</si>
  <si>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</si>
  <si>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</si>
  <si>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</si>
  <si>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</si>
  <si>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</si>
  <si>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</si>
  <si>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</si>
  <si>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</si>
  <si>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</si>
  <si>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</si>
  <si>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</si>
  <si>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</si>
  <si>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</si>
  <si>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</si>
  <si>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</si>
  <si>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</si>
  <si>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</si>
  <si>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</si>
  <si>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</si>
  <si>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</si>
  <si>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</si>
  <si>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</si>
  <si>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</si>
  <si>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</si>
  <si>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</si>
  <si>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</si>
  <si>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</si>
  <si>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</si>
  <si>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</si>
  <si>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</si>
  <si>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</si>
  <si>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</si>
  <si>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</si>
  <si>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</si>
  <si>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</si>
  <si>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</si>
  <si>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</si>
  <si>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</si>
  <si>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</si>
  <si>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</si>
  <si>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</si>
  <si>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</si>
  <si>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</si>
  <si>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</si>
  <si>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</si>
  <si>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</si>
  <si>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</si>
  <si>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</si>
  <si>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</si>
  <si>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</si>
  <si>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</si>
  <si>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</si>
  <si>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</si>
  <si>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</si>
  <si>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</si>
  <si>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</si>
  <si>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</si>
  <si>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</si>
  <si>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</si>
  <si>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</si>
  <si>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</si>
  <si>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</si>
  <si>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</si>
  <si>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</si>
  <si>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</si>
  <si>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</si>
  <si>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</si>
  <si>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</si>
  <si>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</si>
  <si>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</si>
  <si>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</si>
  <si>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</si>
  <si>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</si>
  <si>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</si>
  <si>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</si>
  <si>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</si>
  <si>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</si>
  <si>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</si>
  <si>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</si>
  <si>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</si>
  <si>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</si>
  <si>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</si>
  <si>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</si>
  <si>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</si>
  <si>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</si>
  <si>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</si>
  <si>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</si>
  <si>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</si>
  <si>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</si>
  <si>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</si>
  <si>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</si>
  <si>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</si>
  <si>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</si>
  <si>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</si>
  <si>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</si>
  <si>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</si>
  <si>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</si>
  <si>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</si>
  <si>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</si>
  <si>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</si>
  <si>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</si>
  <si>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</si>
  <si>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</si>
  <si>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</si>
  <si>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</si>
  <si>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</si>
  <si>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</si>
  <si>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</si>
  <si>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</si>
  <si>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</si>
  <si>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</si>
  <si>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</si>
  <si>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</si>
  <si>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</si>
  <si>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</si>
  <si>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</si>
  <si>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</si>
  <si>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</si>
  <si>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</si>
  <si>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</si>
  <si>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</si>
  <si>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</si>
  <si>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</si>
  <si>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</si>
  <si>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</si>
  <si>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</si>
  <si>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</si>
  <si>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</si>
  <si>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</si>
  <si>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</si>
  <si>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</si>
  <si>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</si>
  <si>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</si>
  <si>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</si>
  <si>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</si>
  <si>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</si>
  <si>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</si>
  <si>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</si>
  <si>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</si>
  <si>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</si>
  <si>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</si>
  <si>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</si>
  <si>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</si>
  <si>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</si>
  <si>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</si>
  <si>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</si>
  <si>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</si>
  <si>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</si>
  <si>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</si>
  <si>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</si>
  <si>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</si>
  <si>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</si>
  <si>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</si>
  <si>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</si>
  <si>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</si>
  <si>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</si>
  <si>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</si>
  <si>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</si>
  <si>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</si>
  <si>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</si>
  <si>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</si>
  <si>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</si>
  <si>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</si>
  <si>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</si>
  <si>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</si>
  <si>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</si>
  <si>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</si>
  <si>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</si>
  <si>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</si>
  <si>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</si>
  <si>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</si>
  <si>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</si>
  <si>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</si>
  <si>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</si>
  <si>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</si>
  <si>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</si>
  <si>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</si>
  <si>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</si>
  <si>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</si>
  <si>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</si>
  <si>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</si>
  <si>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</si>
  <si>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</si>
  <si>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</si>
  <si>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</si>
  <si>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</si>
  <si>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</si>
  <si>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</si>
  <si>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</si>
  <si>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</si>
  <si>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</si>
  <si>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</si>
  <si>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</si>
  <si>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</si>
  <si>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</si>
  <si>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</si>
  <si>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</si>
  <si>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</si>
  <si>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</si>
  <si>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</si>
  <si>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</si>
  <si>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</si>
  <si>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</si>
  <si>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</si>
  <si>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</si>
  <si>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</si>
  <si>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</si>
  <si>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</si>
  <si>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</si>
  <si>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</si>
  <si>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</si>
  <si>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</si>
  <si>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</si>
  <si>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</si>
  <si>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</si>
  <si>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</si>
  <si>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</si>
  <si>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</si>
  <si>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</si>
  <si>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</si>
  <si>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</si>
  <si>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</si>
  <si>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</si>
  <si>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</si>
  <si>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</si>
  <si>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</si>
  <si>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</si>
  <si>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</si>
  <si>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</si>
  <si>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</si>
  <si>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</si>
  <si>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</si>
  <si>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</si>
  <si>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</si>
  <si>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</si>
  <si>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</si>
  <si>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</si>
  <si>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</si>
  <si>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</si>
  <si>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</si>
  <si>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</si>
  <si>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</si>
  <si>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</si>
  <si>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</si>
  <si>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</si>
  <si>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</si>
  <si>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</si>
  <si>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</si>
  <si>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</si>
  <si>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</si>
  <si>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</si>
  <si>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</si>
  <si>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</si>
  <si>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</si>
  <si>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</si>
  <si>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</si>
  <si>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</si>
  <si>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</si>
  <si>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</si>
  <si>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</si>
  <si>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</si>
  <si>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</si>
  <si>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</si>
  <si>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</si>
  <si>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</si>
  <si>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</si>
  <si>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</si>
  <si>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</si>
  <si>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</si>
  <si>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</si>
  <si>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</si>
  <si>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</si>
  <si>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</si>
  <si>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</si>
  <si>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</si>
  <si>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</si>
  <si>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</si>
  <si>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</si>
  <si>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</si>
  <si>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</si>
  <si>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</si>
  <si>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</si>
  <si>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</si>
  <si>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</si>
  <si>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</si>
  <si>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</si>
  <si>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</si>
  <si>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</si>
  <si>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</si>
  <si>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</si>
  <si>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</si>
  <si>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</si>
  <si>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</si>
  <si>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</si>
  <si>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</si>
  <si>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</si>
  <si>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</si>
  <si>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</si>
  <si>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</si>
  <si>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</si>
  <si>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</si>
  <si>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</si>
  <si>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</si>
  <si>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</si>
  <si>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</si>
  <si>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</si>
  <si>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</si>
  <si>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</si>
  <si>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</si>
  <si>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</si>
  <si>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</si>
  <si>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</si>
  <si>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</si>
  <si>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</si>
  <si>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</si>
  <si>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</si>
  <si>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</si>
  <si>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</si>
  <si>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</si>
  <si>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</si>
  <si>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</si>
  <si>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</si>
  <si>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</si>
  <si>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</si>
  <si>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</si>
  <si>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</si>
  <si>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</si>
  <si>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</si>
  <si>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</si>
  <si>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</si>
  <si>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</si>
  <si>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</si>
  <si>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</si>
  <si>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</si>
  <si>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</si>
  <si>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</si>
  <si>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</si>
  <si>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</si>
  <si>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</si>
  <si>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</si>
  <si>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</si>
  <si>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</si>
  <si>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</si>
  <si>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</si>
  <si>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</si>
  <si>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</si>
  <si>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</si>
  <si>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</si>
  <si>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</si>
  <si>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</si>
  <si>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</si>
  <si>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</si>
  <si>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</si>
  <si>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</si>
  <si>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</si>
  <si>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</si>
  <si>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</si>
  <si>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</si>
  <si>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</si>
  <si>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</si>
  <si>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</si>
  <si>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</si>
  <si>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</si>
  <si>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</si>
  <si>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</si>
  <si>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</si>
  <si>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</si>
  <si>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</si>
  <si>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</si>
  <si>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</si>
  <si>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</si>
  <si>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</si>
  <si>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</si>
  <si>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</si>
  <si>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</si>
  <si>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</si>
  <si>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</si>
  <si>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</si>
  <si>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</si>
  <si>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</si>
  <si>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</si>
  <si>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</si>
  <si>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</si>
  <si>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</si>
  <si>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</si>
  <si>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</si>
  <si>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</si>
  <si>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</si>
  <si>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</si>
  <si>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</si>
  <si>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</si>
  <si>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</si>
  <si>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</si>
  <si>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</si>
  <si>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</si>
  <si>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</si>
  <si>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</si>
  <si>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</si>
  <si>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</si>
  <si>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</si>
  <si>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</si>
  <si>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</si>
  <si>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</si>
  <si>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</si>
  <si>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</si>
  <si>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</si>
  <si>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</si>
  <si>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</si>
  <si>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</si>
  <si>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</si>
  <si>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</si>
  <si>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</si>
  <si>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</si>
  <si>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</si>
  <si>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</si>
  <si>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</si>
  <si>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</si>
  <si>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</si>
  <si>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</si>
  <si>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</si>
  <si>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</si>
  <si>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</si>
  <si>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</si>
  <si>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</si>
  <si>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</si>
  <si>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</si>
  <si>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</si>
  <si>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</si>
  <si>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</si>
  <si>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</si>
  <si>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</si>
  <si>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</si>
  <si>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</si>
  <si>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</si>
  <si>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</si>
  <si>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</si>
  <si>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</si>
  <si>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</si>
  <si>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</si>
  <si>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</si>
  <si>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</si>
  <si>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</si>
  <si>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</si>
  <si>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</si>
  <si>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</si>
  <si>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</si>
  <si>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</si>
  <si>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</si>
  <si>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</si>
  <si>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</si>
  <si>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</si>
  <si>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</si>
  <si>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</si>
  <si>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</si>
  <si>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</si>
  <si>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</si>
  <si>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</si>
  <si>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</si>
  <si>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</si>
  <si>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</si>
  <si>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</si>
  <si>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</si>
  <si>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</si>
  <si>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</si>
  <si>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</si>
  <si>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</si>
  <si>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</si>
  <si>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</si>
  <si>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</si>
  <si>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</si>
  <si>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</si>
  <si>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</si>
  <si>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</si>
  <si>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</si>
  <si>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</si>
  <si>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</si>
  <si>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</si>
  <si>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</si>
  <si>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</si>
  <si>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</si>
  <si>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</si>
  <si>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</si>
  <si>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</si>
  <si>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</si>
  <si>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</si>
  <si>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</si>
  <si>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</si>
  <si>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</si>
  <si>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</si>
  <si>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</si>
  <si>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</si>
  <si>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</si>
  <si>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</si>
  <si>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</si>
  <si>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</si>
  <si>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</si>
  <si>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</si>
  <si>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</si>
  <si>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</si>
  <si>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</si>
  <si>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</si>
  <si>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</si>
  <si>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</si>
  <si>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</si>
  <si>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</si>
  <si>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</si>
  <si>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</si>
  <si>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</si>
  <si>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</si>
  <si>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</si>
  <si>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</si>
  <si>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</si>
  <si>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</si>
  <si>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</si>
  <si>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</si>
  <si>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</si>
  <si>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</si>
  <si>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</si>
  <si>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</si>
  <si>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</si>
  <si>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</si>
  <si>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</si>
  <si>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</si>
  <si>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</si>
  <si>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</si>
  <si>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</si>
  <si>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</si>
  <si>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</si>
  <si>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</si>
  <si>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</si>
  <si>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</si>
  <si>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</si>
  <si>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</si>
  <si>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</si>
  <si>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</si>
  <si>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</si>
  <si>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</si>
  <si>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</si>
  <si>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</si>
  <si>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</si>
  <si>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</si>
  <si>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</si>
  <si>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</si>
  <si>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</si>
  <si>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</si>
  <si>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</si>
  <si>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</si>
  <si>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</si>
  <si>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</si>
  <si>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</si>
  <si>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</si>
  <si>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</si>
  <si>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</si>
  <si>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</si>
  <si>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</si>
  <si>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</si>
  <si>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</si>
  <si>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</si>
  <si>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</si>
  <si>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</si>
  <si>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</si>
  <si>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</si>
  <si>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</si>
  <si>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</si>
  <si>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</si>
  <si>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</si>
  <si>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</si>
  <si>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</si>
  <si>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</si>
  <si>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</si>
  <si>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</si>
  <si>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</si>
  <si>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</si>
  <si>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</si>
  <si>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</si>
  <si>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</si>
  <si>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</si>
  <si>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</si>
  <si>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</si>
  <si>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</si>
  <si>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</si>
  <si>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</si>
  <si>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</si>
  <si>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</si>
  <si>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</si>
  <si>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</si>
  <si>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</si>
  <si>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</si>
  <si>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</si>
  <si>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</si>
  <si>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</si>
  <si>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</si>
  <si>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</si>
  <si>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</si>
  <si>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</si>
  <si>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</si>
  <si>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</si>
  <si>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</si>
  <si>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</si>
  <si>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</si>
  <si>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</si>
  <si>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</si>
  <si>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</si>
  <si>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</si>
  <si>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</si>
  <si>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</si>
  <si>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</si>
  <si>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</si>
  <si>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</si>
  <si>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</si>
  <si>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</si>
  <si>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</si>
  <si>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</si>
  <si>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</si>
  <si>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</si>
  <si>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</si>
  <si>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</si>
  <si>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</si>
  <si>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</si>
  <si>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</si>
  <si>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</si>
  <si>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</si>
  <si>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</si>
  <si>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</si>
  <si>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</si>
  <si>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</si>
  <si>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</si>
  <si>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</si>
  <si>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</si>
  <si>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</si>
  <si>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</si>
  <si>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</si>
  <si>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</si>
  <si>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</si>
  <si>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</si>
  <si>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</si>
  <si>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</si>
  <si>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</si>
  <si>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</si>
  <si>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</si>
  <si>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</si>
  <si>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</si>
  <si>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</si>
  <si>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</si>
  <si>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</si>
  <si>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</si>
  <si>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</si>
  <si>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</si>
  <si>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</si>
  <si>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</si>
  <si>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</si>
  <si>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</si>
  <si>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</si>
  <si>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</si>
  <si>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</si>
  <si>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</si>
  <si>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</si>
  <si>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</si>
  <si>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</si>
  <si>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</si>
  <si>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</si>
  <si>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</si>
  <si>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</si>
  <si>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</si>
  <si>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</si>
  <si>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</si>
  <si>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</si>
  <si>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</si>
  <si>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</si>
  <si>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</si>
  <si>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</si>
  <si>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</si>
  <si>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</si>
  <si>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</si>
  <si>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</si>
  <si>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</si>
  <si>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</si>
  <si>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</si>
  <si>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</si>
  <si>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</si>
  <si>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</si>
  <si>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</si>
  <si>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</si>
  <si>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</si>
  <si>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</si>
  <si>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</si>
  <si>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</si>
  <si>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</si>
  <si>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</si>
  <si>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</si>
  <si>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</si>
  <si>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</si>
  <si>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</si>
  <si>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</si>
  <si>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</si>
  <si>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</si>
  <si>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</si>
  <si>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</si>
  <si>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</si>
  <si>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</si>
  <si>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</si>
  <si>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</si>
  <si>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</si>
  <si>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</si>
  <si>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</si>
  <si>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</si>
  <si>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</si>
  <si>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</si>
  <si>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</si>
  <si>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</si>
  <si>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</si>
  <si>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</si>
  <si>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</si>
  <si>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</si>
  <si>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</si>
  <si>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</si>
  <si>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</si>
  <si>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</si>
  <si>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</si>
  <si>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</si>
  <si>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</si>
  <si>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</si>
  <si>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</si>
  <si>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</si>
  <si>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</si>
  <si>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</si>
  <si>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</si>
  <si>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</si>
  <si>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</si>
  <si>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</si>
  <si>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</si>
  <si>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</si>
  <si>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</si>
  <si>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</si>
  <si>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</si>
  <si>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</si>
  <si>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</si>
  <si>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</si>
  <si>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</si>
  <si>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</si>
  <si>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</si>
  <si>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</si>
  <si>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</si>
  <si>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</si>
  <si>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</si>
  <si>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</si>
  <si>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</si>
  <si>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</si>
  <si>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</si>
  <si>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</si>
  <si>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</si>
  <si>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</si>
  <si>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</si>
  <si>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</si>
  <si>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</si>
  <si>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</si>
  <si>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</si>
  <si>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</si>
  <si>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</si>
  <si>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</si>
  <si>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</si>
  <si>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</si>
  <si>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</si>
  <si>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</si>
  <si>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</si>
  <si>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</si>
  <si>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</si>
  <si>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</si>
  <si>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</si>
  <si>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</si>
  <si>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</si>
  <si>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</si>
  <si>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</si>
  <si>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</si>
  <si>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</si>
  <si>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</si>
  <si>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</si>
  <si>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</si>
  <si>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</si>
  <si>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</si>
  <si>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</si>
  <si>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</si>
  <si>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</si>
  <si>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</si>
  <si>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</si>
  <si>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</si>
  <si>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</si>
  <si>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</si>
  <si>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</si>
  <si>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</si>
  <si>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</si>
  <si>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</si>
  <si>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</si>
  <si>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</si>
  <si>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</si>
  <si>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</si>
  <si>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</si>
  <si>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</si>
  <si>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</si>
  <si>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</si>
  <si>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</si>
  <si>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</si>
  <si>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</si>
  <si>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</si>
  <si>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</si>
  <si>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</si>
  <si>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</si>
  <si>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</si>
  <si>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</si>
  <si>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</si>
  <si>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</si>
  <si>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</si>
  <si>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</si>
  <si>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</si>
  <si>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</si>
  <si>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</si>
  <si>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</si>
  <si>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</si>
  <si>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</si>
  <si>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</si>
  <si>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</si>
  <si>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</si>
  <si>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</si>
  <si>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</si>
  <si>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</si>
  <si>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</si>
  <si>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</si>
  <si>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</si>
  <si>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</si>
  <si>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</si>
  <si>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</si>
  <si>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</si>
  <si>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</si>
  <si>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</si>
  <si>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</si>
  <si>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</si>
  <si>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</si>
  <si>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</si>
  <si>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</si>
  <si>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</si>
  <si>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</si>
  <si>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</si>
  <si>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</si>
  <si>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</si>
  <si>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</si>
  <si>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</si>
  <si>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</si>
  <si>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</si>
  <si>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</si>
  <si>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</si>
  <si>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</si>
  <si>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</si>
  <si>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</si>
  <si>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</si>
  <si>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</si>
  <si>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</si>
  <si>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</si>
  <si>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</si>
  <si>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</si>
  <si>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</si>
  <si>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</si>
  <si>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</si>
  <si>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</si>
  <si>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</si>
  <si>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</si>
  <si>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</si>
  <si>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</si>
  <si>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</si>
  <si>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</si>
  <si>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</si>
  <si>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</si>
  <si>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</si>
  <si>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</si>
  <si>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</si>
  <si>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</si>
  <si>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</si>
  <si>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</si>
  <si>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</si>
  <si>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</si>
  <si>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</si>
  <si>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</si>
  <si>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</si>
  <si>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</si>
  <si>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</si>
  <si>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</si>
  <si>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</si>
  <si>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</si>
  <si>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</si>
  <si>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</si>
  <si>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</si>
  <si>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</si>
  <si>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</si>
  <si>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</si>
  <si>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</si>
  <si>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</si>
  <si>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</si>
  <si>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</si>
  <si>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</si>
  <si>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</si>
  <si>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</si>
  <si>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</si>
  <si>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</si>
  <si>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</si>
  <si>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</si>
  <si>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</si>
  <si>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</si>
  <si>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</si>
  <si>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</si>
  <si>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</si>
  <si>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</si>
  <si>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</si>
  <si>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</si>
  <si>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</si>
  <si>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</si>
  <si>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</si>
  <si>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</si>
  <si>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</si>
  <si>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</si>
  <si>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</si>
  <si>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</si>
  <si>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</si>
  <si>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</si>
  <si>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</si>
  <si>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</si>
  <si>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</si>
  <si>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</si>
  <si>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</si>
  <si>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</si>
  <si>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</si>
  <si>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</si>
  <si>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</si>
  <si>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</si>
  <si>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</si>
  <si>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</si>
  <si>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</si>
  <si>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</si>
  <si>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</si>
  <si>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</si>
  <si>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</si>
  <si>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</si>
  <si>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</si>
  <si>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</si>
  <si>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</si>
  <si>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</si>
  <si>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</si>
  <si>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</si>
  <si>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</si>
  <si>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</si>
  <si>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</si>
  <si>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</si>
  <si>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</si>
  <si>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</si>
  <si>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</si>
  <si>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</si>
  <si>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</si>
  <si>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</si>
  <si>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</si>
  <si>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</si>
  <si>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</si>
  <si>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</si>
  <si>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</si>
  <si>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</si>
  <si>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</si>
  <si>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</si>
  <si>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</si>
  <si>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</si>
  <si>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</si>
  <si>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</si>
  <si>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</si>
  <si>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</si>
  <si>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</si>
  <si>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</si>
  <si>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</si>
  <si>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</si>
  <si>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</si>
  <si>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</si>
  <si>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</si>
  <si>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</si>
  <si>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</si>
  <si>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</si>
  <si>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</si>
  <si>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</si>
  <si>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</si>
  <si>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</si>
  <si>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</si>
  <si>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</si>
  <si>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</si>
  <si>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</si>
  <si>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</si>
  <si>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</si>
  <si>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</si>
  <si>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</si>
  <si>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</si>
  <si>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</si>
  <si>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</si>
  <si>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</si>
  <si>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</si>
  <si>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</si>
  <si>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</si>
  <si>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</si>
  <si>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</si>
  <si>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</si>
  <si>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</si>
  <si>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</si>
  <si>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</si>
  <si>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</si>
  <si>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</si>
  <si>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</si>
  <si>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</si>
  <si>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</si>
  <si>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</si>
  <si>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</si>
  <si>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</si>
  <si>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</si>
  <si>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</si>
  <si>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</si>
  <si>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</si>
  <si>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</si>
  <si>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</si>
  <si>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</si>
  <si>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</si>
  <si>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</si>
  <si>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</si>
  <si>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</si>
  <si>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</si>
  <si>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</si>
  <si>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</si>
  <si>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</si>
  <si>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</si>
  <si>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</si>
  <si>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</si>
  <si>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</si>
  <si>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</si>
  <si>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</si>
  <si>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</si>
  <si>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</si>
  <si>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</si>
  <si>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</si>
  <si>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</si>
  <si>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</si>
  <si>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</si>
  <si>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</si>
  <si>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</si>
  <si>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</si>
  <si>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</si>
  <si>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</si>
  <si>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</si>
  <si>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</si>
  <si>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</si>
  <si>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</si>
  <si>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</si>
  <si>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</si>
  <si>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</si>
  <si>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</si>
  <si>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</si>
  <si>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</si>
  <si>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</si>
  <si>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</si>
  <si>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</si>
  <si>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</si>
  <si>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</si>
  <si>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</si>
  <si>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</si>
  <si>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</si>
  <si>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</si>
  <si>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</si>
  <si>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</si>
  <si>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</si>
  <si>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</si>
  <si>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</si>
  <si>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</si>
  <si>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</si>
  <si>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</si>
  <si>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</si>
  <si>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</si>
  <si>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</si>
  <si>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</si>
  <si>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</si>
  <si>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</si>
  <si>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</si>
  <si>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</si>
  <si>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</si>
  <si>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</si>
  <si>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</si>
  <si>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</si>
  <si>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</si>
  <si>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</si>
  <si>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</si>
  <si>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</si>
  <si>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</si>
  <si>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</si>
  <si>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</si>
  <si>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</si>
  <si>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</si>
  <si>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</si>
  <si>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</si>
  <si>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</si>
  <si>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</si>
  <si>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</si>
  <si>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</si>
  <si>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</si>
  <si>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</si>
  <si>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</si>
  <si>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</si>
  <si>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</si>
  <si>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</si>
  <si>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</si>
  <si>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</si>
  <si>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</si>
  <si>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</si>
  <si>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</si>
  <si>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</si>
  <si>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</si>
  <si>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</si>
  <si>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</si>
  <si>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</si>
  <si>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</si>
  <si>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</si>
  <si>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</si>
  <si>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</si>
  <si>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</si>
  <si>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</si>
  <si>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</si>
  <si>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</si>
  <si>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</si>
  <si>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</si>
  <si>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</si>
  <si>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</si>
  <si>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</si>
  <si>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</si>
  <si>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</si>
  <si>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</si>
  <si>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</si>
  <si>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</si>
  <si>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</si>
  <si>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</si>
  <si>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</si>
  <si>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</si>
  <si>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</si>
  <si>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</si>
  <si>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</si>
  <si>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</si>
  <si>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</si>
  <si>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</si>
  <si>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</si>
  <si>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</si>
  <si>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</si>
  <si>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</si>
  <si>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</si>
  <si>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</si>
  <si>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</si>
  <si>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</si>
  <si>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</si>
  <si>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</si>
  <si>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</si>
  <si>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</si>
  <si>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</si>
  <si>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</si>
  <si>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</si>
  <si>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</si>
  <si>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</si>
  <si>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</si>
  <si>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</si>
  <si>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</si>
  <si>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</si>
  <si>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</si>
  <si>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</si>
  <si>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</si>
  <si>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</si>
  <si>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</si>
  <si>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</si>
  <si>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</si>
  <si>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</si>
  <si>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</si>
  <si>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</si>
  <si>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</si>
  <si>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</si>
  <si>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</si>
  <si>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</si>
  <si>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</si>
  <si>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</si>
  <si>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</si>
  <si>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</si>
  <si>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</si>
  <si>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</si>
  <si>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</si>
  <si>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</si>
  <si>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</si>
  <si>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</si>
  <si>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</si>
  <si>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</si>
  <si>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</si>
  <si>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</si>
  <si>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</si>
  <si>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</si>
  <si>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</si>
  <si>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</si>
  <si>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</si>
  <si>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</si>
  <si>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</si>
  <si>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</si>
  <si>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</si>
  <si>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</si>
  <si>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</si>
  <si>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</si>
  <si>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</si>
  <si>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</si>
  <si>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</si>
  <si>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</si>
  <si>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</si>
  <si>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</si>
  <si>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</si>
  <si>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</si>
  <si>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</si>
  <si>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</si>
  <si>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</si>
  <si>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</si>
  <si>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</si>
  <si>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</si>
  <si>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</si>
  <si>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</si>
  <si>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</si>
  <si>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</si>
  <si>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</si>
  <si>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</si>
  <si>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</si>
  <si>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</si>
  <si>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</si>
  <si>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</si>
  <si>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</si>
  <si>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</si>
  <si>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</si>
  <si>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</si>
  <si>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</si>
  <si>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</si>
  <si>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</si>
  <si>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</si>
  <si>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</si>
  <si>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</si>
  <si>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</si>
  <si>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</si>
  <si>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</si>
  <si>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</si>
  <si>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</si>
  <si>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</si>
  <si>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</si>
  <si>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</si>
  <si>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</si>
  <si>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</si>
  <si>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</si>
  <si>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</si>
  <si>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</si>
  <si>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</si>
  <si>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</si>
  <si>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</si>
  <si>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</si>
  <si>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</si>
  <si>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</si>
  <si>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</si>
  <si>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</si>
  <si>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</si>
  <si>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</si>
  <si>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</si>
  <si>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</si>
  <si>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</si>
  <si>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</si>
  <si>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</si>
  <si>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</si>
  <si>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</si>
  <si>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</si>
  <si>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</si>
  <si>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</si>
  <si>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</si>
  <si>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</si>
  <si>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</si>
  <si>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</si>
  <si>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</si>
  <si>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</si>
  <si>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</si>
  <si>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</si>
  <si>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</si>
  <si>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</si>
  <si>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</si>
  <si>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</si>
  <si>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</si>
  <si>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</si>
  <si>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</si>
  <si>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</si>
  <si>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</si>
  <si>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</si>
  <si>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</si>
  <si>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</si>
  <si>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</si>
  <si>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</si>
  <si>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</si>
  <si>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</si>
  <si>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</si>
  <si>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</si>
  <si>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</si>
  <si>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</si>
  <si>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</si>
  <si>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</si>
  <si>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</si>
  <si>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</si>
  <si>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</si>
  <si>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</si>
  <si>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</si>
  <si>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</si>
  <si>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</si>
  <si>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</si>
  <si>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</si>
  <si>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</si>
  <si>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</si>
  <si>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</si>
  <si>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</si>
  <si>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</si>
  <si>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</si>
  <si>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</si>
  <si>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</si>
  <si>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</si>
  <si>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</si>
  <si>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</si>
  <si>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</si>
  <si>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</si>
  <si>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</si>
  <si>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</si>
  <si>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</si>
  <si>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</si>
  <si>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</si>
  <si>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</si>
  <si>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</si>
  <si>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</si>
  <si>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</si>
  <si>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</si>
  <si>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</si>
  <si>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</si>
  <si>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</si>
  <si>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</si>
  <si>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</si>
  <si>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</si>
  <si>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</si>
  <si>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</si>
  <si>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</si>
  <si>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</si>
  <si>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</si>
  <si>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</si>
  <si>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</si>
  <si>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</si>
  <si>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</si>
  <si>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</si>
  <si>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</si>
  <si>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</si>
  <si>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</si>
  <si>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</si>
  <si>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</si>
  <si>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</si>
  <si>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</si>
  <si>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</si>
  <si>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</si>
  <si>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</si>
  <si>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</si>
  <si>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</si>
  <si>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</si>
  <si>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</si>
  <si>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</si>
  <si>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</si>
  <si>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</si>
  <si>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</si>
  <si>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</si>
  <si>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</si>
  <si>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</si>
  <si>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</si>
  <si>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</si>
  <si>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</si>
  <si>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</si>
  <si>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</si>
  <si>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</si>
  <si>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</si>
  <si>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</si>
  <si>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</si>
  <si>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</si>
  <si>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</si>
  <si>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</si>
  <si>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</si>
  <si>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</si>
  <si>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</si>
  <si>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</si>
  <si>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</si>
  <si>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</si>
  <si>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</si>
  <si>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</si>
  <si>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</si>
  <si>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</si>
  <si>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</si>
  <si>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</si>
  <si>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</si>
  <si>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</si>
  <si>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</si>
  <si>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</si>
  <si>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</si>
  <si>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</si>
  <si>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</si>
  <si>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</si>
  <si>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</si>
  <si>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</si>
  <si>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</si>
  <si>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</si>
  <si>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</si>
  <si>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</si>
  <si>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</si>
  <si>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</si>
  <si>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</si>
  <si>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</si>
  <si>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</si>
  <si>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</si>
  <si>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</si>
  <si>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</si>
  <si>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</si>
  <si>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</si>
  <si>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</si>
  <si>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</si>
  <si>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</si>
  <si>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</si>
  <si>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</si>
  <si>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</si>
  <si>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</si>
  <si>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</si>
  <si>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</si>
  <si>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</si>
  <si>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</si>
  <si>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</si>
  <si>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</si>
  <si>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</si>
  <si>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</si>
  <si>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</si>
  <si>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</si>
  <si>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</si>
  <si>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</si>
  <si>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</si>
  <si>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</si>
  <si>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</si>
  <si>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</si>
  <si>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</si>
  <si>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</si>
  <si>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</si>
  <si>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</si>
  <si>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</si>
  <si>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</si>
  <si>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</si>
  <si>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</si>
  <si>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</si>
  <si>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</si>
  <si>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</si>
  <si>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</si>
  <si>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</si>
  <si>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</si>
  <si>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</si>
  <si>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</si>
  <si>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</si>
  <si>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</si>
  <si>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</si>
  <si>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</si>
  <si>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</si>
  <si>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</si>
  <si>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</si>
  <si>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</si>
  <si>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</si>
  <si>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</si>
  <si>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</si>
  <si>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</si>
  <si>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</si>
  <si>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</si>
  <si>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</si>
  <si>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</si>
  <si>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</si>
  <si>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</si>
  <si>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</si>
  <si>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</si>
  <si>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</si>
  <si>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</si>
  <si>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</si>
  <si>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</si>
  <si>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</si>
  <si>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</si>
  <si>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</si>
  <si>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</si>
  <si>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</si>
  <si>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</si>
  <si>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</si>
  <si>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</si>
  <si>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</si>
  <si>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</si>
  <si>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</si>
  <si>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</si>
  <si>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</si>
  <si>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</si>
  <si>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</si>
  <si>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</si>
  <si>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</si>
  <si>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</si>
  <si>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</si>
  <si>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</si>
  <si>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</si>
  <si>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</si>
  <si>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</si>
  <si>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</si>
  <si>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</si>
  <si>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</si>
  <si>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</si>
  <si>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</si>
  <si>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</si>
  <si>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</si>
  <si>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</si>
  <si>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</si>
  <si>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</si>
  <si>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</si>
  <si>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</si>
  <si>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</si>
  <si>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</si>
  <si>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</si>
  <si>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</si>
  <si>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</si>
  <si>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</si>
  <si>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</si>
  <si>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</si>
  <si>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</si>
  <si>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</si>
  <si>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</si>
  <si>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</si>
  <si>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</si>
  <si>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</si>
  <si>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</si>
  <si>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</si>
  <si>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</si>
  <si>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</si>
  <si>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</si>
  <si>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</si>
  <si>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</si>
  <si>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</si>
  <si>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</si>
  <si>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</si>
  <si>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</si>
  <si>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</si>
  <si>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</si>
  <si>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</si>
  <si>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</si>
  <si>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</si>
  <si>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</si>
  <si>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</si>
  <si>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</si>
  <si>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</si>
  <si>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</si>
  <si>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</si>
  <si>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</si>
  <si>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</si>
  <si>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</si>
  <si>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</si>
  <si>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</si>
  <si>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</si>
  <si>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</si>
  <si>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</si>
  <si>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</si>
  <si>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</si>
  <si>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</si>
  <si>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</si>
  <si>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</si>
  <si>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</si>
  <si>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</si>
  <si>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</si>
  <si>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</si>
  <si>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</si>
  <si>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</si>
  <si>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</si>
  <si>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</si>
  <si>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</si>
  <si>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</si>
  <si>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</si>
  <si>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</si>
  <si>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</si>
  <si>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</si>
  <si>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</si>
  <si>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</si>
  <si>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</si>
  <si>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</si>
  <si>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</si>
  <si>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</si>
  <si>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</si>
  <si>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</si>
  <si>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</si>
  <si>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</si>
  <si>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</si>
  <si>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</si>
  <si>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</si>
  <si>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</si>
  <si>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</si>
  <si>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</si>
  <si>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</si>
  <si>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</si>
  <si>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</si>
  <si>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</si>
  <si>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</si>
  <si>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</si>
  <si>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</si>
  <si>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</si>
  <si>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</si>
  <si>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</si>
  <si>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</si>
  <si>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</si>
  <si>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</si>
  <si>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</si>
  <si>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</si>
  <si>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</si>
  <si>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</si>
  <si>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</si>
  <si>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</si>
  <si>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</si>
  <si>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</si>
  <si>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</si>
  <si>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</si>
  <si>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</si>
  <si>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</si>
  <si>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</si>
  <si>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</si>
  <si>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</si>
  <si>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</si>
  <si>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</si>
  <si>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</si>
  <si>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</si>
  <si>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</si>
  <si>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</si>
  <si>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</si>
  <si>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</si>
  <si>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</si>
  <si>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</si>
  <si>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</si>
  <si>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</si>
  <si>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</si>
  <si>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</si>
  <si>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</si>
  <si>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</si>
  <si>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</si>
  <si>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</si>
  <si>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</si>
  <si>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</si>
  <si>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</si>
  <si>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</si>
  <si>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</si>
  <si>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</si>
  <si>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</si>
  <si>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</si>
  <si>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</si>
  <si>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</si>
  <si>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</si>
  <si>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</si>
  <si>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</si>
  <si>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</si>
  <si>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</si>
  <si>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</si>
  <si>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</si>
  <si>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</si>
  <si>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</si>
  <si>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</si>
  <si>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</si>
  <si>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</si>
  <si>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</si>
  <si>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</si>
  <si>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</si>
  <si>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</si>
  <si>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</si>
  <si>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</si>
  <si>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</si>
  <si>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</si>
  <si>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</si>
  <si>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</si>
  <si>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</si>
  <si>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</si>
  <si>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</si>
  <si>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</si>
  <si>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</si>
  <si>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</si>
  <si>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</si>
  <si>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</si>
  <si>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</si>
  <si>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</si>
  <si>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</si>
  <si>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</si>
  <si>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</si>
  <si>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</si>
  <si>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</si>
  <si>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</si>
  <si>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</si>
  <si>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</si>
  <si>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</si>
  <si>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</si>
  <si>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</si>
  <si>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</si>
  <si>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</si>
  <si>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</si>
  <si>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</si>
  <si>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</si>
  <si>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</si>
  <si>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</si>
  <si>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</si>
  <si>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</si>
  <si>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</si>
  <si>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</si>
  <si>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</si>
  <si>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</si>
  <si>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</si>
  <si>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</si>
  <si>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</si>
  <si>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</si>
  <si>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</si>
  <si>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</si>
  <si>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</si>
  <si>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</si>
  <si>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</si>
  <si>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</si>
  <si>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</si>
  <si>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</si>
  <si>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</si>
  <si>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</si>
  <si>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</si>
  <si>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</si>
  <si>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</si>
  <si>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</si>
  <si>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</si>
  <si>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</si>
  <si>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</si>
  <si>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</si>
  <si>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</si>
  <si>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</si>
  <si>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</si>
  <si>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</si>
  <si>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</si>
  <si>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</si>
  <si>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</si>
  <si>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</si>
  <si>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</si>
  <si>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</si>
  <si>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</si>
  <si>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</si>
  <si>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</si>
  <si>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</si>
  <si>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</si>
  <si>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</si>
  <si>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</si>
  <si>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</si>
  <si>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</si>
  <si>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</si>
  <si>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</si>
  <si>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</si>
  <si>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</si>
  <si>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</si>
  <si>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</si>
  <si>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</si>
  <si>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</si>
  <si>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</si>
  <si>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</si>
  <si>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</si>
  <si>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</si>
  <si>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</si>
  <si>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</si>
  <si>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</si>
  <si>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</si>
  <si>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</si>
  <si>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</si>
  <si>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</si>
  <si>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</si>
  <si>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</si>
  <si>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</si>
  <si>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</si>
  <si>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</si>
  <si>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</si>
  <si>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</si>
  <si>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</si>
  <si>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</si>
  <si>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</si>
  <si>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</si>
  <si>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</si>
  <si>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</si>
  <si>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</si>
  <si>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</si>
  <si>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</si>
  <si>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</si>
  <si>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</si>
  <si>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</si>
  <si>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</si>
  <si>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</si>
  <si>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</si>
  <si>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</si>
  <si>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</si>
  <si>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</si>
  <si>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</si>
  <si>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</si>
  <si>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</si>
  <si>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</si>
  <si>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</si>
  <si>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</si>
  <si>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</si>
  <si>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</si>
  <si>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</si>
  <si>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</si>
  <si>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</si>
  <si>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</si>
  <si>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</si>
  <si>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</si>
  <si>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</si>
  <si>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</si>
  <si>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</si>
  <si>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</si>
  <si>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</si>
  <si>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</si>
  <si>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</si>
  <si>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</si>
  <si>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</si>
  <si>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</si>
  <si>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</si>
  <si>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</si>
  <si>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</si>
  <si>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</si>
  <si>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</si>
  <si>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</si>
  <si>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</si>
  <si>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</si>
  <si>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</si>
  <si>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</si>
  <si>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</si>
  <si>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</si>
  <si>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</si>
  <si>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</si>
  <si>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</si>
  <si>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</si>
  <si>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</si>
  <si>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</si>
  <si>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</si>
  <si>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</si>
  <si>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</si>
  <si>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</si>
  <si>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</si>
  <si>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</si>
  <si>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</si>
  <si>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</si>
  <si>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</si>
  <si>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</si>
  <si>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</si>
  <si>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</si>
  <si>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</si>
  <si>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</si>
  <si>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</si>
  <si>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</si>
  <si>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</si>
  <si>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</si>
  <si>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</si>
  <si>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</si>
  <si>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</si>
  <si>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</si>
  <si>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</si>
  <si>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</si>
  <si>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</si>
  <si>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</si>
  <si>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</si>
  <si>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</si>
  <si>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</si>
  <si>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</si>
  <si>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</si>
  <si>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</si>
  <si>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</si>
  <si>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</si>
  <si>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</si>
  <si>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</si>
  <si>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</si>
  <si>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</si>
  <si>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</si>
  <si>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</si>
  <si>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</si>
  <si>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</si>
  <si>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</si>
  <si>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</si>
  <si>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</si>
  <si>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</si>
  <si>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</si>
  <si>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</si>
  <si>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</si>
  <si>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</si>
  <si>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</si>
  <si>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</si>
  <si>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</si>
  <si>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</si>
  <si>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</si>
  <si>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</si>
  <si>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</si>
  <si>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</si>
  <si>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</si>
  <si>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</si>
  <si>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</si>
  <si>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</si>
  <si>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</si>
  <si>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</si>
  <si>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</si>
  <si>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</si>
  <si>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</si>
  <si>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</si>
  <si>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</si>
  <si>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</si>
  <si>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</si>
  <si>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</si>
  <si>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</si>
  <si>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</si>
  <si>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</si>
  <si>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</si>
  <si>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</si>
  <si>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</si>
  <si>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</si>
  <si>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</si>
  <si>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</si>
  <si>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</si>
  <si>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</si>
  <si>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</si>
  <si>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</si>
  <si>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</si>
  <si>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</si>
  <si>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</si>
  <si>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</si>
  <si>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</si>
  <si>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</si>
  <si>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</si>
  <si>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</si>
  <si>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</si>
  <si>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</si>
  <si>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</si>
  <si>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</si>
  <si>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</si>
  <si>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</si>
  <si>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</si>
  <si>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</si>
  <si>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</si>
  <si>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</si>
  <si>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</si>
  <si>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</si>
  <si>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</si>
  <si>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</si>
  <si>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</si>
  <si>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</si>
  <si>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</si>
  <si>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</si>
  <si>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</si>
  <si>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</si>
  <si>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</si>
  <si>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</si>
  <si>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</si>
  <si>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</si>
  <si>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</si>
  <si>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</si>
  <si>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</si>
  <si>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</si>
  <si>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</si>
  <si>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</si>
  <si>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</si>
  <si>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</si>
  <si>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</si>
  <si>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</si>
  <si>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</si>
  <si>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</si>
  <si>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</si>
  <si>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</si>
  <si>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</si>
  <si>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</si>
  <si>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</si>
  <si>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</si>
  <si>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</si>
  <si>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</si>
  <si>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</si>
  <si>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</si>
  <si>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</si>
  <si>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</si>
  <si>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</si>
  <si>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</si>
  <si>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</si>
  <si>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</si>
  <si>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</si>
  <si>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</si>
  <si>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</si>
  <si>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</si>
  <si>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</si>
  <si>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</si>
  <si>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</si>
  <si>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</si>
  <si>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</si>
  <si>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</si>
  <si>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</si>
  <si>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</si>
  <si>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</si>
  <si>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</si>
  <si>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</si>
  <si>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</si>
  <si>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</si>
  <si>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</si>
  <si>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</si>
  <si>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</si>
  <si>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</si>
  <si>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</si>
  <si>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</si>
  <si>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</si>
  <si>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</si>
  <si>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</si>
  <si>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</si>
  <si>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</si>
  <si>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</si>
  <si>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</si>
  <si>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</si>
  <si>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</si>
  <si>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</si>
  <si>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</si>
  <si>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</si>
  <si>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</si>
  <si>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</si>
  <si>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</si>
  <si>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</si>
  <si>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</si>
  <si>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</si>
  <si>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</si>
  <si>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</si>
  <si>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</si>
  <si>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</si>
  <si>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</si>
  <si>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</si>
  <si>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</si>
  <si>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</si>
  <si>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</si>
  <si>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</si>
  <si>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</si>
  <si>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</si>
  <si>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</si>
  <si>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</si>
  <si>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</si>
  <si>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</si>
  <si>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</si>
  <si>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</si>
  <si>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</si>
  <si>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</si>
  <si>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</si>
  <si>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</si>
  <si>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</si>
  <si>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</si>
  <si>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</si>
  <si>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</si>
  <si>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</si>
  <si>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</si>
  <si>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</si>
  <si>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</si>
  <si>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</si>
  <si>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</si>
  <si>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</si>
  <si>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</si>
  <si>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</si>
  <si>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</si>
  <si>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</si>
  <si>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</si>
  <si>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</si>
  <si>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</si>
  <si>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</si>
  <si>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</si>
  <si>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</si>
  <si>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</si>
  <si>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</si>
  <si>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</si>
  <si>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</si>
  <si>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</si>
  <si>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</si>
  <si>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</si>
  <si>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</si>
  <si>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</si>
  <si>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</si>
  <si>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</si>
  <si>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</si>
  <si>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</si>
  <si>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</si>
  <si>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</si>
  <si>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</si>
  <si>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</si>
  <si>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</si>
  <si>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</si>
  <si>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</si>
  <si>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</si>
  <si>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</si>
  <si>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</si>
  <si>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</si>
  <si>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</si>
  <si>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</si>
  <si>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</si>
  <si>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</si>
  <si>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</si>
  <si>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</si>
  <si>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</si>
  <si>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</si>
  <si>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</si>
  <si>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</si>
  <si>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</si>
  <si>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</si>
  <si>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</si>
  <si>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</si>
  <si>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</si>
  <si>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</si>
  <si>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</si>
  <si>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</si>
  <si>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</si>
  <si>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</si>
  <si>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</si>
  <si>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</si>
  <si>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</si>
  <si>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</si>
  <si>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</si>
  <si>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</si>
  <si>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</si>
  <si>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</si>
  <si>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</si>
  <si>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</si>
  <si>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</si>
  <si>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</si>
  <si>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</si>
  <si>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</si>
  <si>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</si>
  <si>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</si>
  <si>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</si>
  <si>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</si>
  <si>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</si>
  <si>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</si>
  <si>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</si>
  <si>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</si>
  <si>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</si>
  <si>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</si>
  <si>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</si>
  <si>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</si>
  <si>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</si>
  <si>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</si>
  <si>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</si>
  <si>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</si>
  <si>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</si>
  <si>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</si>
  <si>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</si>
  <si>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</si>
  <si>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</si>
  <si>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</si>
  <si>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</si>
  <si>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</si>
  <si>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</si>
  <si>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</si>
  <si>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</si>
  <si>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</si>
  <si>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</si>
  <si>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</si>
  <si>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</si>
  <si>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</si>
  <si>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</si>
  <si>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</si>
  <si>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</si>
  <si>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</si>
  <si>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</si>
  <si>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</si>
  <si>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</si>
  <si>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</si>
  <si>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</si>
  <si>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</si>
  <si>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</si>
  <si>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</si>
  <si>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</si>
  <si>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</si>
  <si>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</si>
  <si>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</si>
  <si>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</si>
  <si>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</si>
  <si>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</si>
  <si>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</si>
  <si>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</si>
  <si>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</si>
  <si>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</si>
  <si>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</si>
  <si>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</si>
  <si>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</si>
  <si>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</si>
  <si>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</si>
  <si>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</si>
  <si>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</si>
  <si>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</si>
  <si>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</si>
  <si>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</si>
  <si>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</si>
  <si>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</si>
  <si>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</si>
  <si>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</si>
  <si>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</si>
  <si>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</si>
  <si>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</si>
  <si>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</si>
  <si>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</si>
  <si>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</si>
  <si>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</si>
  <si>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</si>
  <si>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</si>
  <si>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</si>
  <si>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</si>
  <si>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</si>
  <si>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</si>
  <si>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</si>
  <si>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</si>
  <si>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</si>
  <si>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</si>
  <si>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</si>
  <si>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</si>
  <si>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</si>
  <si>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</si>
  <si>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</si>
  <si>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</si>
  <si>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</si>
  <si>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</si>
  <si>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</si>
  <si>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</si>
  <si>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</si>
  <si>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</si>
  <si>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</si>
  <si>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</si>
  <si>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</si>
  <si>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</si>
  <si>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</si>
  <si>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</si>
  <si>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</si>
  <si>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</si>
  <si>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</si>
  <si>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</si>
  <si>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</si>
  <si>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</si>
  <si>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</si>
  <si>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</si>
  <si>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</si>
  <si>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</si>
  <si>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</si>
  <si>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</si>
  <si>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</si>
  <si>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</si>
  <si>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</si>
  <si>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</si>
  <si>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</si>
  <si>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</si>
  <si>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</si>
  <si>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</si>
  <si>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</si>
  <si>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</si>
  <si>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</si>
  <si>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</si>
  <si>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</si>
  <si>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</si>
  <si>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</si>
  <si>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</si>
  <si>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</si>
  <si>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</si>
  <si>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</si>
  <si>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</si>
  <si>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</si>
  <si>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</si>
  <si>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</si>
  <si>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</si>
  <si>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</si>
  <si>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</si>
  <si>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</si>
  <si>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</si>
  <si>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</si>
  <si>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</si>
  <si>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</si>
  <si>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</si>
  <si>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</si>
  <si>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</si>
  <si>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</si>
  <si>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</si>
  <si>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</si>
  <si>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</si>
  <si>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</si>
  <si>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</si>
  <si>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</si>
  <si>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</si>
  <si>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</si>
  <si>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</si>
  <si>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</si>
  <si>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</si>
  <si>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</si>
  <si>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</si>
  <si>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</si>
  <si>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</si>
  <si>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</si>
  <si>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</si>
  <si>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</si>
  <si>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</si>
  <si>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</si>
  <si>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</si>
  <si>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</si>
  <si>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</si>
  <si>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</si>
  <si>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</si>
  <si>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</si>
  <si>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</si>
  <si>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</si>
  <si>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</si>
  <si>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</si>
  <si>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</si>
  <si>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</si>
  <si>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</si>
  <si>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</si>
  <si>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</si>
  <si>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</si>
  <si>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</si>
  <si>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</si>
  <si>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</si>
  <si>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</si>
  <si>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</si>
  <si>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</si>
  <si>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</si>
  <si>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</si>
  <si>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</si>
  <si>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</si>
  <si>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</si>
  <si>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</si>
  <si>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</si>
  <si>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</si>
  <si>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</si>
  <si>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</si>
  <si>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</si>
  <si>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</si>
  <si>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</si>
  <si>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</si>
  <si>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</si>
  <si>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</si>
  <si>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</si>
  <si>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</si>
  <si>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</si>
  <si>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</si>
  <si>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</si>
  <si>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</si>
  <si>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</si>
  <si>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</si>
  <si>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</si>
  <si>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</si>
  <si>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</si>
  <si>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</si>
  <si>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</si>
  <si>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</si>
  <si>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</si>
  <si>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</si>
  <si>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</si>
  <si>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</si>
  <si>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</si>
  <si>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</si>
  <si>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</si>
  <si>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</si>
  <si>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</si>
  <si>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</si>
  <si>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</si>
  <si>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</si>
  <si>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</si>
  <si>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</si>
  <si>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</si>
  <si>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</si>
  <si>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</si>
  <si>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</si>
  <si>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</si>
  <si>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</si>
  <si>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</si>
  <si>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</si>
  <si>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</si>
  <si>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</si>
  <si>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</si>
  <si>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</si>
  <si>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</si>
  <si>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</si>
  <si>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</si>
  <si>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</si>
  <si>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</si>
  <si>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</si>
  <si>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</si>
  <si>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</si>
  <si>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</si>
  <si>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</si>
  <si>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</si>
  <si>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</si>
  <si>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</si>
  <si>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</si>
  <si>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</si>
  <si>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</si>
  <si>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</si>
  <si>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</si>
  <si>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</si>
  <si>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</si>
  <si>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</si>
  <si>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</si>
  <si>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</si>
  <si>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</si>
  <si>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</si>
  <si>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</si>
  <si>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</si>
  <si>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</si>
  <si>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</si>
  <si>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</si>
  <si>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</si>
  <si>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</si>
  <si>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</si>
  <si>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</si>
  <si>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</si>
  <si>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</si>
  <si>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</si>
  <si>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</si>
  <si>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</si>
  <si>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</si>
  <si>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</si>
  <si>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</si>
  <si>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</si>
  <si>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</si>
  <si>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</si>
  <si>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</si>
  <si>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</si>
  <si>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</si>
  <si>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</si>
  <si>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</si>
  <si>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</si>
  <si>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</si>
  <si>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</si>
  <si>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</si>
  <si>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</si>
  <si>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</si>
  <si>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</si>
  <si>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</si>
  <si>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</si>
  <si>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</si>
  <si>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</si>
  <si>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</si>
  <si>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</si>
  <si>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</si>
  <si>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</si>
  <si>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</si>
  <si>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</si>
  <si>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</si>
  <si>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</si>
  <si>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</si>
  <si>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</si>
  <si>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</si>
  <si>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</si>
  <si>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</si>
  <si>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</si>
  <si>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</si>
  <si>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</si>
  <si>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</si>
  <si>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</si>
  <si>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</si>
  <si>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</si>
  <si>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</si>
  <si>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</si>
  <si>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</si>
  <si>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</si>
  <si>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</si>
  <si>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</si>
  <si>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</si>
  <si>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</si>
  <si>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</si>
  <si>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</si>
  <si>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</si>
  <si>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</si>
  <si>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</si>
  <si>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</si>
  <si>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</si>
  <si>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</si>
  <si>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</si>
  <si>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</si>
  <si>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</si>
  <si>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</si>
  <si>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</si>
  <si>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</si>
  <si>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</si>
  <si>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</si>
  <si>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</si>
  <si>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</si>
  <si>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</si>
  <si>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</si>
  <si>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</si>
  <si>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</si>
  <si>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</si>
  <si>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</si>
  <si>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</si>
  <si>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</si>
  <si>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</si>
  <si>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</si>
  <si>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</si>
  <si>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</si>
  <si>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</si>
  <si>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</si>
  <si>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</si>
  <si>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</si>
  <si>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</si>
  <si>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</si>
  <si>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</si>
  <si>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</si>
  <si>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</si>
  <si>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</si>
  <si>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</si>
  <si>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</si>
  <si>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</si>
  <si>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</si>
  <si>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</si>
  <si>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</si>
  <si>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</si>
  <si>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</si>
  <si>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</si>
  <si>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</si>
  <si>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</si>
  <si>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</si>
  <si>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</si>
  <si>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</si>
  <si>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</si>
  <si>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</si>
  <si>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</si>
  <si>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</si>
  <si>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</si>
  <si>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</si>
  <si>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</si>
  <si>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</si>
  <si>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</si>
  <si>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</si>
  <si>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</si>
  <si>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</si>
  <si>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</si>
  <si>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</si>
  <si>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</si>
  <si>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</si>
  <si>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</si>
  <si>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</si>
  <si>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</si>
  <si>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</si>
  <si>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</si>
  <si>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</si>
  <si>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</si>
  <si>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</si>
  <si>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</si>
  <si>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</si>
  <si>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</si>
  <si>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</si>
  <si>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</si>
  <si>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</si>
  <si>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</si>
  <si>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</si>
  <si>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</si>
  <si>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</si>
  <si>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</si>
  <si>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</si>
  <si>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</si>
  <si>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</si>
  <si>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</si>
  <si>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</si>
  <si>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</si>
  <si>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</si>
  <si>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</si>
  <si>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</si>
  <si>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</si>
  <si>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</si>
  <si>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</si>
  <si>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</si>
  <si>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</si>
  <si>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</si>
  <si>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</si>
  <si>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</si>
  <si>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</si>
  <si>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</si>
  <si>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</si>
  <si>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</si>
  <si>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</si>
  <si>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</si>
  <si>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</si>
  <si>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</si>
  <si>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</si>
  <si>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</si>
  <si>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</si>
  <si>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</si>
  <si>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</si>
  <si>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</si>
  <si>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</si>
  <si>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</si>
  <si>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</si>
  <si>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</si>
  <si>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</si>
  <si>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</si>
  <si>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</si>
  <si>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</si>
  <si>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</si>
  <si>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</si>
  <si>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</si>
  <si>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</si>
  <si>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</si>
  <si>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</si>
  <si>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</si>
  <si>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</si>
  <si>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</si>
  <si>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</si>
  <si>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</si>
  <si>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</si>
  <si>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</si>
  <si>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</si>
  <si>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</si>
  <si>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</si>
  <si>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</si>
  <si>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</si>
  <si>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</si>
  <si>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</si>
  <si>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</si>
  <si>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</si>
  <si>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</si>
  <si>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</si>
  <si>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</si>
  <si>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</si>
  <si>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</si>
  <si>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</si>
  <si>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</si>
  <si>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</si>
  <si>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</si>
  <si>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</si>
  <si>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</si>
  <si>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</si>
  <si>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</si>
  <si>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</si>
  <si>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</si>
  <si>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</si>
  <si>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</si>
  <si>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</si>
  <si>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</si>
  <si>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</si>
  <si>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</si>
  <si>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</si>
  <si>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</si>
  <si>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</si>
  <si>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</si>
  <si>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</si>
  <si>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</si>
  <si>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</si>
  <si>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</si>
  <si>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</si>
  <si>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</si>
  <si>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</si>
  <si>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</si>
  <si>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</si>
  <si>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</si>
  <si>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</si>
  <si>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</si>
  <si>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</si>
  <si>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</si>
  <si>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</si>
  <si>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</si>
  <si>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</si>
  <si>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</si>
  <si>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</si>
  <si>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</si>
  <si>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</si>
  <si>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</si>
  <si>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</si>
  <si>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</si>
  <si>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</si>
  <si>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</si>
  <si>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</si>
  <si>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</si>
  <si>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</si>
  <si>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</si>
  <si>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</si>
  <si>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</si>
  <si>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</si>
  <si>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</si>
  <si>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</si>
  <si>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</si>
  <si>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</si>
  <si>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</si>
  <si>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</si>
  <si>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</si>
  <si>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</si>
  <si>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</si>
  <si>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</si>
  <si>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</si>
  <si>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</si>
  <si>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</si>
  <si>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</si>
  <si>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</si>
  <si>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</si>
  <si>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</si>
  <si>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</si>
  <si>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</si>
  <si>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</si>
  <si>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</si>
  <si>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</si>
  <si>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</si>
  <si>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</si>
  <si>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</si>
  <si>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</si>
  <si>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</si>
  <si>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</si>
  <si>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</si>
  <si>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</si>
  <si>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</si>
  <si>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</si>
  <si>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</si>
  <si>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</si>
  <si>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</si>
  <si>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</si>
  <si>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</si>
  <si>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</si>
  <si>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</si>
  <si>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</si>
  <si>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</si>
  <si>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</si>
  <si>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</si>
  <si>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</si>
  <si>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</si>
  <si>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</si>
  <si>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</si>
  <si>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</si>
  <si>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</si>
  <si>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</si>
  <si>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</si>
  <si>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</si>
  <si>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</si>
  <si>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</si>
  <si>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</si>
  <si>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</si>
  <si>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</si>
  <si>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</si>
  <si>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</si>
  <si>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</si>
  <si>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</si>
  <si>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</si>
  <si>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</si>
  <si>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</si>
  <si>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</si>
  <si>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</si>
  <si>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</si>
  <si>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</si>
  <si>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</si>
  <si>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</si>
  <si>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</si>
  <si>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</si>
  <si>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</si>
  <si>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</si>
  <si>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</si>
  <si>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</si>
  <si>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</si>
  <si>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</si>
  <si>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</si>
  <si>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</si>
  <si>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</si>
  <si>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</si>
  <si>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</si>
  <si>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</si>
  <si>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</si>
  <si>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</si>
  <si>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</si>
  <si>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</si>
  <si>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</si>
  <si>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</si>
  <si>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</si>
  <si>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</si>
  <si>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</si>
  <si>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</si>
  <si>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</si>
  <si>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</si>
  <si>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</si>
  <si>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</si>
  <si>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</si>
  <si>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</si>
  <si>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</si>
  <si>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</si>
  <si>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</si>
  <si>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</si>
  <si>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</si>
  <si>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</si>
  <si>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</si>
  <si>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</si>
  <si>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</si>
  <si>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</si>
  <si>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</si>
  <si>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</si>
  <si>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</si>
  <si>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</si>
  <si>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</si>
  <si>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</si>
  <si>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</si>
  <si>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</si>
  <si>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</si>
  <si>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</si>
  <si>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</si>
  <si>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</si>
  <si>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</si>
  <si>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</si>
  <si>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</si>
  <si>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</si>
  <si>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</si>
  <si>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</si>
  <si>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</si>
  <si>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</si>
  <si>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</si>
  <si>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</si>
  <si>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</si>
  <si>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</si>
  <si>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</si>
  <si>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</si>
  <si>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</si>
  <si>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</si>
  <si>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</si>
  <si>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</si>
  <si>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</si>
  <si>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</si>
  <si>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</si>
  <si>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</si>
  <si>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</si>
  <si>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</si>
  <si>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</si>
  <si>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</si>
  <si>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</si>
  <si>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</si>
  <si>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</si>
  <si>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</si>
  <si>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</si>
  <si>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</si>
  <si>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</si>
  <si>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</si>
  <si>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</si>
  <si>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</si>
  <si>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</si>
  <si>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</si>
  <si>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</si>
  <si>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</si>
  <si>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</si>
  <si>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</si>
  <si>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</si>
  <si>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</si>
  <si>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</si>
  <si>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</si>
  <si>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</si>
  <si>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</si>
  <si>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</si>
  <si>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</si>
  <si>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</si>
  <si>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</si>
  <si>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</si>
  <si>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</si>
  <si>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</si>
  <si>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</si>
  <si>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</si>
  <si>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</si>
  <si>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</si>
  <si>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</si>
  <si>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</si>
  <si>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</si>
  <si>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</si>
  <si>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</si>
  <si>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</si>
  <si>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</si>
  <si>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</si>
  <si>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</si>
  <si>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</si>
  <si>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</si>
  <si>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</si>
  <si>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</si>
  <si>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</si>
  <si>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</si>
  <si>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</si>
  <si>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</si>
  <si>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</si>
  <si>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</si>
  <si>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</si>
  <si>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</si>
  <si>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</si>
  <si>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</si>
  <si>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</si>
  <si>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</si>
  <si>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</si>
  <si>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</si>
  <si>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</si>
  <si>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</si>
  <si>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</si>
  <si>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</si>
  <si>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</si>
  <si>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</si>
  <si>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</si>
  <si>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</si>
  <si>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</si>
  <si>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</si>
  <si>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</si>
  <si>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</si>
  <si>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</si>
  <si>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</si>
  <si>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</si>
  <si>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</si>
  <si>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</si>
  <si>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</si>
  <si>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</si>
  <si>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</si>
  <si>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</si>
  <si>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</si>
  <si>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</si>
  <si>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</si>
  <si>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</si>
  <si>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</si>
  <si>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</si>
  <si>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</si>
  <si>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</si>
  <si>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</si>
  <si>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</si>
  <si>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</si>
  <si>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</si>
  <si>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</si>
  <si>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</si>
  <si>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</si>
  <si>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</si>
  <si>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</si>
  <si>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</si>
  <si>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</si>
  <si>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</si>
  <si>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</si>
  <si>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</si>
  <si>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</si>
  <si>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</si>
  <si>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</si>
  <si>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</si>
  <si>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</si>
  <si>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</si>
  <si>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</si>
  <si>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</si>
  <si>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</si>
  <si>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</si>
  <si>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</si>
  <si>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</si>
  <si>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</si>
  <si>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</si>
  <si>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</si>
  <si>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</si>
  <si>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</si>
  <si>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</si>
  <si>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</si>
  <si>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</si>
  <si>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</si>
  <si>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</si>
  <si>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</si>
  <si>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</si>
  <si>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</si>
  <si>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</si>
  <si>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</si>
  <si>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</si>
  <si>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</si>
  <si>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</si>
  <si>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</si>
  <si>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</si>
  <si>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</si>
  <si>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</si>
  <si>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</si>
  <si>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</si>
  <si>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</si>
  <si>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</si>
  <si>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</si>
  <si>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</si>
  <si>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</si>
  <si>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</si>
  <si>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</si>
  <si>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</si>
  <si>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</si>
  <si>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</si>
  <si>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</si>
  <si>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</si>
  <si>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</si>
  <si>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</si>
  <si>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</si>
  <si>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</si>
  <si>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</si>
  <si>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</si>
  <si>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</si>
  <si>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</si>
  <si>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</si>
  <si>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</si>
  <si>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</si>
  <si>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</si>
  <si>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</si>
  <si>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</si>
  <si>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</si>
  <si>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</si>
  <si>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</si>
  <si>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</si>
  <si>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</si>
  <si>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</si>
  <si>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</si>
  <si>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</si>
  <si>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</si>
  <si>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</si>
  <si>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</si>
  <si>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</si>
  <si>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</si>
  <si>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</si>
  <si>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</si>
  <si>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</si>
  <si>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</si>
  <si>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</si>
  <si>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</si>
  <si>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</si>
  <si>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</si>
  <si>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</si>
  <si>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</si>
  <si>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</si>
  <si>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</si>
  <si>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</si>
  <si>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</si>
  <si>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</si>
  <si>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</si>
  <si>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</si>
  <si>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</si>
  <si>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</si>
  <si>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</si>
  <si>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</si>
  <si>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</si>
  <si>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</si>
  <si>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</si>
  <si>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</si>
  <si>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</si>
  <si>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</si>
  <si>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</si>
  <si>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</si>
  <si>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</si>
  <si>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</si>
  <si>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</si>
  <si>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</si>
  <si>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</si>
  <si>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</si>
  <si>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</si>
  <si>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</si>
  <si>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</si>
  <si>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</si>
  <si>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</si>
  <si>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</si>
  <si>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</si>
  <si>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</si>
  <si>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</si>
  <si>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</si>
  <si>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</si>
  <si>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</si>
  <si>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</si>
  <si>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</si>
  <si>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</si>
  <si>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</si>
  <si>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</si>
  <si>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</si>
  <si>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</si>
  <si>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</si>
  <si>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</si>
  <si>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</si>
  <si>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</si>
  <si>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</si>
  <si>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</si>
  <si>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</si>
  <si>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</si>
  <si>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</si>
  <si>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</si>
  <si>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</si>
  <si>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</si>
  <si>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</si>
  <si>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</si>
  <si>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</si>
  <si>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</si>
  <si>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</si>
  <si>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</si>
  <si>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</si>
  <si>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</si>
  <si>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</si>
  <si>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</si>
  <si>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</si>
  <si>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</si>
  <si>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</si>
  <si>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</si>
  <si>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</si>
  <si>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</si>
  <si>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</si>
  <si>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</si>
  <si>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</si>
  <si>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</si>
  <si>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</si>
  <si>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</si>
  <si>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</si>
  <si>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</si>
  <si>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</si>
  <si>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</si>
  <si>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</si>
  <si>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</si>
  <si>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</si>
  <si>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</si>
  <si>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</si>
  <si>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</si>
  <si>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</si>
  <si>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</si>
  <si>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</si>
  <si>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</si>
  <si>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</si>
  <si>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</si>
  <si>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</si>
  <si>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</si>
  <si>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</si>
  <si>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</si>
  <si>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</si>
  <si>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</si>
  <si>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</si>
  <si>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</si>
  <si>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</si>
  <si>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</si>
  <si>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</si>
  <si>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</si>
  <si>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</si>
  <si>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</si>
  <si>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</si>
  <si>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</si>
  <si>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</si>
  <si>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</si>
  <si>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</si>
  <si>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</si>
  <si>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</si>
  <si>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</si>
  <si>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</si>
  <si>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</si>
  <si>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</si>
  <si>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</si>
  <si>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</si>
  <si>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</si>
  <si>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</si>
  <si>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</si>
  <si>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</si>
  <si>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</si>
  <si>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</si>
  <si>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</si>
  <si>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</si>
  <si>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</si>
  <si>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</si>
  <si>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</si>
  <si>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</si>
  <si>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</si>
  <si>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</si>
  <si>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</si>
  <si>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</si>
  <si>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</si>
  <si>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</si>
  <si>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</si>
  <si>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</si>
  <si>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</si>
  <si>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</si>
  <si>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</si>
  <si>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</si>
  <si>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</si>
  <si>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</si>
  <si>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</si>
  <si>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</si>
  <si>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</si>
  <si>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</si>
  <si>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</si>
  <si>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</si>
  <si>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</si>
  <si>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</si>
  <si>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</si>
  <si>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</si>
  <si>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</si>
  <si>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</si>
  <si>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</si>
  <si>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</si>
  <si>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</si>
  <si>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</si>
  <si>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</si>
  <si>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</si>
  <si>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</si>
  <si>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</si>
  <si>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</si>
  <si>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</si>
  <si>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</si>
  <si>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</si>
  <si>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</si>
  <si>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</si>
  <si>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</si>
  <si>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</si>
  <si>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</si>
  <si>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</si>
  <si>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</si>
  <si>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</si>
  <si>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</si>
  <si>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</si>
  <si>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</si>
  <si>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</si>
  <si>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</si>
  <si>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</si>
  <si>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</si>
  <si>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</si>
  <si>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</si>
  <si>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</si>
  <si>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</si>
  <si>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</si>
  <si>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</si>
  <si>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</si>
  <si>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</si>
  <si>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</si>
  <si>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</si>
  <si>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</si>
  <si>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</si>
  <si>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</si>
  <si>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</si>
  <si>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</si>
  <si>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</si>
  <si>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</si>
  <si>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</si>
  <si>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tcn</t>
  </si>
  <si>
    <t>reservas</t>
  </si>
  <si>
    <t>componente</t>
  </si>
  <si>
    <t>titulos publicos</t>
  </si>
  <si>
    <t>valor en miles de dolares</t>
  </si>
  <si>
    <t>letras del tesoro</t>
  </si>
  <si>
    <t>prestamos internacionales</t>
  </si>
  <si>
    <t>otros prestamos</t>
  </si>
  <si>
    <t>adelantos transitorios</t>
  </si>
  <si>
    <t>otros</t>
  </si>
  <si>
    <t>deuda_porc</t>
  </si>
  <si>
    <t>fecha_tcn</t>
  </si>
  <si>
    <t/>
  </si>
  <si>
    <t>desempleo</t>
  </si>
  <si>
    <t>w_formal</t>
  </si>
  <si>
    <t>w_informal</t>
  </si>
  <si>
    <t>2003-12</t>
  </si>
  <si>
    <t>2004-6</t>
  </si>
  <si>
    <t>2004-12</t>
  </si>
  <si>
    <t>2005-6</t>
  </si>
  <si>
    <t>2005-12</t>
  </si>
  <si>
    <t>2006-6</t>
  </si>
  <si>
    <t>2006-12</t>
  </si>
  <si>
    <t>2007-6</t>
  </si>
  <si>
    <t>2007-12</t>
  </si>
  <si>
    <t>2008-6</t>
  </si>
  <si>
    <t>2008-12</t>
  </si>
  <si>
    <t>2009-6</t>
  </si>
  <si>
    <t>2009-12</t>
  </si>
  <si>
    <t>2010-6</t>
  </si>
  <si>
    <t>2010-12</t>
  </si>
  <si>
    <t>2011-6</t>
  </si>
  <si>
    <t>2011-12</t>
  </si>
  <si>
    <t>2012-6</t>
  </si>
  <si>
    <t>2012-12</t>
  </si>
  <si>
    <t>2013-6</t>
  </si>
  <si>
    <t>2013-12</t>
  </si>
  <si>
    <t>2014-6</t>
  </si>
  <si>
    <t>2014-12</t>
  </si>
  <si>
    <t>2015-6</t>
  </si>
  <si>
    <t>2016-12</t>
  </si>
  <si>
    <t>2017-6</t>
  </si>
  <si>
    <t>2017-12</t>
  </si>
  <si>
    <t>2018-6</t>
  </si>
  <si>
    <t>2018-12</t>
  </si>
  <si>
    <t>2019-6</t>
  </si>
  <si>
    <t>2019-12</t>
  </si>
  <si>
    <t>2020-6</t>
  </si>
  <si>
    <t>2020-12</t>
  </si>
  <si>
    <t>2021-6</t>
  </si>
  <si>
    <t>2021-12</t>
  </si>
  <si>
    <t>2022-6</t>
  </si>
  <si>
    <t>2022-12</t>
  </si>
  <si>
    <t>2023-6</t>
  </si>
  <si>
    <t>2023-12</t>
  </si>
  <si>
    <t>2024-6</t>
  </si>
  <si>
    <t>decil</t>
  </si>
  <si>
    <t>cc_pbi</t>
  </si>
  <si>
    <t>2005-01-01</t>
  </si>
  <si>
    <t>2005-04-01</t>
  </si>
  <si>
    <t>2005-07-01</t>
  </si>
  <si>
    <t>2005-10-01</t>
  </si>
  <si>
    <t>2006-01-01</t>
  </si>
  <si>
    <t>2006-04-01</t>
  </si>
  <si>
    <t>2006-07-01</t>
  </si>
  <si>
    <t>2006-10-01</t>
  </si>
  <si>
    <t>2007-01-01</t>
  </si>
  <si>
    <t>2007-04-01</t>
  </si>
  <si>
    <t>2007-07-01</t>
  </si>
  <si>
    <t>2007-10-01</t>
  </si>
  <si>
    <t>2008-01-01</t>
  </si>
  <si>
    <t>2008-04-01</t>
  </si>
  <si>
    <t>2008-07-01</t>
  </si>
  <si>
    <t>2008-10-01</t>
  </si>
  <si>
    <t>2009-01-01</t>
  </si>
  <si>
    <t>2009-04-01</t>
  </si>
  <si>
    <t>2009-07-01</t>
  </si>
  <si>
    <t>2009-10-01</t>
  </si>
  <si>
    <t>2010-01-01</t>
  </si>
  <si>
    <t>2010-04-01</t>
  </si>
  <si>
    <t>2010-07-01</t>
  </si>
  <si>
    <t>2010-10-01</t>
  </si>
  <si>
    <t>2011-01-01</t>
  </si>
  <si>
    <t>2011-04-01</t>
  </si>
  <si>
    <t>2011-07-01</t>
  </si>
  <si>
    <t>2011-10-01</t>
  </si>
  <si>
    <t>2012-01-01</t>
  </si>
  <si>
    <t>2012-04-01</t>
  </si>
  <si>
    <t>2012-07-01</t>
  </si>
  <si>
    <t>2012-10-01</t>
  </si>
  <si>
    <t>2013-01-01</t>
  </si>
  <si>
    <t>2013-04-01</t>
  </si>
  <si>
    <t>2013-07-01</t>
  </si>
  <si>
    <t>2013-10-01</t>
  </si>
  <si>
    <t>2014-01-01</t>
  </si>
  <si>
    <t>2014-04-01</t>
  </si>
  <si>
    <t>2014-07-01</t>
  </si>
  <si>
    <t>2014-10-01</t>
  </si>
  <si>
    <t>tot</t>
  </si>
  <si>
    <t>total</t>
  </si>
  <si>
    <t>agricultura_ganaderia_caza_silvi</t>
  </si>
  <si>
    <t>construccion</t>
  </si>
  <si>
    <t>ensenianza</t>
  </si>
  <si>
    <t>explotacion_minas_canteras</t>
  </si>
  <si>
    <t>industria_manufacturera</t>
  </si>
  <si>
    <t>otras_sociedades_financieras</t>
  </si>
  <si>
    <t>salud_humana_servicios_sociales</t>
  </si>
  <si>
    <t>suministr_agua_cloacs_resid_recu</t>
  </si>
  <si>
    <t>suministro_electricidad_gas_vapo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</si>
</sst>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4">
    <numFmt numFmtId="41" formatCode="_-* #,##0_-;\-* #,##0_-;_-* &quot;-&quot;_-;_-@_-"/>
    <numFmt numFmtId="43" formatCode="_-* #,##0.00_-;\-* #,##0.00_-;_-* &quot;-&quot;??_-;_-@_-"/>
    <numFmt numFmtId="164" formatCode="_ * #,##0.00_ ;_ * \-#,##0.00_ ;_ * &quot;-&quot;??_ ;_ @_ "/>
    <numFmt numFmtId="165" formatCode="_ &quot;$&quot;\ * #,##0_ ;_ &quot;$&quot;\ * \-#,##0_ ;_ &quot;$&quot;\ * &quot;-&quot;_ ;_ @_ "/>
    <numFmt numFmtId="166" formatCode="_ * #,##0_ ;_ * \-#,##0_ ;_ * &quot;-&quot;_ ;_ @_ "/>
    <numFmt numFmtId="167" formatCode="_ &quot;$&quot;\ * #,##0.00_ ;_ &quot;$&quot;\ * \-#,##0.00_ ;_ &quot;$&quot;\ * &quot;-&quot;??_ ;_ @_ "/>
    <numFmt numFmtId="168" formatCode="#,##0.0"/>
    <numFmt numFmtId="169" formatCode="[$-F800]dddd\,\ mmmm\ dd\,\ yyyy"/>
    <numFmt numFmtId="170" formatCode="_-* #,##0\ _€_-;\-* #,##0\ _€_-;_-* &quot;-&quot;\ _€_-;_-@_-"/>
    <numFmt numFmtId="171" formatCode="_-* #,##0.00\ _€_-;\-* #,##0.00\ _€_-;_-* &quot;-&quot;??\ _€_-;_-@_-"/>
    <numFmt numFmtId="172" formatCode="_-* #,##0\ _P_t_a_-;\-* #,##0\ _P_t_a_-;_-* &quot;-&quot;\ _P_t_a_-;_-@_-"/>
    <numFmt numFmtId="173" formatCode="_-* #,##0\ _P_t_s_-;\-* #,##0\ _P_t_s_-;_-* &quot;-&quot;\ _P_t_s_-;_-@_-"/>
    <numFmt numFmtId="174" formatCode="_-* #,##0.00\ _P_t_s_-;\-* #,##0.00\ _P_t_s_-;_-* &quot;-&quot;??\ _P_t_s_-;_-@_-"/>
    <numFmt numFmtId="175" formatCode="#,##0,;\-\ #,##0,;&quot;--- &quot;"/>
    <numFmt numFmtId="176" formatCode="#,##0,,;\-\ #,##0,,;&quot;--- &quot;"/>
    <numFmt numFmtId="177" formatCode="#,##0.00_);\(#,##0.00\);&quot; --- &quot;"/>
    <numFmt numFmtId="178" formatCode="_(* #,##0.0000000_);_(* \(#,##0.0000000\);_(* &quot;-&quot;??_);_(@_)"/>
    <numFmt numFmtId="179" formatCode="_-* #,##0\ _€_-;\-* #,##0\ _€_-;_-* &quot;-&quot;??\ _€_-;_-@_-"/>
    <numFmt numFmtId="180" formatCode="#,"/>
    <numFmt numFmtId="181" formatCode="_-* #,##0\ _$_-;\-* #,##0\ _$_-;_-* &quot;-&quot;\ _$_-;_-@_-"/>
    <numFmt numFmtId="182" formatCode="_-* #,##0.00\ _P_t_a_-;\-* #,##0.00\ _P_t_a_-;_-* &quot;-&quot;??\ _P_t_a_-;_-@_-"/>
    <numFmt numFmtId="183" formatCode="_ * #,##0.0000_ ;_ * \-#,##0.0000_ ;_ * &quot;-&quot;????_ ;_ @_ "/>
    <numFmt numFmtId="184" formatCode="_-* #,##0.00\ [$€]_-;\-* #,##0.00\ [$€]_-;_-* &quot;-&quot;??\ [$€]_-;_-@_-"/>
    <numFmt numFmtId="185" formatCode="_ * #,##0.00_ ;_ * \-#,##0.00_ ;_ * &quot;-&quot;????_ ;_ @_ 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i/>
      <sz val="10"/>
      <name val="Arial"/>
      <family val="2"/>
    </font>
    <font>
      <sz val="11"/>
      <name val="Times New Roman"/>
      <family val="1"/>
    </font>
    <font>
      <sz val="10"/>
      <color indexed="22"/>
      <name val="MS Sans Serif"/>
      <family val="2"/>
    </font>
    <font>
      <sz val="10"/>
      <name val="MS Sans Serif"/>
      <family val="2"/>
    </font>
    <font>
      <u/>
      <sz val="10"/>
      <color indexed="12"/>
      <name val="Arial"/>
      <family val="2"/>
    </font>
    <font>
      <sz val="11"/>
      <name val="Book Antiqua"/>
      <family val="1"/>
    </font>
    <font>
      <u/>
      <sz val="7.5"/>
      <color indexed="12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1"/>
      <color indexed="10"/>
      <name val="Calibri"/>
      <family val="2"/>
    </font>
    <font>
      <sz val="10"/>
      <color indexed="12"/>
      <name val="Arial"/>
      <family val="2"/>
    </font>
    <font>
      <b/>
      <sz val="11"/>
      <color theme="1"/>
      <name val="Calibri"/>
    </font>
  </fonts>
  <fills count="28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rgb="FFDBE5F1"/>
        <bgColor rgb="FFDBE5F1"/>
      </patternFill>
    </fill>
  </fills>
  <borders count="16">
    <border>
      <left/>
      <right/>
      <top/>
      <bottom/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rgb="FF000000"/>
      </bottom>
      <diagonal/>
    </border>
  </borders>
  <cellStyleXfs count="730">
    <xf numFmtId="0" fontId="0" fillId="0" borderId="0"/>
    <xf numFmtId="0" fontId="3" fillId="0" borderId="0"/>
    <xf numFmtId="164" fontId="1" fillId="0" borderId="0" applyFont="0" applyFill="0" applyBorder="0" applyAlignment="0" applyProtection="0"/>
    <xf numFmtId="0" fontId="1" fillId="0" borderId="0"/>
    <xf numFmtId="0" fontId="2" fillId="0" borderId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4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6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3" borderId="0" applyNumberFormat="0" applyBorder="0" applyAlignment="0" applyProtection="0"/>
    <xf numFmtId="0" fontId="6" fillId="11" borderId="0" applyNumberFormat="0" applyBorder="0" applyAlignment="0" applyProtection="0"/>
    <xf numFmtId="0" fontId="6" fillId="8" borderId="0" applyNumberFormat="0" applyBorder="0" applyAlignment="0" applyProtection="0"/>
    <xf numFmtId="0" fontId="6" fillId="6" borderId="0" applyNumberFormat="0" applyBorder="0" applyAlignment="0" applyProtection="0"/>
    <xf numFmtId="0" fontId="6" fillId="4" borderId="0" applyNumberFormat="0" applyBorder="0" applyAlignment="0" applyProtection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12" borderId="0" applyNumberFormat="0" applyBorder="0" applyAlignment="0" applyProtection="0"/>
    <xf numFmtId="0" fontId="6" fillId="10" borderId="0" applyNumberFormat="0" applyBorder="0" applyAlignment="0" applyProtection="0"/>
    <xf numFmtId="0" fontId="6" fillId="2" borderId="0" applyNumberFormat="0" applyBorder="0" applyAlignment="0" applyProtection="0"/>
    <xf numFmtId="0" fontId="6" fillId="13" borderId="0" applyNumberFormat="0" applyBorder="0" applyAlignment="0" applyProtection="0"/>
    <xf numFmtId="0" fontId="16" fillId="6" borderId="0" applyNumberFormat="0" applyBorder="0" applyAlignment="0" applyProtection="0"/>
    <xf numFmtId="0" fontId="16" fillId="14" borderId="0" applyNumberFormat="0" applyBorder="0" applyAlignment="0" applyProtection="0"/>
    <xf numFmtId="0" fontId="16" fillId="13" borderId="0" applyNumberFormat="0" applyBorder="0" applyAlignment="0" applyProtection="0"/>
    <xf numFmtId="0" fontId="16" fillId="8" borderId="0" applyNumberFormat="0" applyBorder="0" applyAlignment="0" applyProtection="0"/>
    <xf numFmtId="0" fontId="16" fillId="6" borderId="0" applyNumberFormat="0" applyBorder="0" applyAlignment="0" applyProtection="0"/>
    <xf numFmtId="0" fontId="16" fillId="3" borderId="0" applyNumberFormat="0" applyBorder="0" applyAlignment="0" applyProtection="0"/>
    <xf numFmtId="0" fontId="16" fillId="15" borderId="0" applyNumberFormat="0" applyBorder="0" applyAlignment="0" applyProtection="0"/>
    <xf numFmtId="0" fontId="16" fillId="3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14" borderId="0" applyNumberFormat="0" applyBorder="0" applyAlignment="0" applyProtection="0"/>
    <xf numFmtId="0" fontId="16" fillId="13" borderId="0" applyNumberFormat="0" applyBorder="0" applyAlignment="0" applyProtection="0"/>
    <xf numFmtId="0" fontId="16" fillId="20" borderId="0" applyNumberFormat="0" applyBorder="0" applyAlignment="0" applyProtection="0"/>
    <xf numFmtId="0" fontId="16" fillId="17" borderId="0" applyNumberFormat="0" applyBorder="0" applyAlignment="0" applyProtection="0"/>
    <xf numFmtId="0" fontId="16" fillId="21" borderId="0" applyNumberFormat="0" applyBorder="0" applyAlignment="0" applyProtection="0"/>
    <xf numFmtId="0" fontId="5" fillId="0" borderId="0" applyNumberFormat="0" applyFill="0" applyBorder="0" applyAlignment="0" applyProtection="0"/>
    <xf numFmtId="0" fontId="23" fillId="10" borderId="0" applyNumberFormat="0" applyBorder="0" applyAlignment="0" applyProtection="0"/>
    <xf numFmtId="0" fontId="17" fillId="9" borderId="0" applyNumberFormat="0" applyBorder="0" applyAlignment="0" applyProtection="0"/>
    <xf numFmtId="0" fontId="36" fillId="22" borderId="2" applyNumberFormat="0" applyAlignment="0" applyProtection="0"/>
    <xf numFmtId="0" fontId="18" fillId="23" borderId="2" applyNumberFormat="0" applyAlignment="0" applyProtection="0"/>
    <xf numFmtId="0" fontId="19" fillId="24" borderId="3" applyNumberFormat="0" applyAlignment="0" applyProtection="0"/>
    <xf numFmtId="0" fontId="20" fillId="0" borderId="4" applyNumberFormat="0" applyFill="0" applyAlignment="0" applyProtection="0"/>
    <xf numFmtId="0" fontId="19" fillId="24" borderId="3" applyNumberFormat="0" applyAlignment="0" applyProtection="0"/>
    <xf numFmtId="3" fontId="9" fillId="0" borderId="0" applyFont="0" applyFill="0" applyBorder="0" applyAlignment="0" applyProtection="0"/>
    <xf numFmtId="178" fontId="5" fillId="0" borderId="0" applyFont="0" applyFill="0" applyBorder="0" applyAlignment="0" applyProtection="0"/>
    <xf numFmtId="175" fontId="12" fillId="0" borderId="0" applyFont="0" applyFill="0" applyBorder="0" applyAlignment="0" applyProtection="0"/>
    <xf numFmtId="176" fontId="12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16" fillId="25" borderId="0" applyNumberFormat="0" applyBorder="0" applyAlignment="0" applyProtection="0"/>
    <xf numFmtId="0" fontId="16" fillId="21" borderId="0" applyNumberFormat="0" applyBorder="0" applyAlignment="0" applyProtection="0"/>
    <xf numFmtId="0" fontId="16" fillId="2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4" borderId="0" applyNumberFormat="0" applyBorder="0" applyAlignment="0" applyProtection="0"/>
    <xf numFmtId="0" fontId="22" fillId="5" borderId="2" applyNumberFormat="0" applyAlignment="0" applyProtection="0"/>
    <xf numFmtId="0" fontId="5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0" fillId="0" borderId="0"/>
    <xf numFmtId="0" fontId="17" fillId="6" borderId="0" applyNumberFormat="0" applyBorder="0" applyAlignment="0" applyProtection="0"/>
    <xf numFmtId="0" fontId="33" fillId="0" borderId="5" applyNumberFormat="0" applyFill="0" applyAlignment="0" applyProtection="0"/>
    <xf numFmtId="0" fontId="34" fillId="0" borderId="6" applyNumberFormat="0" applyFill="0" applyAlignment="0" applyProtection="0"/>
    <xf numFmtId="0" fontId="35" fillId="0" borderId="7" applyNumberFormat="0" applyFill="0" applyAlignment="0" applyProtection="0"/>
    <xf numFmtId="0" fontId="35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23" fillId="8" borderId="0" applyNumberFormat="0" applyBorder="0" applyAlignment="0" applyProtection="0"/>
    <xf numFmtId="0" fontId="22" fillId="11" borderId="2" applyNumberFormat="0" applyAlignment="0" applyProtection="0"/>
    <xf numFmtId="15" fontId="5" fillId="0" borderId="0"/>
    <xf numFmtId="0" fontId="26" fillId="0" borderId="8" applyNumberFormat="0" applyFill="0" applyAlignment="0" applyProtection="0"/>
    <xf numFmtId="174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" fontId="8" fillId="0" borderId="0" applyFont="0" applyFill="0" applyBorder="0" applyAlignment="0" applyProtection="0"/>
    <xf numFmtId="0" fontId="24" fillId="11" borderId="0" applyNumberFormat="0" applyBorder="0" applyAlignment="0" applyProtection="0"/>
    <xf numFmtId="0" fontId="6" fillId="4" borderId="9" applyNumberFormat="0" applyFont="0" applyAlignment="0" applyProtection="0"/>
    <xf numFmtId="0" fontId="5" fillId="4" borderId="9" applyNumberFormat="0" applyFont="0" applyAlignment="0" applyProtection="0"/>
    <xf numFmtId="177" fontId="7" fillId="0" borderId="0" applyFont="0" applyFill="0" applyBorder="0" applyAlignment="0" applyProtection="0"/>
    <xf numFmtId="180" fontId="15" fillId="0" borderId="0">
      <protection locked="0"/>
    </xf>
    <xf numFmtId="0" fontId="25" fillId="22" borderId="10" applyNumberFormat="0" applyAlignment="0" applyProtection="0"/>
    <xf numFmtId="9" fontId="5" fillId="0" borderId="0" applyFont="0" applyFill="0" applyBorder="0" applyAlignment="0" applyProtection="0"/>
    <xf numFmtId="0" fontId="25" fillId="23" borderId="10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21" fillId="0" borderId="13" applyNumberFormat="0" applyFill="0" applyAlignment="0" applyProtection="0"/>
    <xf numFmtId="0" fontId="31" fillId="0" borderId="14" applyNumberFormat="0" applyFill="0" applyAlignment="0" applyProtection="0"/>
    <xf numFmtId="0" fontId="10" fillId="0" borderId="0"/>
    <xf numFmtId="0" fontId="26" fillId="0" borderId="0" applyNumberFormat="0" applyFill="0" applyBorder="0" applyAlignment="0" applyProtection="0"/>
    <xf numFmtId="0" fontId="16" fillId="14" borderId="0" applyNumberFormat="0" applyBorder="0" applyAlignment="0" applyProtection="0"/>
    <xf numFmtId="0" fontId="16" fillId="19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6" borderId="0" applyNumberFormat="0" applyBorder="0" applyAlignment="0" applyProtection="0"/>
    <xf numFmtId="0" fontId="6" fillId="5" borderId="0" applyNumberFormat="0" applyBorder="0" applyAlignment="0" applyProtection="0"/>
    <xf numFmtId="0" fontId="16" fillId="3" borderId="0" applyNumberFormat="0" applyBorder="0" applyAlignment="0" applyProtection="0"/>
    <xf numFmtId="0" fontId="16" fillId="6" borderId="0" applyNumberFormat="0" applyBorder="0" applyAlignment="0" applyProtection="0"/>
    <xf numFmtId="0" fontId="16" fillId="8" borderId="0" applyNumberFormat="0" applyBorder="0" applyAlignment="0" applyProtection="0"/>
    <xf numFmtId="0" fontId="16" fillId="13" borderId="0" applyNumberFormat="0" applyBorder="0" applyAlignment="0" applyProtection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12" borderId="0" applyNumberFormat="0" applyBorder="0" applyAlignment="0" applyProtection="0"/>
    <xf numFmtId="0" fontId="6" fillId="10" borderId="0" applyNumberFormat="0" applyBorder="0" applyAlignment="0" applyProtection="0"/>
    <xf numFmtId="0" fontId="6" fillId="2" borderId="0" applyNumberFormat="0" applyBorder="0" applyAlignment="0" applyProtection="0"/>
    <xf numFmtId="0" fontId="6" fillId="13" borderId="0" applyNumberFormat="0" applyBorder="0" applyAlignment="0" applyProtection="0"/>
    <xf numFmtId="0" fontId="16" fillId="6" borderId="0" applyNumberFormat="0" applyBorder="0" applyAlignment="0" applyProtection="0"/>
    <xf numFmtId="0" fontId="16" fillId="14" borderId="0" applyNumberFormat="0" applyBorder="0" applyAlignment="0" applyProtection="0"/>
    <xf numFmtId="0" fontId="16" fillId="13" borderId="0" applyNumberFormat="0" applyBorder="0" applyAlignment="0" applyProtection="0"/>
    <xf numFmtId="0" fontId="16" fillId="8" borderId="0" applyNumberFormat="0" applyBorder="0" applyAlignment="0" applyProtection="0"/>
    <xf numFmtId="0" fontId="16" fillId="6" borderId="0" applyNumberFormat="0" applyBorder="0" applyAlignment="0" applyProtection="0"/>
    <xf numFmtId="0" fontId="16" fillId="3" borderId="0" applyNumberFormat="0" applyBorder="0" applyAlignment="0" applyProtection="0"/>
    <xf numFmtId="0" fontId="16" fillId="15" borderId="0" applyNumberFormat="0" applyBorder="0" applyAlignment="0" applyProtection="0"/>
    <xf numFmtId="0" fontId="16" fillId="3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14" borderId="0" applyNumberFormat="0" applyBorder="0" applyAlignment="0" applyProtection="0"/>
    <xf numFmtId="0" fontId="16" fillId="13" borderId="0" applyNumberFormat="0" applyBorder="0" applyAlignment="0" applyProtection="0"/>
    <xf numFmtId="0" fontId="16" fillId="20" borderId="0" applyNumberFormat="0" applyBorder="0" applyAlignment="0" applyProtection="0"/>
    <xf numFmtId="0" fontId="16" fillId="17" borderId="0" applyNumberFormat="0" applyBorder="0" applyAlignment="0" applyProtection="0"/>
    <xf numFmtId="0" fontId="16" fillId="21" borderId="0" applyNumberFormat="0" applyBorder="0" applyAlignment="0" applyProtection="0"/>
    <xf numFmtId="0" fontId="16" fillId="14" borderId="0" applyNumberFormat="0" applyBorder="0" applyAlignment="0" applyProtection="0"/>
    <xf numFmtId="0" fontId="23" fillId="10" borderId="0" applyNumberFormat="0" applyBorder="0" applyAlignment="0" applyProtection="0"/>
    <xf numFmtId="0" fontId="17" fillId="9" borderId="0" applyNumberFormat="0" applyBorder="0" applyAlignment="0" applyProtection="0"/>
    <xf numFmtId="0" fontId="16" fillId="6" borderId="0" applyNumberFormat="0" applyBorder="0" applyAlignment="0" applyProtection="0"/>
    <xf numFmtId="0" fontId="18" fillId="23" borderId="2" applyNumberFormat="0" applyAlignment="0" applyProtection="0"/>
    <xf numFmtId="0" fontId="19" fillId="24" borderId="3" applyNumberFormat="0" applyAlignment="0" applyProtection="0"/>
    <xf numFmtId="0" fontId="20" fillId="0" borderId="4" applyNumberFormat="0" applyFill="0" applyAlignment="0" applyProtection="0"/>
    <xf numFmtId="0" fontId="19" fillId="24" borderId="3" applyNumberFormat="0" applyAlignment="0" applyProtection="0"/>
    <xf numFmtId="0" fontId="21" fillId="0" borderId="0" applyNumberFormat="0" applyFill="0" applyBorder="0" applyAlignment="0" applyProtection="0"/>
    <xf numFmtId="0" fontId="16" fillId="25" borderId="0" applyNumberFormat="0" applyBorder="0" applyAlignment="0" applyProtection="0"/>
    <xf numFmtId="0" fontId="16" fillId="21" borderId="0" applyNumberFormat="0" applyBorder="0" applyAlignment="0" applyProtection="0"/>
    <xf numFmtId="0" fontId="16" fillId="2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4" borderId="0" applyNumberFormat="0" applyBorder="0" applyAlignment="0" applyProtection="0"/>
    <xf numFmtId="0" fontId="22" fillId="5" borderId="2" applyNumberFormat="0" applyAlignment="0" applyProtection="0"/>
    <xf numFmtId="0" fontId="27" fillId="0" borderId="0" applyNumberFormat="0" applyFill="0" applyBorder="0" applyAlignment="0" applyProtection="0"/>
    <xf numFmtId="0" fontId="25" fillId="22" borderId="10" applyNumberFormat="0" applyAlignment="0" applyProtection="0"/>
    <xf numFmtId="0" fontId="17" fillId="6" borderId="0" applyNumberFormat="0" applyBorder="0" applyAlignment="0" applyProtection="0"/>
    <xf numFmtId="0" fontId="16" fillId="17" borderId="0" applyNumberFormat="0" applyBorder="0" applyAlignment="0" applyProtection="0"/>
    <xf numFmtId="0" fontId="23" fillId="8" borderId="0" applyNumberFormat="0" applyBorder="0" applyAlignment="0" applyProtection="0"/>
    <xf numFmtId="0" fontId="22" fillId="11" borderId="2" applyNumberFormat="0" applyAlignment="0" applyProtection="0"/>
    <xf numFmtId="0" fontId="16" fillId="14" borderId="0" applyNumberFormat="0" applyBorder="0" applyAlignment="0" applyProtection="0"/>
    <xf numFmtId="0" fontId="26" fillId="0" borderId="8" applyNumberFormat="0" applyFill="0" applyAlignment="0" applyProtection="0"/>
    <xf numFmtId="4" fontId="8" fillId="0" borderId="0" applyFont="0" applyFill="0" applyBorder="0" applyAlignment="0" applyProtection="0"/>
    <xf numFmtId="0" fontId="24" fillId="11" borderId="0" applyNumberFormat="0" applyBorder="0" applyAlignment="0" applyProtection="0"/>
    <xf numFmtId="0" fontId="16" fillId="19" borderId="0" applyNumberFormat="0" applyBorder="0" applyAlignment="0" applyProtection="0"/>
    <xf numFmtId="0" fontId="6" fillId="4" borderId="9" applyNumberFormat="0" applyFont="0" applyAlignment="0" applyProtection="0"/>
    <xf numFmtId="0" fontId="25" fillId="22" borderId="10" applyNumberFormat="0" applyAlignment="0" applyProtection="0"/>
    <xf numFmtId="0" fontId="25" fillId="23" borderId="10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21" fillId="0" borderId="13" applyNumberFormat="0" applyFill="0" applyAlignment="0" applyProtection="0"/>
    <xf numFmtId="0" fontId="31" fillId="0" borderId="14" applyNumberFormat="0" applyFill="0" applyAlignment="0" applyProtection="0"/>
    <xf numFmtId="0" fontId="26" fillId="0" borderId="0" applyNumberFormat="0" applyFill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8" fillId="23" borderId="2" applyNumberFormat="0" applyAlignment="0" applyProtection="0"/>
    <xf numFmtId="0" fontId="19" fillId="24" borderId="3" applyNumberFormat="0" applyAlignment="0" applyProtection="0"/>
    <xf numFmtId="0" fontId="19" fillId="24" borderId="3" applyNumberFormat="0" applyAlignment="0" applyProtection="0"/>
    <xf numFmtId="0" fontId="19" fillId="24" borderId="3" applyNumberFormat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0" fillId="0" borderId="4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22" fillId="5" borderId="2" applyNumberFormat="0" applyAlignment="0" applyProtection="0"/>
    <xf numFmtId="0" fontId="22" fillId="5" borderId="2" applyNumberFormat="0" applyAlignment="0" applyProtection="0"/>
    <xf numFmtId="0" fontId="22" fillId="5" borderId="2" applyNumberFormat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1" fillId="0" borderId="0"/>
    <xf numFmtId="0" fontId="1" fillId="0" borderId="0"/>
    <xf numFmtId="0" fontId="6" fillId="4" borderId="9" applyNumberFormat="0" applyFont="0" applyAlignment="0" applyProtection="0"/>
    <xf numFmtId="0" fontId="6" fillId="4" borderId="9" applyNumberFormat="0" applyFont="0" applyAlignment="0" applyProtection="0"/>
    <xf numFmtId="0" fontId="6" fillId="4" borderId="9" applyNumberFormat="0" applyFont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0" fontId="25" fillId="23" borderId="10" applyNumberFormat="0" applyAlignment="0" applyProtection="0"/>
    <xf numFmtId="0" fontId="25" fillId="23" borderId="10" applyNumberFormat="0" applyAlignment="0" applyProtection="0"/>
    <xf numFmtId="0" fontId="25" fillId="23" borderId="10" applyNumberFormat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30" fillId="0" borderId="12" applyNumberFormat="0" applyFill="0" applyAlignment="0" applyProtection="0"/>
    <xf numFmtId="0" fontId="21" fillId="0" borderId="13" applyNumberFormat="0" applyFill="0" applyAlignment="0" applyProtection="0"/>
    <xf numFmtId="0" fontId="21" fillId="0" borderId="13" applyNumberFormat="0" applyFill="0" applyAlignment="0" applyProtection="0"/>
    <xf numFmtId="0" fontId="21" fillId="0" borderId="13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16" fillId="13" borderId="0" applyNumberFormat="0" applyBorder="0" applyAlignment="0" applyProtection="0"/>
    <xf numFmtId="0" fontId="16" fillId="20" borderId="0" applyNumberFormat="0" applyBorder="0" applyAlignment="0" applyProtection="0"/>
    <xf numFmtId="0" fontId="16" fillId="17" borderId="0" applyNumberFormat="0" applyBorder="0" applyAlignment="0" applyProtection="0"/>
    <xf numFmtId="0" fontId="16" fillId="21" borderId="0" applyNumberFormat="0" applyBorder="0" applyAlignment="0" applyProtection="0"/>
    <xf numFmtId="0" fontId="23" fillId="10" borderId="0" applyNumberFormat="0" applyBorder="0" applyAlignment="0" applyProtection="0"/>
    <xf numFmtId="0" fontId="19" fillId="24" borderId="3" applyNumberFormat="0" applyAlignment="0" applyProtection="0"/>
    <xf numFmtId="0" fontId="16" fillId="20" borderId="0" applyNumberFormat="0" applyBorder="0" applyAlignment="0" applyProtection="0"/>
    <xf numFmtId="4" fontId="8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7" fillId="6" borderId="0" applyNumberFormat="0" applyBorder="0" applyAlignment="0" applyProtection="0"/>
    <xf numFmtId="4" fontId="8" fillId="0" borderId="0" applyFont="0" applyFill="0" applyBorder="0" applyAlignment="0" applyProtection="0"/>
    <xf numFmtId="0" fontId="22" fillId="11" borderId="2" applyNumberFormat="0" applyAlignment="0" applyProtection="0"/>
    <xf numFmtId="0" fontId="26" fillId="0" borderId="8" applyNumberFormat="0" applyFill="0" applyAlignment="0" applyProtection="0"/>
    <xf numFmtId="4" fontId="8" fillId="0" borderId="0" applyFont="0" applyFill="0" applyBorder="0" applyAlignment="0" applyProtection="0"/>
    <xf numFmtId="0" fontId="23" fillId="10" borderId="0" applyNumberFormat="0" applyBorder="0" applyAlignment="0" applyProtection="0"/>
    <xf numFmtId="0" fontId="16" fillId="20" borderId="0" applyNumberFormat="0" applyBorder="0" applyAlignment="0" applyProtection="0"/>
    <xf numFmtId="0" fontId="16" fillId="13" borderId="0" applyNumberFormat="0" applyBorder="0" applyAlignment="0" applyProtection="0"/>
    <xf numFmtId="0" fontId="25" fillId="22" borderId="10" applyNumberFormat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26" fillId="0" borderId="0" applyNumberFormat="0" applyFill="0" applyBorder="0" applyAlignment="0" applyProtection="0"/>
    <xf numFmtId="0" fontId="16" fillId="21" borderId="0" applyNumberFormat="0" applyBorder="0" applyAlignment="0" applyProtection="0"/>
    <xf numFmtId="0" fontId="19" fillId="24" borderId="3" applyNumberFormat="0" applyAlignment="0" applyProtection="0"/>
    <xf numFmtId="0" fontId="17" fillId="6" borderId="0" applyNumberFormat="0" applyBorder="0" applyAlignment="0" applyProtection="0"/>
    <xf numFmtId="0" fontId="22" fillId="11" borderId="2" applyNumberFormat="0" applyAlignment="0" applyProtection="0"/>
    <xf numFmtId="0" fontId="26" fillId="0" borderId="8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25" fillId="22" borderId="10" applyNumberFormat="0" applyAlignment="0" applyProtection="0"/>
    <xf numFmtId="0" fontId="16" fillId="13" borderId="0" applyNumberFormat="0" applyBorder="0" applyAlignment="0" applyProtection="0"/>
    <xf numFmtId="0" fontId="23" fillId="10" borderId="0" applyNumberFormat="0" applyBorder="0" applyAlignment="0" applyProtection="0"/>
    <xf numFmtId="0" fontId="26" fillId="0" borderId="8" applyNumberFormat="0" applyFill="0" applyAlignment="0" applyProtection="0"/>
    <xf numFmtId="0" fontId="22" fillId="11" borderId="2" applyNumberFormat="0" applyAlignment="0" applyProtection="0"/>
    <xf numFmtId="0" fontId="17" fillId="6" borderId="0" applyNumberFormat="0" applyBorder="0" applyAlignment="0" applyProtection="0"/>
    <xf numFmtId="0" fontId="19" fillId="24" borderId="3" applyNumberFormat="0" applyAlignment="0" applyProtection="0"/>
    <xf numFmtId="0" fontId="16" fillId="21" borderId="0" applyNumberFormat="0" applyBorder="0" applyAlignment="0" applyProtection="0"/>
    <xf numFmtId="0" fontId="16" fillId="17" borderId="0" applyNumberFormat="0" applyBorder="0" applyAlignment="0" applyProtection="0"/>
    <xf numFmtId="0" fontId="16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3" borderId="0" applyNumberFormat="0" applyBorder="0" applyAlignment="0" applyProtection="0"/>
    <xf numFmtId="0" fontId="16" fillId="13" borderId="0" applyNumberFormat="0" applyBorder="0" applyAlignment="0" applyProtection="0"/>
    <xf numFmtId="0" fontId="16" fillId="8" borderId="0" applyNumberFormat="0" applyBorder="0" applyAlignment="0" applyProtection="0"/>
    <xf numFmtId="0" fontId="16" fillId="14" borderId="0" applyNumberFormat="0" applyBorder="0" applyAlignment="0" applyProtection="0"/>
    <xf numFmtId="0" fontId="16" fillId="3" borderId="0" applyNumberFormat="0" applyBorder="0" applyAlignment="0" applyProtection="0"/>
    <xf numFmtId="0" fontId="16" fillId="13" borderId="0" applyNumberFormat="0" applyBorder="0" applyAlignment="0" applyProtection="0"/>
    <xf numFmtId="0" fontId="16" fillId="8" borderId="0" applyNumberFormat="0" applyBorder="0" applyAlignment="0" applyProtection="0"/>
    <xf numFmtId="0" fontId="16" fillId="14" borderId="0" applyNumberFormat="0" applyBorder="0" applyAlignment="0" applyProtection="0"/>
    <xf numFmtId="0" fontId="5" fillId="0" borderId="0" applyNumberFormat="0" applyFill="0" applyBorder="0" applyAlignment="0" applyProtection="0"/>
    <xf numFmtId="173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0" fontId="5" fillId="0" borderId="0" applyNumberFormat="0" applyFill="0" applyBorder="0" applyAlignment="0" applyProtection="0"/>
    <xf numFmtId="9" fontId="5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182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71" fontId="6" fillId="0" borderId="0" applyFont="0" applyFill="0" applyBorder="0" applyAlignment="0" applyProtection="0"/>
    <xf numFmtId="182" fontId="5" fillId="0" borderId="0" applyFont="0" applyFill="0" applyBorder="0" applyAlignment="0" applyProtection="0"/>
    <xf numFmtId="171" fontId="6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71" fontId="6" fillId="0" borderId="0" applyFont="0" applyFill="0" applyBorder="0" applyAlignment="0" applyProtection="0"/>
    <xf numFmtId="182" fontId="5" fillId="0" borderId="0" applyFont="0" applyFill="0" applyBorder="0" applyAlignment="0" applyProtection="0"/>
    <xf numFmtId="171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18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4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41" fontId="5" fillId="0" borderId="0" applyFont="0" applyFill="0" applyBorder="0" applyAlignment="0" applyProtection="0"/>
    <xf numFmtId="0" fontId="5" fillId="0" borderId="0"/>
    <xf numFmtId="0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5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5" fillId="0" borderId="0" applyNumberFormat="0" applyFill="0" applyBorder="0" applyAlignment="0" applyProtection="0"/>
    <xf numFmtId="0" fontId="1" fillId="0" borderId="0"/>
    <xf numFmtId="0" fontId="1" fillId="0" borderId="0"/>
    <xf numFmtId="17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85" fontId="5" fillId="0" borderId="0" applyFont="0" applyFill="0" applyBorder="0" applyAlignment="0" applyProtection="0"/>
    <xf numFmtId="185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6" borderId="0" applyNumberFormat="0" applyBorder="0" applyAlignment="0" applyProtection="0"/>
    <xf numFmtId="0" fontId="6" fillId="5" borderId="0" applyNumberFormat="0" applyBorder="0" applyAlignment="0" applyProtection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12" borderId="0" applyNumberFormat="0" applyBorder="0" applyAlignment="0" applyProtection="0"/>
    <xf numFmtId="0" fontId="6" fillId="10" borderId="0" applyNumberFormat="0" applyBorder="0" applyAlignment="0" applyProtection="0"/>
    <xf numFmtId="0" fontId="6" fillId="2" borderId="0" applyNumberFormat="0" applyBorder="0" applyAlignment="0" applyProtection="0"/>
    <xf numFmtId="0" fontId="6" fillId="13" borderId="0" applyNumberFormat="0" applyBorder="0" applyAlignment="0" applyProtection="0"/>
    <xf numFmtId="0" fontId="16" fillId="15" borderId="0" applyNumberFormat="0" applyBorder="0" applyAlignment="0" applyProtection="0"/>
    <xf numFmtId="0" fontId="16" fillId="3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7" fillId="9" borderId="0" applyNumberFormat="0" applyBorder="0" applyAlignment="0" applyProtection="0"/>
    <xf numFmtId="0" fontId="18" fillId="23" borderId="2" applyNumberFormat="0" applyAlignment="0" applyProtection="0"/>
    <xf numFmtId="0" fontId="19" fillId="24" borderId="3" applyNumberFormat="0" applyAlignment="0" applyProtection="0"/>
    <xf numFmtId="0" fontId="20" fillId="0" borderId="4" applyNumberFormat="0" applyFill="0" applyAlignment="0" applyProtection="0"/>
    <xf numFmtId="166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16" fillId="25" borderId="0" applyNumberFormat="0" applyBorder="0" applyAlignment="0" applyProtection="0"/>
    <xf numFmtId="0" fontId="16" fillId="21" borderId="0" applyNumberFormat="0" applyBorder="0" applyAlignment="0" applyProtection="0"/>
    <xf numFmtId="0" fontId="16" fillId="2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4" borderId="0" applyNumberFormat="0" applyBorder="0" applyAlignment="0" applyProtection="0"/>
    <xf numFmtId="0" fontId="22" fillId="5" borderId="2" applyNumberFormat="0" applyAlignment="0" applyProtection="0"/>
    <xf numFmtId="0" fontId="23" fillId="8" borderId="0" applyNumberFormat="0" applyBorder="0" applyAlignment="0" applyProtection="0"/>
    <xf numFmtId="4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4" fontId="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4" fillId="11" borderId="0" applyNumberFormat="0" applyBorder="0" applyAlignment="0" applyProtection="0"/>
    <xf numFmtId="0" fontId="5" fillId="0" borderId="0" applyNumberFormat="0" applyFill="0" applyBorder="0" applyAlignment="0" applyProtection="0"/>
    <xf numFmtId="0" fontId="6" fillId="4" borderId="9" applyNumberFormat="0" applyFont="0" applyAlignment="0" applyProtection="0"/>
    <xf numFmtId="0" fontId="25" fillId="23" borderId="10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9" fillId="0" borderId="11" applyNumberFormat="0" applyFill="0" applyAlignment="0" applyProtection="0"/>
    <xf numFmtId="0" fontId="30" fillId="0" borderId="12" applyNumberFormat="0" applyFill="0" applyAlignment="0" applyProtection="0"/>
    <xf numFmtId="0" fontId="21" fillId="0" borderId="13" applyNumberFormat="0" applyFill="0" applyAlignment="0" applyProtection="0"/>
    <xf numFmtId="0" fontId="28" fillId="0" borderId="0" applyNumberFormat="0" applyFill="0" applyBorder="0" applyAlignment="0" applyProtection="0"/>
    <xf numFmtId="0" fontId="31" fillId="0" borderId="14" applyNumberFormat="0" applyFill="0" applyAlignment="0" applyProtection="0"/>
    <xf numFmtId="171" fontId="1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" fillId="0" borderId="0"/>
    <xf numFmtId="0" fontId="1" fillId="0" borderId="0"/>
    <xf numFmtId="17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7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174" fontId="5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74" fontId="5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7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7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3" fillId="0" borderId="0"/>
  </cellStyleXfs>
  <cellXfs count="19">
    <xf numFmtId="0" fontId="0" fillId="0" borderId="0" xfId="0"/>
    <xf numFmtId="2" fontId="0" fillId="0" borderId="0" xfId="0" applyNumberFormat="1"/>
    <xf numFmtId="0" fontId="0" fillId="0" borderId="0" xfId="0"/>
    <xf numFmtId="0" fontId="3" fillId="0" borderId="0" xfId="1" applyFill="1"/>
    <xf numFmtId="0" fontId="3" fillId="0" borderId="0" xfId="1"/>
    <xf numFmtId="14" fontId="0" fillId="0" borderId="0" xfId="0" applyNumberFormat="1"/>
    <xf numFmtId="168" fontId="4" fillId="0" borderId="1" xfId="0" applyNumberFormat="1" applyFont="1" applyBorder="1" applyAlignment="1">
      <alignment horizontal="right"/>
    </xf>
    <xf numFmtId="0" fontId="0" fillId="0" borderId="0" xfId="0"/>
    <xf numFmtId="1" fontId="0" fillId="0" borderId="0" xfId="0" applyNumberFormat="1" applyBorder="1"/>
    <xf numFmtId="169" fontId="0" fillId="0" borderId="0" xfId="0" applyNumberFormat="1"/>
    <xf numFmtId="3" fontId="0" fillId="0" borderId="0" xfId="0" applyNumberFormat="1"/>
    <xf numFmtId="1" fontId="0" fillId="0" borderId="0" xfId="0" applyNumberFormat="1"/>
    <xf numFmtId="2" fontId="0" fillId="0" borderId="0" xfId="0" applyNumberFormat="1" applyAlignment="1">
      <alignment wrapText="1"/>
    </xf>
    <xf numFmtId="0" fontId="0" fillId="0" borderId="0" xfId="0" applyFill="1"/>
    <xf numFmtId="2" fontId="0" fillId="0" borderId="0" xfId="0" applyNumberFormat="1" applyFill="1"/>
    <xf numFmtId="0" fontId="0" fillId="0" borderId="0" xfId="0" applyNumberFormat="1" applyAlignment="1">
      <alignment horizontal="right"/>
    </xf>
    <xf numFmtId="0" fontId="0" fillId="0" borderId="0" xfId="0" applyNumberFormat="1" applyFill="1" applyAlignment="1">
      <alignment horizontal="right"/>
    </xf>
    <xf numFmtId="0" fontId="38" fillId="27" borderId="15" xfId="3" applyFont="1" applyFill="1" applyBorder="1" applyAlignment="1">
      <alignment horizontal="center" vertical="center"/>
    </xf>
    <xf numFmtId="0" fontId="3" fillId="0" borderId="0" xfId="729"/>
  </cellXfs>
  <cellStyles count="730"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20% - Énfasis1 2" xfId="112"/>
    <cellStyle name="20% - Énfasis1 2 2" xfId="185"/>
    <cellStyle name="20% - Énfasis1 3" xfId="184"/>
    <cellStyle name="20% - Énfasis1 3 2" xfId="186"/>
    <cellStyle name="20% - Énfasis1 4" xfId="507"/>
    <cellStyle name="20% - Énfasis1 5" xfId="12"/>
    <cellStyle name="20% - Énfasis2 2" xfId="113"/>
    <cellStyle name="20% - Énfasis2 2 2" xfId="188"/>
    <cellStyle name="20% - Énfasis2 3" xfId="187"/>
    <cellStyle name="20% - Énfasis2 3 2" xfId="189"/>
    <cellStyle name="20% - Énfasis2 4" xfId="508"/>
    <cellStyle name="20% - Énfasis2 5" xfId="13"/>
    <cellStyle name="20% - Énfasis3 2" xfId="114"/>
    <cellStyle name="20% - Énfasis3 2 2" xfId="191"/>
    <cellStyle name="20% - Énfasis3 3" xfId="190"/>
    <cellStyle name="20% - Énfasis3 3 2" xfId="192"/>
    <cellStyle name="20% - Énfasis3 4" xfId="509"/>
    <cellStyle name="20% - Énfasis3 5" xfId="14"/>
    <cellStyle name="20% - Énfasis4 2" xfId="115"/>
    <cellStyle name="20% - Énfasis4 2 2" xfId="194"/>
    <cellStyle name="20% - Énfasis4 3" xfId="193"/>
    <cellStyle name="20% - Énfasis4 3 2" xfId="195"/>
    <cellStyle name="20% - Énfasis4 4" xfId="510"/>
    <cellStyle name="20% - Énfasis4 5" xfId="15"/>
    <cellStyle name="20% - Énfasis5 2" xfId="116"/>
    <cellStyle name="20% - Énfasis5 2 2" xfId="197"/>
    <cellStyle name="20% - Énfasis5 3" xfId="196"/>
    <cellStyle name="20% - Énfasis5 3 2" xfId="198"/>
    <cellStyle name="20% - Énfasis5 4" xfId="511"/>
    <cellStyle name="20% - Énfasis5 5" xfId="16"/>
    <cellStyle name="20% - Énfasis6 2" xfId="117"/>
    <cellStyle name="20% - Énfasis6 2 2" xfId="200"/>
    <cellStyle name="20% - Énfasis6 3" xfId="199"/>
    <cellStyle name="20% - Énfasis6 3 2" xfId="201"/>
    <cellStyle name="20% - Énfasis6 4" xfId="512"/>
    <cellStyle name="20% - Énfasis6 5" xfId="17"/>
    <cellStyle name="40% - Accent1" xfId="18"/>
    <cellStyle name="40% - Accent2" xfId="19"/>
    <cellStyle name="40% - Accent3" xfId="20"/>
    <cellStyle name="40% - Accent4" xfId="21"/>
    <cellStyle name="40% - Accent5" xfId="22"/>
    <cellStyle name="40% - Accent6" xfId="23"/>
    <cellStyle name="40% - Énfasis1 2" xfId="122"/>
    <cellStyle name="40% - Énfasis1 2 2" xfId="203"/>
    <cellStyle name="40% - Énfasis1 3" xfId="202"/>
    <cellStyle name="40% - Énfasis1 3 2" xfId="204"/>
    <cellStyle name="40% - Énfasis1 4" xfId="513"/>
    <cellStyle name="40% - Énfasis1 5" xfId="24"/>
    <cellStyle name="40% - Énfasis2 2" xfId="123"/>
    <cellStyle name="40% - Énfasis2 2 2" xfId="206"/>
    <cellStyle name="40% - Énfasis2 3" xfId="205"/>
    <cellStyle name="40% - Énfasis2 3 2" xfId="207"/>
    <cellStyle name="40% - Énfasis2 4" xfId="514"/>
    <cellStyle name="40% - Énfasis2 5" xfId="25"/>
    <cellStyle name="40% - Énfasis3 2" xfId="124"/>
    <cellStyle name="40% - Énfasis3 2 2" xfId="209"/>
    <cellStyle name="40% - Énfasis3 3" xfId="208"/>
    <cellStyle name="40% - Énfasis3 3 2" xfId="210"/>
    <cellStyle name="40% - Énfasis3 4" xfId="515"/>
    <cellStyle name="40% - Énfasis3 5" xfId="26"/>
    <cellStyle name="40% - Énfasis4 2" xfId="125"/>
    <cellStyle name="40% - Énfasis4 2 2" xfId="212"/>
    <cellStyle name="40% - Énfasis4 3" xfId="211"/>
    <cellStyle name="40% - Énfasis4 3 2" xfId="213"/>
    <cellStyle name="40% - Énfasis4 4" xfId="516"/>
    <cellStyle name="40% - Énfasis4 5" xfId="27"/>
    <cellStyle name="40% - Énfasis5 2" xfId="126"/>
    <cellStyle name="40% - Énfasis5 2 2" xfId="215"/>
    <cellStyle name="40% - Énfasis5 3" xfId="214"/>
    <cellStyle name="40% - Énfasis5 3 2" xfId="216"/>
    <cellStyle name="40% - Énfasis5 4" xfId="517"/>
    <cellStyle name="40% - Énfasis5 5" xfId="28"/>
    <cellStyle name="40% - Énfasis6 2" xfId="127"/>
    <cellStyle name="40% - Énfasis6 2 2" xfId="218"/>
    <cellStyle name="40% - Énfasis6 3" xfId="217"/>
    <cellStyle name="40% - Énfasis6 3 2" xfId="219"/>
    <cellStyle name="40% - Énfasis6 4" xfId="518"/>
    <cellStyle name="40% - Énfasis6 5" xfId="29"/>
    <cellStyle name="60% - Accent1" xfId="30"/>
    <cellStyle name="60% - Accent1 2" xfId="128"/>
    <cellStyle name="60% - Accent1 3" xfId="149"/>
    <cellStyle name="60% - Accent1 4" xfId="335"/>
    <cellStyle name="60% - Accent1 5" xfId="344"/>
    <cellStyle name="60% - Accent2" xfId="31"/>
    <cellStyle name="60% - Accent2 2" xfId="129"/>
    <cellStyle name="60% - Accent2 3" xfId="146"/>
    <cellStyle name="60% - Accent2 4" xfId="360"/>
    <cellStyle name="60% - Accent2 5" xfId="364"/>
    <cellStyle name="60% - Accent3" xfId="32"/>
    <cellStyle name="60% - Accent3 2" xfId="130"/>
    <cellStyle name="60% - Accent3 3" xfId="121"/>
    <cellStyle name="60% - Accent3 4" xfId="358"/>
    <cellStyle name="60% - Accent3 5" xfId="362"/>
    <cellStyle name="60% - Accent4" xfId="33"/>
    <cellStyle name="60% - Accent4 2" xfId="131"/>
    <cellStyle name="60% - Accent4 3" xfId="120"/>
    <cellStyle name="60% - Accent4 4" xfId="359"/>
    <cellStyle name="60% - Accent4 5" xfId="363"/>
    <cellStyle name="60% - Accent5" xfId="34"/>
    <cellStyle name="60% - Accent5 2" xfId="132"/>
    <cellStyle name="60% - Accent5 3" xfId="119"/>
    <cellStyle name="60% - Accent5 4" xfId="334"/>
    <cellStyle name="60% - Accent5 5" xfId="345"/>
    <cellStyle name="60% - Accent6" xfId="35"/>
    <cellStyle name="60% - Accent6 2" xfId="133"/>
    <cellStyle name="60% - Accent6 3" xfId="118"/>
    <cellStyle name="60% - Accent6 4" xfId="357"/>
    <cellStyle name="60% - Accent6 5" xfId="361"/>
    <cellStyle name="60% - Énfasis1 2" xfId="134"/>
    <cellStyle name="60% - Énfasis1 2 2" xfId="221"/>
    <cellStyle name="60% - Énfasis1 3" xfId="220"/>
    <cellStyle name="60% - Énfasis1 3 2" xfId="222"/>
    <cellStyle name="60% - Énfasis1 4" xfId="519"/>
    <cellStyle name="60% - Énfasis1 5" xfId="36"/>
    <cellStyle name="60% - Énfasis2 2" xfId="135"/>
    <cellStyle name="60% - Énfasis2 2 2" xfId="224"/>
    <cellStyle name="60% - Énfasis2 3" xfId="223"/>
    <cellStyle name="60% - Énfasis2 3 2" xfId="225"/>
    <cellStyle name="60% - Énfasis2 4" xfId="520"/>
    <cellStyle name="60% - Énfasis2 5" xfId="37"/>
    <cellStyle name="60% - Énfasis3 2" xfId="136"/>
    <cellStyle name="60% - Énfasis3 2 2" xfId="227"/>
    <cellStyle name="60% - Énfasis3 3" xfId="226"/>
    <cellStyle name="60% - Énfasis3 3 2" xfId="228"/>
    <cellStyle name="60% - Énfasis3 4" xfId="521"/>
    <cellStyle name="60% - Énfasis3 5" xfId="38"/>
    <cellStyle name="60% - Énfasis4 2" xfId="137"/>
    <cellStyle name="60% - Énfasis4 2 2" xfId="230"/>
    <cellStyle name="60% - Énfasis4 3" xfId="229"/>
    <cellStyle name="60% - Énfasis4 3 2" xfId="231"/>
    <cellStyle name="60% - Énfasis4 4" xfId="522"/>
    <cellStyle name="60% - Énfasis4 5" xfId="39"/>
    <cellStyle name="60% - Énfasis5 2" xfId="138"/>
    <cellStyle name="60% - Énfasis5 2 2" xfId="233"/>
    <cellStyle name="60% - Énfasis5 3" xfId="232"/>
    <cellStyle name="60% - Énfasis5 3 2" xfId="234"/>
    <cellStyle name="60% - Énfasis5 4" xfId="523"/>
    <cellStyle name="60% - Énfasis5 5" xfId="40"/>
    <cellStyle name="60% - Énfasis6 2" xfId="139"/>
    <cellStyle name="60% - Énfasis6 2 2" xfId="236"/>
    <cellStyle name="60% - Énfasis6 3" xfId="235"/>
    <cellStyle name="60% - Énfasis6 3 2" xfId="237"/>
    <cellStyle name="60% - Énfasis6 4" xfId="524"/>
    <cellStyle name="60% - Énfasis6 5" xfId="41"/>
    <cellStyle name="Accent1" xfId="42"/>
    <cellStyle name="Accent1 2" xfId="140"/>
    <cellStyle name="Accent1 3" xfId="111"/>
    <cellStyle name="Accent1 4" xfId="356"/>
    <cellStyle name="Accent1 5" xfId="172"/>
    <cellStyle name="Accent2" xfId="43"/>
    <cellStyle name="Accent2 2" xfId="141"/>
    <cellStyle name="Accent2 3" xfId="110"/>
    <cellStyle name="Accent2 4" xfId="355"/>
    <cellStyle name="Accent2 5" xfId="168"/>
    <cellStyle name="Accent3" xfId="44"/>
    <cellStyle name="Accent3 2" xfId="142"/>
    <cellStyle name="Accent3 3" xfId="314"/>
    <cellStyle name="Accent3 4" xfId="332"/>
    <cellStyle name="Accent3 5" xfId="347"/>
    <cellStyle name="Accent4" xfId="45"/>
    <cellStyle name="Accent4 2" xfId="143"/>
    <cellStyle name="Accent4 3" xfId="315"/>
    <cellStyle name="Accent4 4" xfId="331"/>
    <cellStyle name="Accent4 5" xfId="320"/>
    <cellStyle name="Accent5" xfId="46"/>
    <cellStyle name="Accent5 2" xfId="144"/>
    <cellStyle name="Accent5 3" xfId="316"/>
    <cellStyle name="Accent5 4" xfId="354"/>
    <cellStyle name="Accent5 5" xfId="165"/>
    <cellStyle name="Accent6" xfId="47"/>
    <cellStyle name="Accent6 2" xfId="145"/>
    <cellStyle name="Accent6 3" xfId="317"/>
    <cellStyle name="Accent6 4" xfId="353"/>
    <cellStyle name="Accent6 5" xfId="337"/>
    <cellStyle name="ANCLAS,REZONES Y SUS PARTES,DE FUNDICION,DE HIERRO O DE ACERO" xfId="48"/>
    <cellStyle name="ANCLAS,REZONES Y SUS PARTES,DE FUNDICION,DE HIERRO O DE ACERO 2" xfId="371"/>
    <cellStyle name="ANCLAS,REZONES Y SUS PARTES,DE FUNDICION,DE HIERRO O DE ACERO 2 2" xfId="463"/>
    <cellStyle name="ANCLAS,REZONES Y SUS PARTES,DE FUNDICION,DE HIERRO O DE ACERO 2 3" xfId="525"/>
    <cellStyle name="ANCLAS,REZONES Y SUS PARTES,DE FUNDICION,DE HIERRO O DE ACERO 3" xfId="526"/>
    <cellStyle name="Bad" xfId="49"/>
    <cellStyle name="Bad 2" xfId="147"/>
    <cellStyle name="Bad 3" xfId="318"/>
    <cellStyle name="Bad 4" xfId="330"/>
    <cellStyle name="Bad 5" xfId="348"/>
    <cellStyle name="Buena 2" xfId="148"/>
    <cellStyle name="Buena 2 2" xfId="239"/>
    <cellStyle name="Buena 3" xfId="238"/>
    <cellStyle name="Buena 3 2" xfId="240"/>
    <cellStyle name="Buena 4" xfId="527"/>
    <cellStyle name="Bueno 2" xfId="50"/>
    <cellStyle name="Calculation" xfId="51"/>
    <cellStyle name="Cálculo 2" xfId="150"/>
    <cellStyle name="Cálculo 2 2" xfId="242"/>
    <cellStyle name="Cálculo 3" xfId="241"/>
    <cellStyle name="Cálculo 3 2" xfId="243"/>
    <cellStyle name="Cálculo 4" xfId="528"/>
    <cellStyle name="Cálculo 5" xfId="52"/>
    <cellStyle name="Celda de comprobación 2" xfId="151"/>
    <cellStyle name="Celda de comprobación 2 2" xfId="245"/>
    <cellStyle name="Celda de comprobación 3" xfId="244"/>
    <cellStyle name="Celda de comprobación 3 2" xfId="246"/>
    <cellStyle name="Celda de comprobación 4" xfId="529"/>
    <cellStyle name="Celda de comprobación 5" xfId="53"/>
    <cellStyle name="Celda vinculada 2" xfId="152"/>
    <cellStyle name="Celda vinculada 2 2" xfId="248"/>
    <cellStyle name="Celda vinculada 3" xfId="247"/>
    <cellStyle name="Celda vinculada 3 2" xfId="249"/>
    <cellStyle name="Celda vinculada 4" xfId="530"/>
    <cellStyle name="Celda vinculada 5" xfId="54"/>
    <cellStyle name="Check Cell" xfId="55"/>
    <cellStyle name="Check Cell 2" xfId="153"/>
    <cellStyle name="Check Cell 3" xfId="319"/>
    <cellStyle name="Check Cell 4" xfId="352"/>
    <cellStyle name="Check Cell 5" xfId="338"/>
    <cellStyle name="Comma [0]_hojas adicionales" xfId="531"/>
    <cellStyle name="Comma_aaa Stock Deuda Provincias I 2006" xfId="532"/>
    <cellStyle name="Comma0" xfId="56"/>
    <cellStyle name="Currency [0]_aaa Stock Deuda Provincias I 2006" xfId="533"/>
    <cellStyle name="Currency_aaa Stock Deuda Provincias I 2006" xfId="534"/>
    <cellStyle name="Currency0" xfId="57"/>
    <cellStyle name="En miles" xfId="58"/>
    <cellStyle name="En millones" xfId="59"/>
    <cellStyle name="Encabezado 1 2" xfId="104"/>
    <cellStyle name="Encabezado 4 2" xfId="154"/>
    <cellStyle name="Encabezado 4 2 2" xfId="251"/>
    <cellStyle name="Encabezado 4 3" xfId="250"/>
    <cellStyle name="Encabezado 4 3 2" xfId="252"/>
    <cellStyle name="Encabezado 4 4" xfId="535"/>
    <cellStyle name="Encabezado 4 5" xfId="60"/>
    <cellStyle name="Énfasis1 2" xfId="155"/>
    <cellStyle name="Énfasis1 2 2" xfId="254"/>
    <cellStyle name="Énfasis1 3" xfId="253"/>
    <cellStyle name="Énfasis1 3 2" xfId="255"/>
    <cellStyle name="Énfasis1 4" xfId="536"/>
    <cellStyle name="Énfasis1 5" xfId="61"/>
    <cellStyle name="Énfasis2 2" xfId="156"/>
    <cellStyle name="Énfasis2 2 2" xfId="257"/>
    <cellStyle name="Énfasis2 3" xfId="256"/>
    <cellStyle name="Énfasis2 3 2" xfId="258"/>
    <cellStyle name="Énfasis2 4" xfId="537"/>
    <cellStyle name="Énfasis2 5" xfId="62"/>
    <cellStyle name="Énfasis3 2" xfId="157"/>
    <cellStyle name="Énfasis3 2 2" xfId="260"/>
    <cellStyle name="Énfasis3 3" xfId="259"/>
    <cellStyle name="Énfasis3 3 2" xfId="261"/>
    <cellStyle name="Énfasis3 4" xfId="538"/>
    <cellStyle name="Énfasis3 5" xfId="63"/>
    <cellStyle name="Énfasis4 2" xfId="158"/>
    <cellStyle name="Énfasis4 2 2" xfId="263"/>
    <cellStyle name="Énfasis4 3" xfId="262"/>
    <cellStyle name="Énfasis4 3 2" xfId="264"/>
    <cellStyle name="Énfasis4 4" xfId="539"/>
    <cellStyle name="Énfasis4 5" xfId="64"/>
    <cellStyle name="Énfasis5 2" xfId="159"/>
    <cellStyle name="Énfasis5 2 2" xfId="266"/>
    <cellStyle name="Énfasis5 3" xfId="265"/>
    <cellStyle name="Énfasis5 3 2" xfId="267"/>
    <cellStyle name="Énfasis5 4" xfId="540"/>
    <cellStyle name="Énfasis5 5" xfId="65"/>
    <cellStyle name="Énfasis6 2" xfId="160"/>
    <cellStyle name="Énfasis6 2 2" xfId="269"/>
    <cellStyle name="Énfasis6 3" xfId="268"/>
    <cellStyle name="Énfasis6 3 2" xfId="270"/>
    <cellStyle name="Énfasis6 4" xfId="541"/>
    <cellStyle name="Énfasis6 5" xfId="66"/>
    <cellStyle name="Entrada 2" xfId="161"/>
    <cellStyle name="Entrada 2 2" xfId="272"/>
    <cellStyle name="Entrada 3" xfId="271"/>
    <cellStyle name="Entrada 3 2" xfId="273"/>
    <cellStyle name="Entrada 4" xfId="542"/>
    <cellStyle name="Entrada 5" xfId="67"/>
    <cellStyle name="Euro" xfId="68"/>
    <cellStyle name="Euro 2" xfId="374"/>
    <cellStyle name="Euro 2 2" xfId="375"/>
    <cellStyle name="Euro 2 2 2" xfId="376"/>
    <cellStyle name="Euro 3" xfId="377"/>
    <cellStyle name="Explanatory Text" xfId="69"/>
    <cellStyle name="Explanatory Text 2" xfId="162"/>
    <cellStyle name="Explanatory Text 3" xfId="323"/>
    <cellStyle name="Explanatory Text 4" xfId="324"/>
    <cellStyle name="Explanatory Text 5" xfId="322"/>
    <cellStyle name="F2" xfId="70"/>
    <cellStyle name="F3" xfId="71"/>
    <cellStyle name="F4" xfId="72"/>
    <cellStyle name="F5" xfId="73"/>
    <cellStyle name="F6" xfId="74"/>
    <cellStyle name="F7" xfId="75"/>
    <cellStyle name="F8" xfId="76"/>
    <cellStyle name="facha" xfId="77"/>
    <cellStyle name="Followed Hyperlink_aaa Stock Deuda Provincias I 2006" xfId="274"/>
    <cellStyle name="Good" xfId="78"/>
    <cellStyle name="Good 2" xfId="164"/>
    <cellStyle name="Good 3" xfId="325"/>
    <cellStyle name="Good 4" xfId="351"/>
    <cellStyle name="Good 5" xfId="339"/>
    <cellStyle name="Heading 1" xfId="79"/>
    <cellStyle name="Heading 2" xfId="80"/>
    <cellStyle name="Heading 3" xfId="81"/>
    <cellStyle name="Heading 4" xfId="82"/>
    <cellStyle name="Hipervínculo" xfId="83"/>
    <cellStyle name="Hyperlink" xfId="563"/>
    <cellStyle name="Hyperlink 2" xfId="564"/>
    <cellStyle name="Hyperlink_aaa Stock Deuda Provincias I 2006" xfId="84"/>
    <cellStyle name="Incorrecto 2" xfId="166"/>
    <cellStyle name="Incorrecto 2 2" xfId="276"/>
    <cellStyle name="Incorrecto 3" xfId="275"/>
    <cellStyle name="Incorrecto 3 2" xfId="277"/>
    <cellStyle name="Incorrecto 4" xfId="543"/>
    <cellStyle name="Incorrecto 5" xfId="85"/>
    <cellStyle name="Input" xfId="86"/>
    <cellStyle name="Input 2" xfId="167"/>
    <cellStyle name="Input 3" xfId="327"/>
    <cellStyle name="Input 4" xfId="350"/>
    <cellStyle name="Input 5" xfId="340"/>
    <cellStyle name="jo[" xfId="87"/>
    <cellStyle name="Linked Cell" xfId="88"/>
    <cellStyle name="Linked Cell 2" xfId="169"/>
    <cellStyle name="Linked Cell 3" xfId="328"/>
    <cellStyle name="Linked Cell 4" xfId="349"/>
    <cellStyle name="Linked Cell 5" xfId="341"/>
    <cellStyle name="Millares [0] 10" xfId="90"/>
    <cellStyle name="Millares [0] 2" xfId="366"/>
    <cellStyle name="Millares [0] 2 2" xfId="378"/>
    <cellStyle name="Millares [0] 2 2 2" xfId="379"/>
    <cellStyle name="Millares [0] 2 2 2 2" xfId="380"/>
    <cellStyle name="Millares [0] 2 2 3" xfId="381"/>
    <cellStyle name="Millares [0] 2 2 4" xfId="448"/>
    <cellStyle name="Millares [0] 2 3" xfId="382"/>
    <cellStyle name="Millares [0] 2 4" xfId="544"/>
    <cellStyle name="Millares [0] 3" xfId="383"/>
    <cellStyle name="Millares [0] 3 2" xfId="436"/>
    <cellStyle name="Millares [0] 4" xfId="430"/>
    <cellStyle name="Millares [0] 4 2" xfId="474"/>
    <cellStyle name="Millares [0] 4 2 2" xfId="610"/>
    <cellStyle name="Millares [0] 4 2 3" xfId="699"/>
    <cellStyle name="Millares [0] 4 3" xfId="575"/>
    <cellStyle name="Millares [0] 4 4" xfId="664"/>
    <cellStyle name="Millares [0] 5" xfId="439"/>
    <cellStyle name="Millares [0] 5 2" xfId="481"/>
    <cellStyle name="Millares [0] 5 2 2" xfId="617"/>
    <cellStyle name="Millares [0] 5 2 3" xfId="706"/>
    <cellStyle name="Millares [0] 5 3" xfId="582"/>
    <cellStyle name="Millares [0] 5 4" xfId="671"/>
    <cellStyle name="Millares [0] 6" xfId="501"/>
    <cellStyle name="Millares [0] 7" xfId="502"/>
    <cellStyle name="Millares [0] 8" xfId="426"/>
    <cellStyle name="Millares [0] 9" xfId="545"/>
    <cellStyle name="Millares [2]" xfId="91"/>
    <cellStyle name="Millares [2] 2" xfId="170"/>
    <cellStyle name="Millares [2] 3" xfId="329"/>
    <cellStyle name="Millares [2] 4" xfId="321"/>
    <cellStyle name="Millares [2] 5" xfId="326"/>
    <cellStyle name="Millares 10" xfId="429"/>
    <cellStyle name="Millares 10 2" xfId="473"/>
    <cellStyle name="Millares 10 2 2" xfId="609"/>
    <cellStyle name="Millares 10 2 3" xfId="698"/>
    <cellStyle name="Millares 10 3" xfId="574"/>
    <cellStyle name="Millares 10 4" xfId="663"/>
    <cellStyle name="Millares 11" xfId="438"/>
    <cellStyle name="Millares 11 2" xfId="480"/>
    <cellStyle name="Millares 11 2 2" xfId="616"/>
    <cellStyle name="Millares 11 2 3" xfId="705"/>
    <cellStyle name="Millares 11 3" xfId="581"/>
    <cellStyle name="Millares 11 4" xfId="670"/>
    <cellStyle name="Millares 12" xfId="445"/>
    <cellStyle name="Millares 12 2" xfId="487"/>
    <cellStyle name="Millares 12 2 2" xfId="623"/>
    <cellStyle name="Millares 12 2 3" xfId="712"/>
    <cellStyle name="Millares 12 3" xfId="588"/>
    <cellStyle name="Millares 12 4" xfId="677"/>
    <cellStyle name="Millares 13" xfId="452"/>
    <cellStyle name="Millares 13 2" xfId="489"/>
    <cellStyle name="Millares 13 2 2" xfId="625"/>
    <cellStyle name="Millares 13 2 3" xfId="714"/>
    <cellStyle name="Millares 13 3" xfId="590"/>
    <cellStyle name="Millares 13 4" xfId="679"/>
    <cellStyle name="Millares 14" xfId="450"/>
    <cellStyle name="Millares 15" xfId="373"/>
    <cellStyle name="Millares 16" xfId="444"/>
    <cellStyle name="Millares 16 2" xfId="486"/>
    <cellStyle name="Millares 16 2 2" xfId="622"/>
    <cellStyle name="Millares 16 2 3" xfId="711"/>
    <cellStyle name="Millares 16 3" xfId="587"/>
    <cellStyle name="Millares 16 4" xfId="676"/>
    <cellStyle name="Millares 17" xfId="427"/>
    <cellStyle name="Millares 18" xfId="440"/>
    <cellStyle name="Millares 18 2" xfId="482"/>
    <cellStyle name="Millares 18 2 2" xfId="618"/>
    <cellStyle name="Millares 18 2 3" xfId="707"/>
    <cellStyle name="Millares 18 3" xfId="583"/>
    <cellStyle name="Millares 18 4" xfId="672"/>
    <cellStyle name="Millares 19" xfId="503"/>
    <cellStyle name="Millares 19 2" xfId="546"/>
    <cellStyle name="Millares 19 2 2" xfId="635"/>
    <cellStyle name="Millares 19 2 3" xfId="724"/>
    <cellStyle name="Millares 19 3" xfId="562"/>
    <cellStyle name="Millares 19 3 2" xfId="639"/>
    <cellStyle name="Millares 19 3 3" xfId="728"/>
    <cellStyle name="Millares 2" xfId="2"/>
    <cellStyle name="Millares 2 2" xfId="384"/>
    <cellStyle name="Millares 2 2 2" xfId="385"/>
    <cellStyle name="Millares 2 2 2 2" xfId="386"/>
    <cellStyle name="Millares 2 2 2 2 2" xfId="387"/>
    <cellStyle name="Millares 2 2 3" xfId="388"/>
    <cellStyle name="Millares 2 2 4" xfId="451"/>
    <cellStyle name="Millares 2 3" xfId="389"/>
    <cellStyle name="Millares 2 4" xfId="390"/>
    <cellStyle name="Millares 2 5" xfId="391"/>
    <cellStyle name="Millares 2 6" xfId="392"/>
    <cellStyle name="Millares 2 7" xfId="367"/>
    <cellStyle name="Millares 2_A.1.4" xfId="499"/>
    <cellStyle name="Millares 20" xfId="504"/>
    <cellStyle name="Millares 21" xfId="505"/>
    <cellStyle name="Millares 22" xfId="547"/>
    <cellStyle name="Millares 22 2" xfId="636"/>
    <cellStyle name="Millares 22 3" xfId="725"/>
    <cellStyle name="Millares 23" xfId="548"/>
    <cellStyle name="Millares 24" xfId="549"/>
    <cellStyle name="Millares 24 2" xfId="637"/>
    <cellStyle name="Millares 24 3" xfId="726"/>
    <cellStyle name="Millares 25" xfId="550"/>
    <cellStyle name="Millares 25 2" xfId="638"/>
    <cellStyle name="Millares 25 3" xfId="727"/>
    <cellStyle name="Millares 26" xfId="641"/>
    <cellStyle name="Millares 27" xfId="648"/>
    <cellStyle name="Millares 28" xfId="89"/>
    <cellStyle name="Millares 3" xfId="370"/>
    <cellStyle name="Millares 3 2" xfId="431"/>
    <cellStyle name="Millares 3 2 2" xfId="475"/>
    <cellStyle name="Millares 3 2 2 2" xfId="611"/>
    <cellStyle name="Millares 3 2 2 3" xfId="700"/>
    <cellStyle name="Millares 3 2 3" xfId="576"/>
    <cellStyle name="Millares 3 2 4" xfId="665"/>
    <cellStyle name="Millares 3 3" xfId="441"/>
    <cellStyle name="Millares 3 3 2" xfId="483"/>
    <cellStyle name="Millares 3 3 2 2" xfId="619"/>
    <cellStyle name="Millares 3 3 2 3" xfId="708"/>
    <cellStyle name="Millares 3 3 3" xfId="584"/>
    <cellStyle name="Millares 3 3 4" xfId="673"/>
    <cellStyle name="Millares 3 4" xfId="454"/>
    <cellStyle name="Millares 3 4 2" xfId="491"/>
    <cellStyle name="Millares 3 4 2 2" xfId="627"/>
    <cellStyle name="Millares 3 4 2 3" xfId="716"/>
    <cellStyle name="Millares 3 4 3" xfId="592"/>
    <cellStyle name="Millares 3 4 4" xfId="681"/>
    <cellStyle name="Millares 3 5" xfId="466"/>
    <cellStyle name="Millares 3 5 2" xfId="602"/>
    <cellStyle name="Millares 3 5 3" xfId="691"/>
    <cellStyle name="Millares 3 6" xfId="567"/>
    <cellStyle name="Millares 3 7" xfId="642"/>
    <cellStyle name="Millares 3 8" xfId="649"/>
    <cellStyle name="Millares 3 9" xfId="656"/>
    <cellStyle name="Millares 4" xfId="372"/>
    <cellStyle name="Millares 4 2" xfId="393"/>
    <cellStyle name="Millares 4 2 2" xfId="394"/>
    <cellStyle name="Millares 4 2 2 2" xfId="395"/>
    <cellStyle name="Millares 4 3" xfId="396"/>
    <cellStyle name="Millares 5" xfId="397"/>
    <cellStyle name="Millares 5 10" xfId="657"/>
    <cellStyle name="Millares 5 2" xfId="398"/>
    <cellStyle name="Millares 5 2 2" xfId="399"/>
    <cellStyle name="Millares 5 2 2 2" xfId="400"/>
    <cellStyle name="Millares 5 3" xfId="401"/>
    <cellStyle name="Millares 5 4" xfId="435"/>
    <cellStyle name="Millares 5 5" xfId="458"/>
    <cellStyle name="Millares 5 5 2" xfId="494"/>
    <cellStyle name="Millares 5 5 2 2" xfId="630"/>
    <cellStyle name="Millares 5 5 2 3" xfId="719"/>
    <cellStyle name="Millares 5 5 3" xfId="595"/>
    <cellStyle name="Millares 5 5 4" xfId="684"/>
    <cellStyle name="Millares 5 6" xfId="467"/>
    <cellStyle name="Millares 5 6 2" xfId="603"/>
    <cellStyle name="Millares 5 6 3" xfId="692"/>
    <cellStyle name="Millares 5 7" xfId="568"/>
    <cellStyle name="Millares 5 8" xfId="646"/>
    <cellStyle name="Millares 5 9" xfId="653"/>
    <cellStyle name="Millares 6" xfId="402"/>
    <cellStyle name="Millares 6 2" xfId="403"/>
    <cellStyle name="Millares 6 3" xfId="645"/>
    <cellStyle name="Millares 6 4" xfId="652"/>
    <cellStyle name="Millares 7" xfId="404"/>
    <cellStyle name="Millares 7 2" xfId="405"/>
    <cellStyle name="Millares 7 3" xfId="406"/>
    <cellStyle name="Millares 7 3 2" xfId="459"/>
    <cellStyle name="Millares 7 3 2 2" xfId="495"/>
    <cellStyle name="Millares 7 3 2 2 2" xfId="631"/>
    <cellStyle name="Millares 7 3 2 2 3" xfId="720"/>
    <cellStyle name="Millares 7 3 2 3" xfId="596"/>
    <cellStyle name="Millares 7 3 2 4" xfId="685"/>
    <cellStyle name="Millares 7 3 3" xfId="468"/>
    <cellStyle name="Millares 7 3 3 2" xfId="604"/>
    <cellStyle name="Millares 7 3 3 3" xfId="693"/>
    <cellStyle name="Millares 7 3 4" xfId="569"/>
    <cellStyle name="Millares 7 3 5" xfId="658"/>
    <cellStyle name="Millares 8" xfId="407"/>
    <cellStyle name="Millares 9" xfId="408"/>
    <cellStyle name="Neutral 2" xfId="171"/>
    <cellStyle name="Neutral 2 2" xfId="279"/>
    <cellStyle name="Neutral 3" xfId="278"/>
    <cellStyle name="Neutral 3 2" xfId="280"/>
    <cellStyle name="Neutral 4" xfId="551"/>
    <cellStyle name="Neutral 5" xfId="92"/>
    <cellStyle name="Normal" xfId="0" builtinId="0"/>
    <cellStyle name="Normal 10" xfId="428"/>
    <cellStyle name="Normal 10 2" xfId="457"/>
    <cellStyle name="Normal 10 3" xfId="472"/>
    <cellStyle name="Normal 10 3 2" xfId="608"/>
    <cellStyle name="Normal 10 3 3" xfId="697"/>
    <cellStyle name="Normal 10 4" xfId="573"/>
    <cellStyle name="Normal 10 5" xfId="662"/>
    <cellStyle name="Normal 11" xfId="409"/>
    <cellStyle name="Normal 12" xfId="437"/>
    <cellStyle name="Normal 12 2" xfId="479"/>
    <cellStyle name="Normal 12 2 2" xfId="615"/>
    <cellStyle name="Normal 12 2 3" xfId="704"/>
    <cellStyle name="Normal 12 3" xfId="580"/>
    <cellStyle name="Normal 12 4" xfId="669"/>
    <cellStyle name="Normal 13" xfId="453"/>
    <cellStyle name="Normal 13 2" xfId="490"/>
    <cellStyle name="Normal 13 2 2" xfId="626"/>
    <cellStyle name="Normal 13 2 3" xfId="715"/>
    <cellStyle name="Normal 13 3" xfId="591"/>
    <cellStyle name="Normal 13 4" xfId="680"/>
    <cellStyle name="Normal 14" xfId="640"/>
    <cellStyle name="Normal 15" xfId="647"/>
    <cellStyle name="Normal 16" xfId="5"/>
    <cellStyle name="Normal 17" xfId="729"/>
    <cellStyle name="Normal 2" xfId="3"/>
    <cellStyle name="Normal 2 2" xfId="410"/>
    <cellStyle name="Normal 2 2 2" xfId="447"/>
    <cellStyle name="Normal 2 2 3" xfId="460"/>
    <cellStyle name="Normal 2 2 3 2" xfId="496"/>
    <cellStyle name="Normal 2 2 3 2 2" xfId="632"/>
    <cellStyle name="Normal 2 2 3 2 3" xfId="721"/>
    <cellStyle name="Normal 2 2 3 3" xfId="597"/>
    <cellStyle name="Normal 2 2 3 4" xfId="686"/>
    <cellStyle name="Normal 2 2 4" xfId="469"/>
    <cellStyle name="Normal 2 2 4 2" xfId="605"/>
    <cellStyle name="Normal 2 2 4 3" xfId="694"/>
    <cellStyle name="Normal 2 2 5" xfId="570"/>
    <cellStyle name="Normal 2 2 6" xfId="659"/>
    <cellStyle name="Normal 2 3" xfId="411"/>
    <cellStyle name="Normal 2 3 2" xfId="461"/>
    <cellStyle name="Normal 2 3 2 2" xfId="497"/>
    <cellStyle name="Normal 2 3 2 2 2" xfId="633"/>
    <cellStyle name="Normal 2 3 2 2 3" xfId="722"/>
    <cellStyle name="Normal 2 3 2 3" xfId="598"/>
    <cellStyle name="Normal 2 3 2 4" xfId="687"/>
    <cellStyle name="Normal 2 3 3" xfId="470"/>
    <cellStyle name="Normal 2 3 3 2" xfId="606"/>
    <cellStyle name="Normal 2 3 3 3" xfId="695"/>
    <cellStyle name="Normal 2 3 4" xfId="571"/>
    <cellStyle name="Normal 2 3 5" xfId="660"/>
    <cellStyle name="Normal 2 4" xfId="365"/>
    <cellStyle name="Normal 3" xfId="4"/>
    <cellStyle name="Normal 3 2" xfId="449"/>
    <cellStyle name="Normal 3 3" xfId="552"/>
    <cellStyle name="Normal 3 4" xfId="368"/>
    <cellStyle name="Normal 3_A.1.4" xfId="500"/>
    <cellStyle name="Normal 4" xfId="1"/>
    <cellStyle name="Normal 4 2" xfId="412"/>
    <cellStyle name="Normal 5" xfId="281"/>
    <cellStyle name="Normal 5 10" xfId="650"/>
    <cellStyle name="Normal 5 11" xfId="654"/>
    <cellStyle name="Normal 5 2" xfId="413"/>
    <cellStyle name="Normal 5 2 2" xfId="414"/>
    <cellStyle name="Normal 5 2 2 2" xfId="415"/>
    <cellStyle name="Normal 5 3" xfId="416"/>
    <cellStyle name="Normal 5 4" xfId="432"/>
    <cellStyle name="Normal 5 4 2" xfId="476"/>
    <cellStyle name="Normal 5 4 2 2" xfId="612"/>
    <cellStyle name="Normal 5 4 2 3" xfId="701"/>
    <cellStyle name="Normal 5 4 3" xfId="577"/>
    <cellStyle name="Normal 5 4 4" xfId="666"/>
    <cellStyle name="Normal 5 5" xfId="442"/>
    <cellStyle name="Normal 5 5 2" xfId="484"/>
    <cellStyle name="Normal 5 5 2 2" xfId="620"/>
    <cellStyle name="Normal 5 5 2 3" xfId="709"/>
    <cellStyle name="Normal 5 5 3" xfId="585"/>
    <cellStyle name="Normal 5 5 4" xfId="674"/>
    <cellStyle name="Normal 5 6" xfId="455"/>
    <cellStyle name="Normal 5 6 2" xfId="492"/>
    <cellStyle name="Normal 5 6 2 2" xfId="628"/>
    <cellStyle name="Normal 5 6 2 3" xfId="717"/>
    <cellStyle name="Normal 5 6 3" xfId="593"/>
    <cellStyle name="Normal 5 6 4" xfId="682"/>
    <cellStyle name="Normal 5 7" xfId="464"/>
    <cellStyle name="Normal 5 7 2" xfId="600"/>
    <cellStyle name="Normal 5 7 3" xfId="689"/>
    <cellStyle name="Normal 5 8" xfId="565"/>
    <cellStyle name="Normal 5 9" xfId="643"/>
    <cellStyle name="Normal 5_CUADRO 8 - Bonos y Prestamos Garantizados en Pesos 2do. Trim-15 (A 1.8) Mari en construcción" xfId="417"/>
    <cellStyle name="Normal 6" xfId="418"/>
    <cellStyle name="Normal 7" xfId="282"/>
    <cellStyle name="Normal 7 2" xfId="433"/>
    <cellStyle name="Normal 7 2 2" xfId="477"/>
    <cellStyle name="Normal 7 2 2 2" xfId="613"/>
    <cellStyle name="Normal 7 2 2 3" xfId="702"/>
    <cellStyle name="Normal 7 2 3" xfId="578"/>
    <cellStyle name="Normal 7 2 4" xfId="667"/>
    <cellStyle name="Normal 7 3" xfId="443"/>
    <cellStyle name="Normal 7 3 2" xfId="485"/>
    <cellStyle name="Normal 7 3 2 2" xfId="621"/>
    <cellStyle name="Normal 7 3 2 3" xfId="710"/>
    <cellStyle name="Normal 7 3 3" xfId="586"/>
    <cellStyle name="Normal 7 3 4" xfId="675"/>
    <cellStyle name="Normal 7 4" xfId="456"/>
    <cellStyle name="Normal 7 4 2" xfId="493"/>
    <cellStyle name="Normal 7 4 2 2" xfId="629"/>
    <cellStyle name="Normal 7 4 2 3" xfId="718"/>
    <cellStyle name="Normal 7 4 3" xfId="594"/>
    <cellStyle name="Normal 7 4 4" xfId="683"/>
    <cellStyle name="Normal 7 5" xfId="465"/>
    <cellStyle name="Normal 7 5 2" xfId="601"/>
    <cellStyle name="Normal 7 5 3" xfId="690"/>
    <cellStyle name="Normal 7 6" xfId="566"/>
    <cellStyle name="Normal 7 7" xfId="644"/>
    <cellStyle name="Normal 7 8" xfId="651"/>
    <cellStyle name="Normal 7 9" xfId="655"/>
    <cellStyle name="Normal 8" xfId="419"/>
    <cellStyle name="Normal 8 2" xfId="420"/>
    <cellStyle name="Normal 9" xfId="421"/>
    <cellStyle name="Normal 9 2" xfId="462"/>
    <cellStyle name="Normal 9 2 2" xfId="498"/>
    <cellStyle name="Normal 9 2 2 2" xfId="634"/>
    <cellStyle name="Normal 9 2 2 3" xfId="723"/>
    <cellStyle name="Normal 9 2 3" xfId="599"/>
    <cellStyle name="Normal 9 2 4" xfId="688"/>
    <cellStyle name="Normal 9 3" xfId="471"/>
    <cellStyle name="Normal 9 3 2" xfId="607"/>
    <cellStyle name="Normal 9 3 3" xfId="696"/>
    <cellStyle name="Normal 9 4" xfId="572"/>
    <cellStyle name="Normal 9 5" xfId="661"/>
    <cellStyle name="Notas 2" xfId="173"/>
    <cellStyle name="Notas 2 2" xfId="284"/>
    <cellStyle name="Notas 3" xfId="283"/>
    <cellStyle name="Notas 3 2" xfId="285"/>
    <cellStyle name="Notas 4" xfId="553"/>
    <cellStyle name="Notas 5" xfId="93"/>
    <cellStyle name="Note" xfId="94"/>
    <cellStyle name="Nulos" xfId="95"/>
    <cellStyle name="Nulos 2" xfId="286"/>
    <cellStyle name="Nulos 2 2" xfId="287"/>
    <cellStyle name="Nulos 3" xfId="288"/>
    <cellStyle name="Nulos 4" xfId="289"/>
    <cellStyle name="Oficio" xfId="96"/>
    <cellStyle name="Output" xfId="97"/>
    <cellStyle name="Output 2" xfId="174"/>
    <cellStyle name="Output 3" xfId="333"/>
    <cellStyle name="Output 4" xfId="346"/>
    <cellStyle name="Output 5" xfId="163"/>
    <cellStyle name="Porcentaje 2" xfId="369"/>
    <cellStyle name="Porcentaje 2 2" xfId="422"/>
    <cellStyle name="Porcentaje 2 2 2" xfId="423"/>
    <cellStyle name="Porcentaje 2 2 2 2" xfId="424"/>
    <cellStyle name="Porcentaje 2 3" xfId="425"/>
    <cellStyle name="Porcentaje 3" xfId="434"/>
    <cellStyle name="Porcentaje 3 2" xfId="478"/>
    <cellStyle name="Porcentaje 3 2 2" xfId="614"/>
    <cellStyle name="Porcentaje 3 2 3" xfId="703"/>
    <cellStyle name="Porcentaje 3 3" xfId="579"/>
    <cellStyle name="Porcentaje 3 4" xfId="668"/>
    <cellStyle name="Porcentaje 4" xfId="446"/>
    <cellStyle name="Porcentaje 4 2" xfId="488"/>
    <cellStyle name="Porcentaje 4 2 2" xfId="624"/>
    <cellStyle name="Porcentaje 4 2 3" xfId="713"/>
    <cellStyle name="Porcentaje 4 3" xfId="589"/>
    <cellStyle name="Porcentaje 4 4" xfId="678"/>
    <cellStyle name="Porcentual" xfId="98"/>
    <cellStyle name="Porcentual 2" xfId="506"/>
    <cellStyle name="Salida 2" xfId="175"/>
    <cellStyle name="Salida 2 2" xfId="291"/>
    <cellStyle name="Salida 3" xfId="290"/>
    <cellStyle name="Salida 3 2" xfId="292"/>
    <cellStyle name="Salida 4" xfId="554"/>
    <cellStyle name="Salida 5" xfId="99"/>
    <cellStyle name="Texto de advertencia 2" xfId="176"/>
    <cellStyle name="Texto de advertencia 2 2" xfId="294"/>
    <cellStyle name="Texto de advertencia 3" xfId="293"/>
    <cellStyle name="Texto de advertencia 3 2" xfId="295"/>
    <cellStyle name="Texto de advertencia 4" xfId="555"/>
    <cellStyle name="Texto de advertencia 5" xfId="100"/>
    <cellStyle name="Texto explicativo 2" xfId="177"/>
    <cellStyle name="Texto explicativo 2 2" xfId="297"/>
    <cellStyle name="Texto explicativo 3" xfId="296"/>
    <cellStyle name="Texto explicativo 3 2" xfId="298"/>
    <cellStyle name="Texto explicativo 4" xfId="556"/>
    <cellStyle name="Texto explicativo 5" xfId="101"/>
    <cellStyle name="Title" xfId="102"/>
    <cellStyle name="Título 1 2" xfId="179"/>
    <cellStyle name="Título 1 2 2" xfId="301"/>
    <cellStyle name="Título 1 3" xfId="300"/>
    <cellStyle name="Título 1 3 2" xfId="302"/>
    <cellStyle name="Título 1 4" xfId="557"/>
    <cellStyle name="Título 2 2" xfId="180"/>
    <cellStyle name="Título 2 2 2" xfId="304"/>
    <cellStyle name="Título 2 3" xfId="303"/>
    <cellStyle name="Título 2 3 2" xfId="305"/>
    <cellStyle name="Título 2 4" xfId="558"/>
    <cellStyle name="Título 2 5" xfId="105"/>
    <cellStyle name="Título 3 2" xfId="181"/>
    <cellStyle name="Título 3 2 2" xfId="307"/>
    <cellStyle name="Título 3 3" xfId="306"/>
    <cellStyle name="Título 3 3 2" xfId="308"/>
    <cellStyle name="Título 3 4" xfId="559"/>
    <cellStyle name="Título 3 5" xfId="106"/>
    <cellStyle name="Título 4" xfId="178"/>
    <cellStyle name="Título 4 2" xfId="309"/>
    <cellStyle name="Título 5" xfId="299"/>
    <cellStyle name="Título 5 2" xfId="310"/>
    <cellStyle name="Título 6" xfId="560"/>
    <cellStyle name="Título 7" xfId="103"/>
    <cellStyle name="Total 2" xfId="182"/>
    <cellStyle name="Total 2 2" xfId="312"/>
    <cellStyle name="Total 3" xfId="311"/>
    <cellStyle name="Total 3 2" xfId="313"/>
    <cellStyle name="Total 4" xfId="561"/>
    <cellStyle name="Total 5" xfId="107"/>
    <cellStyle name="vaca" xfId="108"/>
    <cellStyle name="Warning Text" xfId="109"/>
    <cellStyle name="Warning Text 2" xfId="183"/>
    <cellStyle name="Warning Text 3" xfId="336"/>
    <cellStyle name="Warning Text 4" xfId="343"/>
    <cellStyle name="Warning Text 5" xfId="3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9"/>
  <sheetViews>
    <sheetView workbookViewId="0">
      <selection activeCell="G15" sqref="G15"/>
    </sheetView>
  </sheetViews>
  <sheetFormatPr baseColWidth="10" defaultRowHeight="14.4" x14ac:dyDescent="0.3"/>
  <sheetData>
    <row r="1" spans="1:3" s="2" customFormat="1" x14ac:dyDescent="0.3">
      <c r="A1" s="2" t="s">
        <v>0</v>
      </c>
      <c r="B1" s="2" t="s">
        <v>4</v>
      </c>
      <c r="C1" s="2" t="s">
        <v>5</v>
      </c>
    </row>
    <row r="2" spans="1:3" x14ac:dyDescent="0.3">
      <c r="A2">
        <v>2017</v>
      </c>
      <c r="B2">
        <v>1</v>
      </c>
      <c r="C2" s="2">
        <v>1.6</v>
      </c>
    </row>
    <row r="3" spans="1:3" x14ac:dyDescent="0.3">
      <c r="A3" s="2">
        <v>2017</v>
      </c>
      <c r="B3">
        <v>2</v>
      </c>
      <c r="C3" s="2">
        <v>2.1</v>
      </c>
    </row>
    <row r="4" spans="1:3" x14ac:dyDescent="0.3">
      <c r="A4" s="2">
        <v>2017</v>
      </c>
      <c r="B4" s="2">
        <v>3</v>
      </c>
      <c r="C4" s="2">
        <v>2.4</v>
      </c>
    </row>
    <row r="5" spans="1:3" x14ac:dyDescent="0.3">
      <c r="A5" s="2">
        <v>2017</v>
      </c>
      <c r="B5" s="2">
        <v>4</v>
      </c>
      <c r="C5" s="2">
        <v>2.7</v>
      </c>
    </row>
    <row r="6" spans="1:3" x14ac:dyDescent="0.3">
      <c r="A6" s="2">
        <v>2017</v>
      </c>
      <c r="B6" s="2">
        <v>5</v>
      </c>
      <c r="C6" s="2">
        <v>1.4</v>
      </c>
    </row>
    <row r="7" spans="1:3" x14ac:dyDescent="0.3">
      <c r="A7" s="2">
        <v>2017</v>
      </c>
      <c r="B7" s="2">
        <v>6</v>
      </c>
      <c r="C7" s="2">
        <v>1.2</v>
      </c>
    </row>
    <row r="8" spans="1:3" x14ac:dyDescent="0.3">
      <c r="A8" s="2">
        <v>2017</v>
      </c>
      <c r="B8" s="2">
        <v>7</v>
      </c>
      <c r="C8" s="2">
        <v>1.7</v>
      </c>
    </row>
    <row r="9" spans="1:3" x14ac:dyDescent="0.3">
      <c r="A9" s="2">
        <v>2017</v>
      </c>
      <c r="B9" s="2">
        <v>8</v>
      </c>
      <c r="C9" s="2">
        <v>1.4</v>
      </c>
    </row>
    <row r="10" spans="1:3" x14ac:dyDescent="0.3">
      <c r="A10" s="2">
        <v>2017</v>
      </c>
      <c r="B10" s="2">
        <v>9</v>
      </c>
      <c r="C10" s="2">
        <v>1.9</v>
      </c>
    </row>
    <row r="11" spans="1:3" x14ac:dyDescent="0.3">
      <c r="A11" s="2">
        <v>2017</v>
      </c>
      <c r="B11" s="2">
        <v>10</v>
      </c>
      <c r="C11" s="2">
        <v>1.5</v>
      </c>
    </row>
    <row r="12" spans="1:3" x14ac:dyDescent="0.3">
      <c r="A12" s="2">
        <v>2017</v>
      </c>
      <c r="B12" s="2">
        <v>11</v>
      </c>
      <c r="C12" s="2">
        <v>1.4</v>
      </c>
    </row>
    <row r="13" spans="1:3" x14ac:dyDescent="0.3">
      <c r="A13" s="2">
        <v>2017</v>
      </c>
      <c r="B13" s="2">
        <v>12</v>
      </c>
      <c r="C13" s="2">
        <v>3.1</v>
      </c>
    </row>
    <row r="14" spans="1:3" x14ac:dyDescent="0.3">
      <c r="A14" s="2">
        <v>2018</v>
      </c>
      <c r="B14" s="2">
        <v>1</v>
      </c>
      <c r="C14" s="2">
        <v>1.8</v>
      </c>
    </row>
    <row r="15" spans="1:3" x14ac:dyDescent="0.3">
      <c r="A15" s="2">
        <v>2018</v>
      </c>
      <c r="B15" s="2">
        <v>2</v>
      </c>
      <c r="C15" s="2">
        <v>2.4</v>
      </c>
    </row>
    <row r="16" spans="1:3" x14ac:dyDescent="0.3">
      <c r="A16" s="2">
        <v>2018</v>
      </c>
      <c r="B16" s="2">
        <v>3</v>
      </c>
      <c r="C16" s="2">
        <v>2.2999999999999998</v>
      </c>
    </row>
    <row r="17" spans="1:3" x14ac:dyDescent="0.3">
      <c r="A17" s="2">
        <v>2018</v>
      </c>
      <c r="B17" s="2">
        <v>4</v>
      </c>
      <c r="C17" s="2">
        <v>2.7</v>
      </c>
    </row>
    <row r="18" spans="1:3" x14ac:dyDescent="0.3">
      <c r="A18" s="2">
        <v>2018</v>
      </c>
      <c r="B18" s="2">
        <v>5</v>
      </c>
      <c r="C18" s="2">
        <v>2.1</v>
      </c>
    </row>
    <row r="19" spans="1:3" x14ac:dyDescent="0.3">
      <c r="A19" s="2">
        <v>2018</v>
      </c>
      <c r="B19" s="2">
        <v>6</v>
      </c>
      <c r="C19" s="2">
        <v>3.7</v>
      </c>
    </row>
    <row r="20" spans="1:3" x14ac:dyDescent="0.3">
      <c r="A20" s="2">
        <v>2018</v>
      </c>
      <c r="B20" s="2">
        <v>7</v>
      </c>
      <c r="C20" s="2">
        <v>3.1</v>
      </c>
    </row>
    <row r="21" spans="1:3" x14ac:dyDescent="0.3">
      <c r="A21" s="2">
        <v>2018</v>
      </c>
      <c r="B21" s="2">
        <v>8</v>
      </c>
      <c r="C21" s="2">
        <v>3.9</v>
      </c>
    </row>
    <row r="22" spans="1:3" x14ac:dyDescent="0.3">
      <c r="A22" s="2">
        <v>2018</v>
      </c>
      <c r="B22" s="2">
        <v>9</v>
      </c>
      <c r="C22" s="2">
        <v>6.5</v>
      </c>
    </row>
    <row r="23" spans="1:3" x14ac:dyDescent="0.3">
      <c r="A23" s="2">
        <v>2018</v>
      </c>
      <c r="B23" s="2">
        <v>10</v>
      </c>
      <c r="C23" s="2">
        <v>5.4</v>
      </c>
    </row>
    <row r="24" spans="1:3" x14ac:dyDescent="0.3">
      <c r="A24" s="2">
        <v>2018</v>
      </c>
      <c r="B24" s="2">
        <v>11</v>
      </c>
      <c r="C24" s="2">
        <v>3.2</v>
      </c>
    </row>
    <row r="25" spans="1:3" x14ac:dyDescent="0.3">
      <c r="A25">
        <v>2018</v>
      </c>
      <c r="B25" s="2">
        <v>12</v>
      </c>
      <c r="C25" s="2">
        <v>2.6</v>
      </c>
    </row>
    <row r="26" spans="1:3" x14ac:dyDescent="0.3">
      <c r="A26" s="2">
        <v>2019</v>
      </c>
      <c r="B26" s="2">
        <v>1</v>
      </c>
      <c r="C26" s="2">
        <v>2.9</v>
      </c>
    </row>
    <row r="27" spans="1:3" x14ac:dyDescent="0.3">
      <c r="A27" s="2">
        <v>2019</v>
      </c>
      <c r="B27" s="2">
        <v>2</v>
      </c>
      <c r="C27" s="2">
        <v>3.8</v>
      </c>
    </row>
    <row r="28" spans="1:3" x14ac:dyDescent="0.3">
      <c r="A28" s="2">
        <v>2019</v>
      </c>
      <c r="B28" s="2">
        <v>3</v>
      </c>
      <c r="C28" s="2">
        <v>4.7</v>
      </c>
    </row>
    <row r="29" spans="1:3" x14ac:dyDescent="0.3">
      <c r="A29" s="2">
        <v>2019</v>
      </c>
      <c r="B29" s="2">
        <v>4</v>
      </c>
      <c r="C29" s="2">
        <v>3.4</v>
      </c>
    </row>
    <row r="30" spans="1:3" x14ac:dyDescent="0.3">
      <c r="A30" s="2">
        <v>2019</v>
      </c>
      <c r="B30" s="2">
        <v>5</v>
      </c>
      <c r="C30" s="2">
        <v>3.1</v>
      </c>
    </row>
    <row r="31" spans="1:3" x14ac:dyDescent="0.3">
      <c r="A31" s="2">
        <v>2019</v>
      </c>
      <c r="B31" s="2">
        <v>6</v>
      </c>
      <c r="C31" s="2">
        <v>2.7</v>
      </c>
    </row>
    <row r="32" spans="1:3" x14ac:dyDescent="0.3">
      <c r="A32" s="2">
        <v>2019</v>
      </c>
      <c r="B32" s="2">
        <v>7</v>
      </c>
      <c r="C32" s="2">
        <v>2.2000000000000002</v>
      </c>
    </row>
    <row r="33" spans="1:3" x14ac:dyDescent="0.3">
      <c r="A33" s="2">
        <v>2019</v>
      </c>
      <c r="B33" s="2">
        <v>8</v>
      </c>
      <c r="C33" s="2">
        <v>4</v>
      </c>
    </row>
    <row r="34" spans="1:3" x14ac:dyDescent="0.3">
      <c r="A34" s="2">
        <v>2019</v>
      </c>
      <c r="B34" s="2">
        <v>9</v>
      </c>
      <c r="C34" s="2">
        <v>5.9</v>
      </c>
    </row>
    <row r="35" spans="1:3" x14ac:dyDescent="0.3">
      <c r="A35" s="2">
        <v>2019</v>
      </c>
      <c r="B35" s="2">
        <v>10</v>
      </c>
      <c r="C35" s="2">
        <v>3.3</v>
      </c>
    </row>
    <row r="36" spans="1:3" x14ac:dyDescent="0.3">
      <c r="A36" s="2">
        <v>2019</v>
      </c>
      <c r="B36" s="2">
        <v>11</v>
      </c>
      <c r="C36" s="2">
        <v>4.3</v>
      </c>
    </row>
    <row r="37" spans="1:3" x14ac:dyDescent="0.3">
      <c r="A37">
        <v>2019</v>
      </c>
      <c r="B37" s="2">
        <v>12</v>
      </c>
      <c r="C37" s="2">
        <v>3.7</v>
      </c>
    </row>
    <row r="38" spans="1:3" x14ac:dyDescent="0.3">
      <c r="A38" s="2">
        <v>2020</v>
      </c>
      <c r="B38" s="2">
        <v>1</v>
      </c>
      <c r="C38" s="2">
        <v>2.2999999999999998</v>
      </c>
    </row>
    <row r="39" spans="1:3" x14ac:dyDescent="0.3">
      <c r="A39" s="2">
        <v>2020</v>
      </c>
      <c r="B39" s="2">
        <v>2</v>
      </c>
      <c r="C39" s="2">
        <v>2</v>
      </c>
    </row>
    <row r="40" spans="1:3" x14ac:dyDescent="0.3">
      <c r="A40" s="2">
        <v>2020</v>
      </c>
      <c r="B40" s="2">
        <v>3</v>
      </c>
      <c r="C40" s="2">
        <v>3.3</v>
      </c>
    </row>
    <row r="41" spans="1:3" x14ac:dyDescent="0.3">
      <c r="A41" s="2">
        <v>2020</v>
      </c>
      <c r="B41" s="2">
        <v>4</v>
      </c>
      <c r="C41" s="2">
        <v>1.5</v>
      </c>
    </row>
    <row r="42" spans="1:3" x14ac:dyDescent="0.3">
      <c r="A42" s="2">
        <v>2020</v>
      </c>
      <c r="B42" s="2">
        <v>5</v>
      </c>
      <c r="C42" s="2">
        <v>1.5</v>
      </c>
    </row>
    <row r="43" spans="1:3" x14ac:dyDescent="0.3">
      <c r="A43" s="2">
        <v>2020</v>
      </c>
      <c r="B43" s="2">
        <v>6</v>
      </c>
      <c r="C43" s="2">
        <v>2.2000000000000002</v>
      </c>
    </row>
    <row r="44" spans="1:3" x14ac:dyDescent="0.3">
      <c r="A44" s="2">
        <v>2020</v>
      </c>
      <c r="B44" s="2">
        <v>7</v>
      </c>
      <c r="C44" s="2">
        <v>1.9</v>
      </c>
    </row>
    <row r="45" spans="1:3" x14ac:dyDescent="0.3">
      <c r="A45" s="2">
        <v>2020</v>
      </c>
      <c r="B45" s="2">
        <v>8</v>
      </c>
      <c r="C45" s="2">
        <v>2.7</v>
      </c>
    </row>
    <row r="46" spans="1:3" x14ac:dyDescent="0.3">
      <c r="A46" s="2">
        <v>2020</v>
      </c>
      <c r="B46" s="2">
        <v>9</v>
      </c>
      <c r="C46" s="2">
        <v>2.8</v>
      </c>
    </row>
    <row r="47" spans="1:3" x14ac:dyDescent="0.3">
      <c r="A47" s="2">
        <v>2020</v>
      </c>
      <c r="B47" s="2">
        <v>10</v>
      </c>
      <c r="C47" s="2">
        <v>3.8</v>
      </c>
    </row>
    <row r="48" spans="1:3" x14ac:dyDescent="0.3">
      <c r="A48" s="2">
        <v>2020</v>
      </c>
      <c r="B48" s="2">
        <v>11</v>
      </c>
      <c r="C48" s="2">
        <v>3.2</v>
      </c>
    </row>
    <row r="49" spans="1:3" x14ac:dyDescent="0.3">
      <c r="A49">
        <v>2020</v>
      </c>
      <c r="B49" s="2">
        <v>12</v>
      </c>
      <c r="C49" s="2">
        <v>4</v>
      </c>
    </row>
    <row r="50" spans="1:3" x14ac:dyDescent="0.3">
      <c r="A50" s="2">
        <v>2021</v>
      </c>
      <c r="B50" s="2">
        <v>1</v>
      </c>
      <c r="C50" s="2">
        <v>4</v>
      </c>
    </row>
    <row r="51" spans="1:3" x14ac:dyDescent="0.3">
      <c r="A51" s="2">
        <v>2021</v>
      </c>
      <c r="B51" s="2">
        <v>2</v>
      </c>
      <c r="C51" s="2">
        <v>3.6</v>
      </c>
    </row>
    <row r="52" spans="1:3" x14ac:dyDescent="0.3">
      <c r="A52" s="2">
        <v>2021</v>
      </c>
      <c r="B52" s="2">
        <v>3</v>
      </c>
      <c r="C52" s="2">
        <v>4.8</v>
      </c>
    </row>
    <row r="53" spans="1:3" x14ac:dyDescent="0.3">
      <c r="A53" s="2">
        <v>2021</v>
      </c>
      <c r="B53" s="2">
        <v>4</v>
      </c>
      <c r="C53" s="2">
        <v>4.0999999999999996</v>
      </c>
    </row>
    <row r="54" spans="1:3" x14ac:dyDescent="0.3">
      <c r="A54" s="2">
        <v>2021</v>
      </c>
      <c r="B54" s="2">
        <v>5</v>
      </c>
      <c r="C54" s="2">
        <v>3.3</v>
      </c>
    </row>
    <row r="55" spans="1:3" x14ac:dyDescent="0.3">
      <c r="A55" s="2">
        <v>2021</v>
      </c>
      <c r="B55" s="2">
        <v>6</v>
      </c>
      <c r="C55" s="2">
        <v>3.2</v>
      </c>
    </row>
    <row r="56" spans="1:3" x14ac:dyDescent="0.3">
      <c r="A56" s="2">
        <v>2021</v>
      </c>
      <c r="B56" s="2">
        <v>7</v>
      </c>
      <c r="C56" s="2">
        <v>3</v>
      </c>
    </row>
    <row r="57" spans="1:3" x14ac:dyDescent="0.3">
      <c r="A57" s="2">
        <v>2021</v>
      </c>
      <c r="B57" s="2">
        <v>8</v>
      </c>
      <c r="C57" s="2">
        <v>2.5</v>
      </c>
    </row>
    <row r="58" spans="1:3" x14ac:dyDescent="0.3">
      <c r="A58" s="2">
        <v>2021</v>
      </c>
      <c r="B58" s="2">
        <v>9</v>
      </c>
      <c r="C58" s="2">
        <v>3.5</v>
      </c>
    </row>
    <row r="59" spans="1:3" x14ac:dyDescent="0.3">
      <c r="A59" s="2">
        <v>2021</v>
      </c>
      <c r="B59" s="2">
        <v>10</v>
      </c>
      <c r="C59" s="2">
        <v>3.5</v>
      </c>
    </row>
    <row r="60" spans="1:3" x14ac:dyDescent="0.3">
      <c r="A60" s="2">
        <v>2021</v>
      </c>
      <c r="B60" s="2">
        <v>11</v>
      </c>
      <c r="C60" s="2">
        <v>2.5</v>
      </c>
    </row>
    <row r="61" spans="1:3" x14ac:dyDescent="0.3">
      <c r="A61">
        <v>2021</v>
      </c>
      <c r="B61" s="2">
        <v>12</v>
      </c>
      <c r="C61" s="2">
        <v>3.8</v>
      </c>
    </row>
    <row r="62" spans="1:3" x14ac:dyDescent="0.3">
      <c r="A62" s="2">
        <v>2022</v>
      </c>
      <c r="B62" s="2">
        <v>1</v>
      </c>
      <c r="C62" s="2">
        <v>3.9</v>
      </c>
    </row>
    <row r="63" spans="1:3" x14ac:dyDescent="0.3">
      <c r="A63" s="2">
        <v>2022</v>
      </c>
      <c r="B63" s="2">
        <v>2</v>
      </c>
      <c r="C63" s="2">
        <v>4.7</v>
      </c>
    </row>
    <row r="64" spans="1:3" x14ac:dyDescent="0.3">
      <c r="A64" s="2">
        <v>2022</v>
      </c>
      <c r="B64" s="2">
        <v>3</v>
      </c>
      <c r="C64" s="2">
        <v>6.7</v>
      </c>
    </row>
    <row r="65" spans="1:3" x14ac:dyDescent="0.3">
      <c r="A65" s="2">
        <v>2022</v>
      </c>
      <c r="B65" s="2">
        <v>4</v>
      </c>
      <c r="C65" s="2">
        <v>6</v>
      </c>
    </row>
    <row r="66" spans="1:3" x14ac:dyDescent="0.3">
      <c r="A66" s="2">
        <v>2022</v>
      </c>
      <c r="B66" s="2">
        <v>5</v>
      </c>
      <c r="C66" s="2">
        <v>5.0999999999999996</v>
      </c>
    </row>
    <row r="67" spans="1:3" x14ac:dyDescent="0.3">
      <c r="A67" s="2">
        <v>2022</v>
      </c>
      <c r="B67" s="2">
        <v>6</v>
      </c>
      <c r="C67" s="2">
        <v>5.3</v>
      </c>
    </row>
    <row r="68" spans="1:3" x14ac:dyDescent="0.3">
      <c r="A68" s="2">
        <v>2022</v>
      </c>
      <c r="B68" s="2">
        <v>7</v>
      </c>
      <c r="C68" s="2">
        <v>7.4</v>
      </c>
    </row>
    <row r="69" spans="1:3" x14ac:dyDescent="0.3">
      <c r="A69" s="2">
        <v>2022</v>
      </c>
      <c r="B69" s="2">
        <v>8</v>
      </c>
      <c r="C69" s="2">
        <v>7</v>
      </c>
    </row>
    <row r="70" spans="1:3" x14ac:dyDescent="0.3">
      <c r="A70" s="2">
        <v>2022</v>
      </c>
      <c r="B70" s="2">
        <v>9</v>
      </c>
      <c r="C70" s="2">
        <v>6.2</v>
      </c>
    </row>
    <row r="71" spans="1:3" x14ac:dyDescent="0.3">
      <c r="A71" s="2">
        <v>2022</v>
      </c>
      <c r="B71" s="2">
        <v>10</v>
      </c>
      <c r="C71" s="2">
        <v>6.3</v>
      </c>
    </row>
    <row r="72" spans="1:3" x14ac:dyDescent="0.3">
      <c r="A72" s="2">
        <v>2022</v>
      </c>
      <c r="B72" s="2">
        <v>11</v>
      </c>
      <c r="C72" s="2">
        <v>4.9000000000000004</v>
      </c>
    </row>
    <row r="73" spans="1:3" x14ac:dyDescent="0.3">
      <c r="A73">
        <v>2022</v>
      </c>
      <c r="B73" s="2">
        <v>12</v>
      </c>
      <c r="C73" s="2">
        <v>5.0999999999999996</v>
      </c>
    </row>
    <row r="74" spans="1:3" x14ac:dyDescent="0.3">
      <c r="A74" s="2">
        <v>2023</v>
      </c>
      <c r="B74" s="2">
        <v>1</v>
      </c>
      <c r="C74" s="2">
        <v>6</v>
      </c>
    </row>
    <row r="75" spans="1:3" x14ac:dyDescent="0.3">
      <c r="A75" s="2">
        <v>2023</v>
      </c>
      <c r="B75" s="2">
        <v>2</v>
      </c>
      <c r="C75" s="2">
        <v>6.6</v>
      </c>
    </row>
    <row r="76" spans="1:3" x14ac:dyDescent="0.3">
      <c r="A76" s="2">
        <v>2023</v>
      </c>
      <c r="B76" s="2">
        <v>3</v>
      </c>
      <c r="C76" s="2">
        <v>7.7</v>
      </c>
    </row>
    <row r="77" spans="1:3" x14ac:dyDescent="0.3">
      <c r="A77" s="2">
        <v>2023</v>
      </c>
      <c r="B77" s="2">
        <v>4</v>
      </c>
      <c r="C77" s="2">
        <v>8.4</v>
      </c>
    </row>
    <row r="78" spans="1:3" x14ac:dyDescent="0.3">
      <c r="A78" s="2">
        <v>2023</v>
      </c>
      <c r="B78" s="2">
        <v>5</v>
      </c>
      <c r="C78" s="2">
        <v>7.8</v>
      </c>
    </row>
    <row r="79" spans="1:3" x14ac:dyDescent="0.3">
      <c r="A79" s="2">
        <v>2023</v>
      </c>
      <c r="B79" s="2">
        <v>6</v>
      </c>
      <c r="C79" s="2">
        <v>6</v>
      </c>
    </row>
    <row r="80" spans="1:3" x14ac:dyDescent="0.3">
      <c r="A80" s="2">
        <v>2023</v>
      </c>
      <c r="B80" s="2">
        <v>7</v>
      </c>
      <c r="C80" s="2">
        <v>6.3</v>
      </c>
    </row>
    <row r="81" spans="1:3" x14ac:dyDescent="0.3">
      <c r="A81" s="2">
        <v>2023</v>
      </c>
      <c r="B81" s="2">
        <v>8</v>
      </c>
      <c r="C81" s="2">
        <v>12.4</v>
      </c>
    </row>
    <row r="82" spans="1:3" x14ac:dyDescent="0.3">
      <c r="A82" s="2">
        <v>2023</v>
      </c>
      <c r="B82" s="2">
        <v>9</v>
      </c>
      <c r="C82" s="2">
        <v>12.7</v>
      </c>
    </row>
    <row r="83" spans="1:3" x14ac:dyDescent="0.3">
      <c r="A83" s="2">
        <v>2023</v>
      </c>
      <c r="B83" s="2">
        <v>10</v>
      </c>
      <c r="C83" s="2">
        <v>8.3000000000000007</v>
      </c>
    </row>
    <row r="84" spans="1:3" x14ac:dyDescent="0.3">
      <c r="A84" s="2">
        <v>2023</v>
      </c>
      <c r="B84" s="2">
        <v>11</v>
      </c>
      <c r="C84" s="2">
        <v>12.8</v>
      </c>
    </row>
    <row r="85" spans="1:3" x14ac:dyDescent="0.3">
      <c r="A85">
        <v>2023</v>
      </c>
      <c r="B85" s="2">
        <v>12</v>
      </c>
      <c r="C85" s="2">
        <v>25.5</v>
      </c>
    </row>
    <row r="86" spans="1:3" x14ac:dyDescent="0.3">
      <c r="A86" s="2">
        <v>2024</v>
      </c>
      <c r="B86" s="2">
        <v>1</v>
      </c>
      <c r="C86" s="2">
        <v>20.6</v>
      </c>
    </row>
    <row r="87" spans="1:3" x14ac:dyDescent="0.3">
      <c r="A87" s="2">
        <v>2024</v>
      </c>
      <c r="B87" s="2">
        <v>2</v>
      </c>
      <c r="C87" s="2">
        <v>13.2</v>
      </c>
    </row>
    <row r="88" spans="1:3" x14ac:dyDescent="0.3">
      <c r="A88" s="2">
        <v>2024</v>
      </c>
      <c r="B88" s="2">
        <v>3</v>
      </c>
      <c r="C88" s="2">
        <v>11</v>
      </c>
    </row>
    <row r="89" spans="1:3" x14ac:dyDescent="0.3">
      <c r="A89" s="2">
        <v>2024</v>
      </c>
      <c r="B89" s="2">
        <v>4</v>
      </c>
      <c r="C89" s="2">
        <v>8.8000000000000007</v>
      </c>
    </row>
    <row r="90" spans="1:3" x14ac:dyDescent="0.3">
      <c r="A90" s="2">
        <v>2024</v>
      </c>
      <c r="B90" s="2">
        <v>5</v>
      </c>
      <c r="C90" s="2">
        <v>4.2</v>
      </c>
    </row>
    <row r="91" spans="1:3" x14ac:dyDescent="0.3">
      <c r="A91" s="2">
        <v>2024</v>
      </c>
      <c r="B91" s="2">
        <v>6</v>
      </c>
      <c r="C91" s="2">
        <v>4.5999999999999996</v>
      </c>
    </row>
    <row r="92" spans="1:3" x14ac:dyDescent="0.3">
      <c r="A92" s="2">
        <v>2024</v>
      </c>
      <c r="B92" s="2">
        <v>7</v>
      </c>
      <c r="C92" s="2">
        <v>4</v>
      </c>
    </row>
    <row r="93" spans="1:3" x14ac:dyDescent="0.3">
      <c r="A93" s="2">
        <v>2024</v>
      </c>
      <c r="B93" s="2">
        <v>8</v>
      </c>
      <c r="C93" s="2">
        <v>4.2</v>
      </c>
    </row>
    <row r="94" spans="1:3" x14ac:dyDescent="0.3">
      <c r="A94" s="2">
        <v>2024</v>
      </c>
      <c r="B94" s="2">
        <v>9</v>
      </c>
      <c r="C94" s="2">
        <v>3.5</v>
      </c>
    </row>
    <row r="95" spans="1:3" x14ac:dyDescent="0.3">
      <c r="A95" s="2">
        <v>2024</v>
      </c>
      <c r="B95" s="2">
        <v>10</v>
      </c>
      <c r="C95" s="2">
        <v>2.7</v>
      </c>
    </row>
    <row r="96" spans="1:3" x14ac:dyDescent="0.3">
      <c r="A96" s="2">
        <v>2024</v>
      </c>
      <c r="B96" s="2">
        <v>11</v>
      </c>
      <c r="C96" s="2">
        <v>2.4</v>
      </c>
    </row>
    <row r="97" spans="1:3" x14ac:dyDescent="0.3">
      <c r="A97">
        <v>2024</v>
      </c>
      <c r="B97" s="2">
        <v>12</v>
      </c>
      <c r="C97" s="2">
        <v>2.7</v>
      </c>
    </row>
    <row r="98" spans="1:3" x14ac:dyDescent="0.3">
      <c r="A98" s="2">
        <v>2025</v>
      </c>
      <c r="B98" s="2">
        <v>1</v>
      </c>
      <c r="C98" s="2">
        <v>2.2000000000000002</v>
      </c>
    </row>
    <row r="99" spans="1:3" x14ac:dyDescent="0.3">
      <c r="A99" s="2">
        <v>2025</v>
      </c>
      <c r="B99" s="2">
        <v>2</v>
      </c>
      <c r="C99" s="2">
        <v>2.4</v>
      </c>
    </row>
    <row r="100" spans="1:3" x14ac:dyDescent="0.3">
      <c r="A100" s="2">
        <v>2025</v>
      </c>
      <c r="B100" s="2">
        <v>3</v>
      </c>
      <c r="C100" s="2">
        <v>3.7</v>
      </c>
    </row>
    <row r="101" spans="1:3" x14ac:dyDescent="0.3">
      <c r="A101" s="2">
        <v>2025</v>
      </c>
      <c r="B101" s="2">
        <v>4</v>
      </c>
      <c r="C101" s="2">
        <v>2.8</v>
      </c>
    </row>
    <row r="102" spans="1:3" x14ac:dyDescent="0.3">
      <c r="A102" s="2">
        <v>2025</v>
      </c>
      <c r="B102" s="2">
        <v>5</v>
      </c>
      <c r="C102" s="2">
        <v>1.5</v>
      </c>
    </row>
    <row r="103" spans="1:3" x14ac:dyDescent="0.3">
      <c r="A103" s="2">
        <v>2025</v>
      </c>
      <c r="B103" s="2">
        <v>6</v>
      </c>
      <c r="C103" s="2">
        <v>1.6</v>
      </c>
    </row>
    <row r="104" spans="1:3" x14ac:dyDescent="0.3">
      <c r="A104">
        <v>2025</v>
      </c>
      <c r="B104" s="2">
        <v>7</v>
      </c>
      <c r="C104" s="2">
        <v>1.9</v>
      </c>
    </row>
    <row r="105" spans="1:3" x14ac:dyDescent="0.3">
      <c r="B105" s="2"/>
    </row>
    <row r="106" spans="1:3" x14ac:dyDescent="0.3">
      <c r="B106" s="2"/>
    </row>
    <row r="107" spans="1:3" x14ac:dyDescent="0.3">
      <c r="B107" s="2"/>
    </row>
    <row r="108" spans="1:3" x14ac:dyDescent="0.3">
      <c r="B108" s="2"/>
    </row>
    <row r="109" spans="1:3" x14ac:dyDescent="0.3">
      <c r="B10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0"/>
  <sheetViews>
    <sheetView workbookViewId="0">
      <selection activeCell="B8" sqref="B8"/>
    </sheetView>
  </sheetViews>
  <sheetFormatPr baseColWidth="10" defaultRowHeight="14.4" x14ac:dyDescent="0.3"/>
  <sheetData>
    <row r="1" spans="1:5" x14ac:dyDescent="0.3">
      <c r="A1" t="s">
        <v>0</v>
      </c>
      <c r="B1" t="s">
        <v>2</v>
      </c>
      <c r="C1" t="s">
        <v>3</v>
      </c>
      <c r="D1" t="s">
        <v>4</v>
      </c>
      <c r="E1" t="s">
        <v>1</v>
      </c>
    </row>
    <row r="2" spans="1:5" x14ac:dyDescent="0.3">
      <c r="A2" s="1">
        <v>2004</v>
      </c>
      <c r="B2" s="1">
        <v>1</v>
      </c>
      <c r="C2" s="1">
        <v>1</v>
      </c>
      <c r="D2" s="1">
        <v>3</v>
      </c>
      <c r="E2" s="1">
        <v>460369.44223294873</v>
      </c>
    </row>
    <row r="3" spans="1:5" x14ac:dyDescent="0.3">
      <c r="A3" s="1">
        <v>2004</v>
      </c>
      <c r="B3" s="1">
        <v>2</v>
      </c>
      <c r="C3" s="1">
        <v>1</v>
      </c>
      <c r="D3" s="1">
        <v>6</v>
      </c>
      <c r="E3" s="1">
        <v>514395.68177236168</v>
      </c>
    </row>
    <row r="4" spans="1:5" x14ac:dyDescent="0.3">
      <c r="A4" s="1">
        <v>2004</v>
      </c>
      <c r="B4" s="1">
        <v>3</v>
      </c>
      <c r="C4" s="1">
        <v>1</v>
      </c>
      <c r="D4" s="1">
        <v>9</v>
      </c>
      <c r="E4" s="1">
        <v>481151.97994350811</v>
      </c>
    </row>
    <row r="5" spans="1:5" x14ac:dyDescent="0.3">
      <c r="A5" s="1">
        <v>2004</v>
      </c>
      <c r="B5" s="1">
        <v>4</v>
      </c>
      <c r="C5" s="1">
        <v>1</v>
      </c>
      <c r="D5" s="1">
        <v>12</v>
      </c>
      <c r="E5" s="1">
        <v>484543.6768765623</v>
      </c>
    </row>
    <row r="6" spans="1:5" x14ac:dyDescent="0.3">
      <c r="A6" s="1">
        <v>2005</v>
      </c>
      <c r="B6" s="1">
        <v>1</v>
      </c>
      <c r="C6" s="1">
        <v>1</v>
      </c>
      <c r="D6" s="1">
        <v>3</v>
      </c>
      <c r="E6" s="1">
        <v>493602.53057785495</v>
      </c>
    </row>
    <row r="7" spans="1:5" x14ac:dyDescent="0.3">
      <c r="A7" s="1">
        <v>2005</v>
      </c>
      <c r="B7" s="1">
        <v>2</v>
      </c>
      <c r="C7" s="1">
        <v>1</v>
      </c>
      <c r="D7" s="1">
        <v>6</v>
      </c>
      <c r="E7" s="1">
        <v>581668.24987960246</v>
      </c>
    </row>
    <row r="8" spans="1:5" x14ac:dyDescent="0.3">
      <c r="A8" s="1">
        <v>2005</v>
      </c>
      <c r="B8" s="1">
        <v>3</v>
      </c>
      <c r="C8" s="1">
        <v>1</v>
      </c>
      <c r="D8" s="1">
        <v>9</v>
      </c>
      <c r="E8" s="1">
        <v>514697.78950542817</v>
      </c>
    </row>
    <row r="9" spans="1:5" x14ac:dyDescent="0.3">
      <c r="A9" s="1">
        <v>2005</v>
      </c>
      <c r="B9" s="1">
        <v>4</v>
      </c>
      <c r="C9" s="1">
        <v>1</v>
      </c>
      <c r="D9" s="1">
        <v>12</v>
      </c>
      <c r="E9" s="1">
        <v>522255.20005077147</v>
      </c>
    </row>
    <row r="10" spans="1:5" x14ac:dyDescent="0.3">
      <c r="A10" s="1">
        <v>2006</v>
      </c>
      <c r="B10" s="1">
        <v>1</v>
      </c>
      <c r="C10" s="1">
        <v>1</v>
      </c>
      <c r="D10" s="1">
        <v>3</v>
      </c>
      <c r="E10" s="1">
        <v>532348.2120169173</v>
      </c>
    </row>
    <row r="11" spans="1:5" x14ac:dyDescent="0.3">
      <c r="A11" s="1">
        <v>2006</v>
      </c>
      <c r="B11" s="1">
        <v>2</v>
      </c>
      <c r="C11" s="1">
        <v>1</v>
      </c>
      <c r="D11" s="1">
        <v>6</v>
      </c>
      <c r="E11" s="1">
        <v>614076.39260854386</v>
      </c>
    </row>
    <row r="12" spans="1:5" x14ac:dyDescent="0.3">
      <c r="A12" s="1">
        <v>2006</v>
      </c>
      <c r="B12" s="1">
        <v>3</v>
      </c>
      <c r="C12" s="1">
        <v>1</v>
      </c>
      <c r="D12" s="1">
        <v>9</v>
      </c>
      <c r="E12" s="1">
        <v>562978.96562687657</v>
      </c>
    </row>
    <row r="13" spans="1:5" x14ac:dyDescent="0.3">
      <c r="A13" s="1">
        <v>2006</v>
      </c>
      <c r="B13" s="1">
        <v>4</v>
      </c>
      <c r="C13" s="1">
        <v>1</v>
      </c>
      <c r="D13" s="1">
        <v>12</v>
      </c>
      <c r="E13" s="1">
        <v>572794.04663058836</v>
      </c>
    </row>
    <row r="14" spans="1:5" x14ac:dyDescent="0.3">
      <c r="A14" s="1">
        <v>2007</v>
      </c>
      <c r="B14" s="1">
        <v>1</v>
      </c>
      <c r="C14" s="1">
        <v>1</v>
      </c>
      <c r="D14" s="1">
        <v>3</v>
      </c>
      <c r="E14" s="1">
        <v>576846.88569942722</v>
      </c>
    </row>
    <row r="15" spans="1:5" x14ac:dyDescent="0.3">
      <c r="A15" s="1">
        <v>2007</v>
      </c>
      <c r="B15" s="1">
        <v>2</v>
      </c>
      <c r="C15" s="1">
        <v>1</v>
      </c>
      <c r="D15" s="1">
        <v>6</v>
      </c>
      <c r="E15" s="1">
        <v>674620.56300648488</v>
      </c>
    </row>
    <row r="16" spans="1:5" x14ac:dyDescent="0.3">
      <c r="A16" s="1">
        <v>2007</v>
      </c>
      <c r="B16" s="1">
        <v>3</v>
      </c>
      <c r="C16" s="1">
        <v>1</v>
      </c>
      <c r="D16" s="1">
        <v>9</v>
      </c>
      <c r="E16" s="1">
        <v>610425.69401485357</v>
      </c>
    </row>
    <row r="17" spans="1:5" x14ac:dyDescent="0.3">
      <c r="A17" s="1">
        <v>2007</v>
      </c>
      <c r="B17" s="1">
        <v>4</v>
      </c>
      <c r="C17" s="1">
        <v>1</v>
      </c>
      <c r="D17" s="1">
        <v>12</v>
      </c>
      <c r="E17" s="1">
        <v>625876.86786359688</v>
      </c>
    </row>
    <row r="18" spans="1:5" x14ac:dyDescent="0.3">
      <c r="A18" s="1">
        <v>2008</v>
      </c>
      <c r="B18" s="1">
        <v>1</v>
      </c>
      <c r="C18" s="1">
        <v>1</v>
      </c>
      <c r="D18" s="1">
        <v>3</v>
      </c>
      <c r="E18" s="1">
        <v>616720.35706447833</v>
      </c>
    </row>
    <row r="19" spans="1:5" x14ac:dyDescent="0.3">
      <c r="A19" s="1">
        <v>2008</v>
      </c>
      <c r="B19" s="1">
        <v>2</v>
      </c>
      <c r="C19" s="1">
        <v>1</v>
      </c>
      <c r="D19" s="1">
        <v>6</v>
      </c>
      <c r="E19" s="1">
        <v>711405.50045523292</v>
      </c>
    </row>
    <row r="20" spans="1:5" x14ac:dyDescent="0.3">
      <c r="A20" s="1">
        <v>2008</v>
      </c>
      <c r="B20" s="1">
        <v>3</v>
      </c>
      <c r="C20" s="1">
        <v>1</v>
      </c>
      <c r="D20" s="1">
        <v>9</v>
      </c>
      <c r="E20" s="1">
        <v>647087.95974249416</v>
      </c>
    </row>
    <row r="21" spans="1:5" x14ac:dyDescent="0.3">
      <c r="A21" s="1">
        <v>2008</v>
      </c>
      <c r="B21" s="1">
        <v>4</v>
      </c>
      <c r="C21" s="1">
        <v>1</v>
      </c>
      <c r="D21" s="1">
        <v>12</v>
      </c>
      <c r="E21" s="1">
        <v>613490.82170264097</v>
      </c>
    </row>
    <row r="22" spans="1:5" x14ac:dyDescent="0.3">
      <c r="A22" s="1">
        <v>2009</v>
      </c>
      <c r="B22" s="1">
        <v>1</v>
      </c>
      <c r="C22" s="1">
        <v>1</v>
      </c>
      <c r="D22" s="1">
        <v>3</v>
      </c>
      <c r="E22" s="1">
        <v>578553.04424240452</v>
      </c>
    </row>
    <row r="23" spans="1:5" x14ac:dyDescent="0.3">
      <c r="A23" s="1">
        <v>2009</v>
      </c>
      <c r="B23" s="1">
        <v>2</v>
      </c>
      <c r="C23" s="1">
        <v>1</v>
      </c>
      <c r="D23" s="1">
        <v>6</v>
      </c>
      <c r="E23" s="1">
        <v>631197.75186006888</v>
      </c>
    </row>
    <row r="24" spans="1:5" x14ac:dyDescent="0.3">
      <c r="A24" s="1">
        <v>2009</v>
      </c>
      <c r="B24" s="1">
        <v>3</v>
      </c>
      <c r="C24" s="1">
        <v>1</v>
      </c>
      <c r="D24" s="1">
        <v>9</v>
      </c>
      <c r="E24" s="1">
        <v>610519.85461172729</v>
      </c>
    </row>
    <row r="25" spans="1:5" x14ac:dyDescent="0.3">
      <c r="A25" s="1">
        <v>2009</v>
      </c>
      <c r="B25" s="1">
        <v>4</v>
      </c>
      <c r="C25" s="1">
        <v>1</v>
      </c>
      <c r="D25" s="1">
        <v>12</v>
      </c>
      <c r="E25" s="1">
        <v>615220.85493729718</v>
      </c>
    </row>
    <row r="26" spans="1:5" x14ac:dyDescent="0.3">
      <c r="A26" s="1">
        <v>2010</v>
      </c>
      <c r="B26" s="1">
        <v>1</v>
      </c>
      <c r="C26" s="1">
        <v>1</v>
      </c>
      <c r="D26" s="1">
        <v>3</v>
      </c>
      <c r="E26" s="1">
        <v>611607.33658973</v>
      </c>
    </row>
    <row r="27" spans="1:5" x14ac:dyDescent="0.3">
      <c r="A27" s="1">
        <v>2010</v>
      </c>
      <c r="B27" s="1">
        <v>2</v>
      </c>
      <c r="C27" s="1">
        <v>1</v>
      </c>
      <c r="D27" s="1">
        <v>6</v>
      </c>
      <c r="E27" s="1">
        <v>733730.77396890335</v>
      </c>
    </row>
    <row r="28" spans="1:5" x14ac:dyDescent="0.3">
      <c r="A28" s="1">
        <v>2010</v>
      </c>
      <c r="B28" s="1">
        <v>3</v>
      </c>
      <c r="C28" s="1">
        <v>1</v>
      </c>
      <c r="D28" s="1">
        <v>9</v>
      </c>
      <c r="E28" s="1">
        <v>668566.50948898587</v>
      </c>
    </row>
    <row r="29" spans="1:5" x14ac:dyDescent="0.3">
      <c r="A29" s="1">
        <v>2010</v>
      </c>
      <c r="B29" s="1">
        <v>4</v>
      </c>
      <c r="C29" s="1">
        <v>1</v>
      </c>
      <c r="D29" s="1">
        <v>12</v>
      </c>
      <c r="E29" s="1">
        <v>668190.09771957388</v>
      </c>
    </row>
    <row r="30" spans="1:5" x14ac:dyDescent="0.3">
      <c r="A30" s="1">
        <v>2011</v>
      </c>
      <c r="B30" s="1">
        <v>1</v>
      </c>
      <c r="C30" s="1">
        <v>1</v>
      </c>
      <c r="D30" s="1">
        <v>3</v>
      </c>
      <c r="E30" s="1">
        <v>662325.58597269515</v>
      </c>
    </row>
    <row r="31" spans="1:5" x14ac:dyDescent="0.3">
      <c r="A31" s="1">
        <v>2011</v>
      </c>
      <c r="B31" s="1">
        <v>2</v>
      </c>
      <c r="C31" s="1">
        <v>1</v>
      </c>
      <c r="D31" s="1">
        <v>6</v>
      </c>
      <c r="E31" s="1">
        <v>766332.95457161264</v>
      </c>
    </row>
    <row r="32" spans="1:5" x14ac:dyDescent="0.3">
      <c r="A32" s="1">
        <v>2011</v>
      </c>
      <c r="B32" s="1">
        <v>3</v>
      </c>
      <c r="C32" s="1">
        <v>1</v>
      </c>
      <c r="D32" s="1">
        <v>9</v>
      </c>
      <c r="E32" s="1">
        <v>711417.39193010493</v>
      </c>
    </row>
    <row r="33" spans="1:5" x14ac:dyDescent="0.3">
      <c r="A33" s="1">
        <v>2011</v>
      </c>
      <c r="B33" s="1">
        <v>4</v>
      </c>
      <c r="C33" s="1">
        <v>1</v>
      </c>
      <c r="D33" s="1">
        <v>12</v>
      </c>
      <c r="E33" s="1">
        <v>703050.45640799252</v>
      </c>
    </row>
    <row r="34" spans="1:5" x14ac:dyDescent="0.3">
      <c r="A34" s="1">
        <v>2012</v>
      </c>
      <c r="B34" s="1">
        <v>1</v>
      </c>
      <c r="C34" s="1">
        <v>1</v>
      </c>
      <c r="D34" s="1">
        <v>3</v>
      </c>
      <c r="E34" s="1">
        <v>672685.99363050424</v>
      </c>
    </row>
    <row r="35" spans="1:5" x14ac:dyDescent="0.3">
      <c r="A35" s="1">
        <v>2012</v>
      </c>
      <c r="B35" s="1">
        <v>2</v>
      </c>
      <c r="C35" s="1">
        <v>1</v>
      </c>
      <c r="D35" s="1">
        <v>6</v>
      </c>
      <c r="E35" s="1">
        <v>730838.27259277587</v>
      </c>
    </row>
    <row r="36" spans="1:5" x14ac:dyDescent="0.3">
      <c r="A36" s="1">
        <v>2012</v>
      </c>
      <c r="B36" s="1">
        <v>3</v>
      </c>
      <c r="C36" s="1">
        <v>1</v>
      </c>
      <c r="D36" s="1">
        <v>9</v>
      </c>
      <c r="E36" s="1">
        <v>703461.65253019624</v>
      </c>
    </row>
    <row r="37" spans="1:5" x14ac:dyDescent="0.3">
      <c r="A37" s="1">
        <v>2012</v>
      </c>
      <c r="B37" s="1">
        <v>4</v>
      </c>
      <c r="C37" s="1">
        <v>1</v>
      </c>
      <c r="D37" s="1">
        <v>12</v>
      </c>
      <c r="E37" s="1">
        <v>706958.03908231878</v>
      </c>
    </row>
    <row r="38" spans="1:5" x14ac:dyDescent="0.3">
      <c r="A38" s="1">
        <v>2013</v>
      </c>
      <c r="B38" s="1">
        <v>1</v>
      </c>
      <c r="C38" s="1">
        <v>1</v>
      </c>
      <c r="D38" s="1">
        <v>3</v>
      </c>
      <c r="E38" s="1">
        <v>677085.52917315089</v>
      </c>
    </row>
    <row r="39" spans="1:5" x14ac:dyDescent="0.3">
      <c r="A39" s="1">
        <v>2013</v>
      </c>
      <c r="B39" s="1">
        <v>2</v>
      </c>
      <c r="C39" s="1">
        <v>1</v>
      </c>
      <c r="D39" s="1">
        <v>6</v>
      </c>
      <c r="E39" s="1">
        <v>776486.60279942001</v>
      </c>
    </row>
    <row r="40" spans="1:5" x14ac:dyDescent="0.3">
      <c r="A40" s="1">
        <v>2013</v>
      </c>
      <c r="B40" s="1">
        <v>3</v>
      </c>
      <c r="C40" s="1">
        <v>1</v>
      </c>
      <c r="D40" s="1">
        <v>9</v>
      </c>
      <c r="E40" s="1">
        <v>721458.94421618234</v>
      </c>
    </row>
    <row r="41" spans="1:5" x14ac:dyDescent="0.3">
      <c r="A41" s="1">
        <v>2013</v>
      </c>
      <c r="B41" s="1">
        <v>4</v>
      </c>
      <c r="C41" s="1">
        <v>1</v>
      </c>
      <c r="D41" s="1">
        <v>12</v>
      </c>
      <c r="E41" s="1">
        <v>706597.3450225069</v>
      </c>
    </row>
    <row r="42" spans="1:5" x14ac:dyDescent="0.3">
      <c r="A42" s="1">
        <v>2014</v>
      </c>
      <c r="B42" s="1">
        <v>1</v>
      </c>
      <c r="C42" s="1">
        <v>1</v>
      </c>
      <c r="D42" s="1">
        <v>3</v>
      </c>
      <c r="E42" s="1">
        <v>671066.04663506267</v>
      </c>
    </row>
    <row r="43" spans="1:5" x14ac:dyDescent="0.3">
      <c r="A43" s="1">
        <v>2014</v>
      </c>
      <c r="B43" s="1">
        <v>2</v>
      </c>
      <c r="C43" s="1">
        <v>1</v>
      </c>
      <c r="D43" s="1">
        <v>6</v>
      </c>
      <c r="E43" s="1">
        <v>760576.86834800406</v>
      </c>
    </row>
    <row r="44" spans="1:5" x14ac:dyDescent="0.3">
      <c r="A44" s="1">
        <v>2014</v>
      </c>
      <c r="B44" s="1">
        <v>3</v>
      </c>
      <c r="C44" s="1">
        <v>1</v>
      </c>
      <c r="D44" s="1">
        <v>9</v>
      </c>
      <c r="E44" s="1">
        <v>690879.79825168336</v>
      </c>
    </row>
    <row r="45" spans="1:5" x14ac:dyDescent="0.3">
      <c r="A45" s="1">
        <v>2014</v>
      </c>
      <c r="B45" s="1">
        <v>4</v>
      </c>
      <c r="C45" s="1">
        <v>1</v>
      </c>
      <c r="D45" s="1">
        <v>12</v>
      </c>
      <c r="E45" s="1">
        <v>686701.4706187105</v>
      </c>
    </row>
    <row r="46" spans="1:5" x14ac:dyDescent="0.3">
      <c r="A46" s="1">
        <v>2015</v>
      </c>
      <c r="B46" s="1">
        <v>1</v>
      </c>
      <c r="C46" s="1">
        <v>1</v>
      </c>
      <c r="D46" s="1">
        <v>3</v>
      </c>
      <c r="E46" s="1">
        <v>672749.81139169924</v>
      </c>
    </row>
    <row r="47" spans="1:5" x14ac:dyDescent="0.3">
      <c r="A47" s="1">
        <v>2015</v>
      </c>
      <c r="B47" s="1">
        <v>2</v>
      </c>
      <c r="C47" s="1">
        <v>1</v>
      </c>
      <c r="D47" s="1">
        <v>6</v>
      </c>
      <c r="E47" s="1">
        <v>791235.96554167022</v>
      </c>
    </row>
    <row r="48" spans="1:5" x14ac:dyDescent="0.3">
      <c r="A48" s="1">
        <v>2015</v>
      </c>
      <c r="B48" s="1">
        <v>3</v>
      </c>
      <c r="C48" s="1">
        <v>1</v>
      </c>
      <c r="D48" s="1">
        <v>9</v>
      </c>
      <c r="E48" s="1">
        <v>718281.26544978167</v>
      </c>
    </row>
    <row r="49" spans="1:5" x14ac:dyDescent="0.3">
      <c r="A49" s="1">
        <v>2015</v>
      </c>
      <c r="B49" s="1">
        <v>4</v>
      </c>
      <c r="C49" s="1">
        <v>1</v>
      </c>
      <c r="D49" s="1">
        <v>12</v>
      </c>
      <c r="E49" s="1">
        <v>703681.54416900803</v>
      </c>
    </row>
    <row r="50" spans="1:5" x14ac:dyDescent="0.3">
      <c r="A50" s="1">
        <v>2016</v>
      </c>
      <c r="B50" s="1">
        <v>1</v>
      </c>
      <c r="C50" s="1">
        <v>1</v>
      </c>
      <c r="D50" s="1">
        <v>3</v>
      </c>
      <c r="E50" s="1">
        <v>677652.08911570266</v>
      </c>
    </row>
    <row r="51" spans="1:5" x14ac:dyDescent="0.3">
      <c r="A51" s="1">
        <v>2016</v>
      </c>
      <c r="B51" s="1">
        <v>2</v>
      </c>
      <c r="C51" s="1">
        <v>1</v>
      </c>
      <c r="D51" s="1">
        <v>6</v>
      </c>
      <c r="E51" s="1">
        <v>760703.28015165636</v>
      </c>
    </row>
    <row r="52" spans="1:5" x14ac:dyDescent="0.3">
      <c r="A52" s="1">
        <v>2016</v>
      </c>
      <c r="B52" s="1">
        <v>3</v>
      </c>
      <c r="C52" s="1">
        <v>1</v>
      </c>
      <c r="D52" s="1">
        <v>9</v>
      </c>
      <c r="E52" s="1">
        <v>694382.47577623045</v>
      </c>
    </row>
    <row r="53" spans="1:5" x14ac:dyDescent="0.3">
      <c r="A53" s="1">
        <v>2016</v>
      </c>
      <c r="B53" s="1">
        <v>4</v>
      </c>
      <c r="C53" s="1">
        <v>1</v>
      </c>
      <c r="D53" s="1">
        <v>12</v>
      </c>
      <c r="E53" s="1">
        <v>693173.54934705782</v>
      </c>
    </row>
    <row r="54" spans="1:5" x14ac:dyDescent="0.3">
      <c r="A54" s="1">
        <v>2017</v>
      </c>
      <c r="B54" s="1">
        <v>1</v>
      </c>
      <c r="C54" s="1">
        <v>1</v>
      </c>
      <c r="D54" s="1">
        <v>3</v>
      </c>
      <c r="E54" s="1">
        <v>681444.76611022244</v>
      </c>
    </row>
    <row r="55" spans="1:5" x14ac:dyDescent="0.3">
      <c r="A55" s="1">
        <v>2017</v>
      </c>
      <c r="B55" s="1">
        <v>2</v>
      </c>
      <c r="C55" s="1">
        <v>1</v>
      </c>
      <c r="D55" s="1">
        <v>6</v>
      </c>
      <c r="E55" s="1">
        <v>778401.67644931667</v>
      </c>
    </row>
    <row r="56" spans="1:5" x14ac:dyDescent="0.3">
      <c r="A56" s="1">
        <v>2017</v>
      </c>
      <c r="B56" s="1">
        <v>3</v>
      </c>
      <c r="C56" s="1">
        <v>1</v>
      </c>
      <c r="D56" s="1">
        <v>9</v>
      </c>
      <c r="E56" s="1">
        <v>721120.42685279413</v>
      </c>
    </row>
    <row r="57" spans="1:5" x14ac:dyDescent="0.3">
      <c r="A57" s="1">
        <v>2017</v>
      </c>
      <c r="B57" s="1">
        <v>4</v>
      </c>
      <c r="C57" s="1">
        <v>1</v>
      </c>
      <c r="D57" s="1">
        <v>12</v>
      </c>
      <c r="E57" s="1">
        <v>724592.92163896293</v>
      </c>
    </row>
    <row r="58" spans="1:5" x14ac:dyDescent="0.3">
      <c r="A58" s="1">
        <v>2018</v>
      </c>
      <c r="B58" s="1">
        <v>1</v>
      </c>
      <c r="C58" s="1">
        <v>1</v>
      </c>
      <c r="D58" s="1">
        <v>3</v>
      </c>
      <c r="E58" s="1">
        <v>707324.2680572141</v>
      </c>
    </row>
    <row r="59" spans="1:5" x14ac:dyDescent="0.3">
      <c r="A59" s="1">
        <v>2018</v>
      </c>
      <c r="B59" s="1">
        <v>2</v>
      </c>
      <c r="C59" s="1">
        <v>1</v>
      </c>
      <c r="D59" s="1">
        <v>6</v>
      </c>
      <c r="E59" s="1">
        <v>747428.29995457456</v>
      </c>
    </row>
    <row r="60" spans="1:5" x14ac:dyDescent="0.3">
      <c r="A60" s="1">
        <v>2018</v>
      </c>
      <c r="B60" s="1">
        <v>3</v>
      </c>
      <c r="C60" s="1">
        <v>1</v>
      </c>
      <c r="D60" s="1">
        <v>9</v>
      </c>
      <c r="E60" s="1">
        <v>696101.58352180757</v>
      </c>
    </row>
    <row r="61" spans="1:5" x14ac:dyDescent="0.3">
      <c r="A61" s="1">
        <v>2018</v>
      </c>
      <c r="B61" s="1">
        <v>4</v>
      </c>
      <c r="C61" s="1">
        <v>1</v>
      </c>
      <c r="D61" s="1">
        <v>12</v>
      </c>
      <c r="E61" s="1">
        <v>678655.62038445356</v>
      </c>
    </row>
    <row r="62" spans="1:5" x14ac:dyDescent="0.3">
      <c r="A62" s="1">
        <v>2019</v>
      </c>
      <c r="B62" s="1">
        <v>1</v>
      </c>
      <c r="C62" s="1">
        <v>1</v>
      </c>
      <c r="D62" s="1">
        <v>3</v>
      </c>
      <c r="E62" s="1">
        <v>665848.71529970889</v>
      </c>
    </row>
    <row r="63" spans="1:5" x14ac:dyDescent="0.3">
      <c r="A63" s="1">
        <v>2019</v>
      </c>
      <c r="B63" s="1">
        <v>2</v>
      </c>
      <c r="C63" s="1">
        <v>1</v>
      </c>
      <c r="D63" s="1">
        <v>6</v>
      </c>
      <c r="E63" s="1">
        <v>751784.46077713254</v>
      </c>
    </row>
    <row r="64" spans="1:5" x14ac:dyDescent="0.3">
      <c r="A64" s="1">
        <v>2019</v>
      </c>
      <c r="B64" s="1">
        <v>3</v>
      </c>
      <c r="C64" s="1">
        <v>1</v>
      </c>
      <c r="D64" s="1">
        <v>9</v>
      </c>
      <c r="E64" s="1">
        <v>683900.89855257841</v>
      </c>
    </row>
    <row r="65" spans="1:5" x14ac:dyDescent="0.3">
      <c r="A65" s="1">
        <v>2019</v>
      </c>
      <c r="B65" s="1">
        <v>4</v>
      </c>
      <c r="C65" s="1">
        <v>1</v>
      </c>
      <c r="D65" s="1">
        <v>12</v>
      </c>
      <c r="E65" s="1">
        <v>671361.13972242002</v>
      </c>
    </row>
    <row r="66" spans="1:5" x14ac:dyDescent="0.3">
      <c r="A66" s="1">
        <v>2020</v>
      </c>
      <c r="B66" s="1">
        <v>1</v>
      </c>
      <c r="C66" s="1">
        <v>1</v>
      </c>
      <c r="D66" s="1">
        <v>3</v>
      </c>
      <c r="E66" s="1">
        <v>632389.35353461001</v>
      </c>
    </row>
    <row r="67" spans="1:5" x14ac:dyDescent="0.3">
      <c r="A67" s="1">
        <v>2020</v>
      </c>
      <c r="B67" s="1">
        <v>2</v>
      </c>
      <c r="C67" s="1">
        <v>1</v>
      </c>
      <c r="D67" s="1">
        <v>6</v>
      </c>
      <c r="E67" s="1">
        <v>609379.98946480127</v>
      </c>
    </row>
    <row r="68" spans="1:5" x14ac:dyDescent="0.3">
      <c r="A68" s="1">
        <v>2020</v>
      </c>
      <c r="B68" s="1">
        <v>3</v>
      </c>
      <c r="C68" s="1">
        <v>1</v>
      </c>
      <c r="D68" s="1">
        <v>9</v>
      </c>
      <c r="E68" s="1">
        <v>614192.47840422287</v>
      </c>
    </row>
    <row r="69" spans="1:5" x14ac:dyDescent="0.3">
      <c r="A69" s="1">
        <v>2020</v>
      </c>
      <c r="B69" s="1">
        <v>4</v>
      </c>
      <c r="C69" s="1">
        <v>1</v>
      </c>
      <c r="D69" s="1">
        <v>12</v>
      </c>
      <c r="E69" s="1">
        <v>642403.32319795026</v>
      </c>
    </row>
    <row r="70" spans="1:5" x14ac:dyDescent="0.3">
      <c r="A70" s="1">
        <v>2021</v>
      </c>
      <c r="B70" s="1">
        <v>1</v>
      </c>
      <c r="C70" s="1">
        <v>1</v>
      </c>
      <c r="D70" s="1">
        <v>3</v>
      </c>
      <c r="E70" s="1">
        <v>652831.97670632158</v>
      </c>
    </row>
    <row r="71" spans="1:5" x14ac:dyDescent="0.3">
      <c r="A71" s="1">
        <v>2021</v>
      </c>
      <c r="B71" s="1">
        <v>2</v>
      </c>
      <c r="C71" s="1">
        <v>1</v>
      </c>
      <c r="D71" s="1">
        <v>6</v>
      </c>
      <c r="E71" s="1">
        <v>723516.62249067484</v>
      </c>
    </row>
    <row r="72" spans="1:5" x14ac:dyDescent="0.3">
      <c r="A72" s="1">
        <v>2021</v>
      </c>
      <c r="B72" s="1">
        <v>3</v>
      </c>
      <c r="C72" s="1">
        <v>1</v>
      </c>
      <c r="D72" s="1">
        <v>9</v>
      </c>
      <c r="E72" s="1">
        <v>686756.46782667423</v>
      </c>
    </row>
    <row r="73" spans="1:5" x14ac:dyDescent="0.3">
      <c r="A73" s="1">
        <v>2021</v>
      </c>
      <c r="B73" s="1">
        <v>4</v>
      </c>
      <c r="C73" s="1">
        <v>1</v>
      </c>
      <c r="D73" s="1">
        <v>12</v>
      </c>
      <c r="E73" s="1">
        <v>696134.66911211505</v>
      </c>
    </row>
    <row r="74" spans="1:5" x14ac:dyDescent="0.3">
      <c r="A74" s="1">
        <v>2022</v>
      </c>
      <c r="B74" s="1">
        <v>1</v>
      </c>
      <c r="C74" s="1">
        <v>1</v>
      </c>
      <c r="D74" s="1">
        <v>3</v>
      </c>
      <c r="E74" s="1">
        <v>697625.28466635814</v>
      </c>
    </row>
    <row r="75" spans="1:5" x14ac:dyDescent="0.3">
      <c r="A75" s="1">
        <v>2022</v>
      </c>
      <c r="B75" s="1">
        <v>2</v>
      </c>
      <c r="C75" s="1">
        <v>1</v>
      </c>
      <c r="D75" s="1">
        <v>6</v>
      </c>
      <c r="E75" s="1">
        <v>782338.62853373506</v>
      </c>
    </row>
    <row r="76" spans="1:5" x14ac:dyDescent="0.3">
      <c r="A76" s="1">
        <v>2022</v>
      </c>
      <c r="B76" s="1">
        <v>3</v>
      </c>
      <c r="C76" s="1">
        <v>1</v>
      </c>
      <c r="D76" s="1">
        <v>9</v>
      </c>
      <c r="E76" s="1">
        <v>732662.16387550125</v>
      </c>
    </row>
    <row r="77" spans="1:5" x14ac:dyDescent="0.3">
      <c r="A77" s="1">
        <v>2022</v>
      </c>
      <c r="B77" s="1">
        <v>4</v>
      </c>
      <c r="C77" s="1">
        <v>1</v>
      </c>
      <c r="D77" s="1">
        <v>12</v>
      </c>
      <c r="E77" s="1">
        <v>712740.45782873826</v>
      </c>
    </row>
    <row r="78" spans="1:5" x14ac:dyDescent="0.3">
      <c r="A78" s="1">
        <v>2023</v>
      </c>
      <c r="B78" s="1">
        <v>1</v>
      </c>
      <c r="C78" s="1">
        <v>1</v>
      </c>
      <c r="D78" s="1">
        <v>3</v>
      </c>
      <c r="E78" s="1">
        <v>703987.50432157726</v>
      </c>
    </row>
    <row r="79" spans="1:5" x14ac:dyDescent="0.3">
      <c r="A79" s="1">
        <v>2023</v>
      </c>
      <c r="B79" s="1">
        <v>2</v>
      </c>
      <c r="C79" s="1">
        <v>1</v>
      </c>
      <c r="D79" s="1">
        <v>6</v>
      </c>
      <c r="E79" s="1">
        <v>737941.90937407222</v>
      </c>
    </row>
    <row r="80" spans="1:5" x14ac:dyDescent="0.3">
      <c r="A80" s="1">
        <v>2023</v>
      </c>
      <c r="B80" s="1">
        <v>3</v>
      </c>
      <c r="C80" s="1">
        <v>1</v>
      </c>
      <c r="D80" s="1">
        <v>9</v>
      </c>
      <c r="E80" s="1">
        <v>728638.58456868224</v>
      </c>
    </row>
    <row r="81" spans="1:5" x14ac:dyDescent="0.3">
      <c r="A81" s="1">
        <v>2023</v>
      </c>
      <c r="B81" s="1">
        <v>4</v>
      </c>
      <c r="C81" s="1">
        <v>1</v>
      </c>
      <c r="D81" s="1">
        <v>12</v>
      </c>
      <c r="E81" s="1">
        <v>700509.93457232334</v>
      </c>
    </row>
    <row r="82" spans="1:5" x14ac:dyDescent="0.3">
      <c r="A82" s="1">
        <v>2024</v>
      </c>
      <c r="B82" s="1">
        <v>1</v>
      </c>
      <c r="C82" s="1">
        <v>1</v>
      </c>
      <c r="D82" s="1">
        <v>3</v>
      </c>
      <c r="E82" s="1">
        <v>669057.73338516685</v>
      </c>
    </row>
    <row r="83" spans="1:5" x14ac:dyDescent="0.3">
      <c r="A83" s="1">
        <v>2024</v>
      </c>
      <c r="B83" s="1">
        <v>2</v>
      </c>
      <c r="C83" s="1">
        <v>1</v>
      </c>
      <c r="D83" s="1">
        <v>6</v>
      </c>
      <c r="E83" s="1">
        <v>729947.78527455311</v>
      </c>
    </row>
    <row r="84" spans="1:5" x14ac:dyDescent="0.3">
      <c r="A84" s="1">
        <v>2024</v>
      </c>
      <c r="B84" s="1">
        <v>3</v>
      </c>
      <c r="C84" s="1">
        <v>1</v>
      </c>
      <c r="D84" s="1">
        <v>9</v>
      </c>
      <c r="E84" s="1">
        <v>714524.36554995924</v>
      </c>
    </row>
    <row r="85" spans="1:5" x14ac:dyDescent="0.3">
      <c r="A85" s="1">
        <v>2024</v>
      </c>
      <c r="B85" s="1">
        <v>4</v>
      </c>
      <c r="C85" s="1">
        <v>1</v>
      </c>
      <c r="D85" s="1">
        <v>12</v>
      </c>
      <c r="E85" s="1">
        <v>718991.4609365795</v>
      </c>
    </row>
    <row r="86" spans="1:5" x14ac:dyDescent="0.3">
      <c r="A86" s="1">
        <v>2025</v>
      </c>
      <c r="B86" s="1">
        <v>1</v>
      </c>
      <c r="C86" s="1">
        <v>1</v>
      </c>
      <c r="D86" s="1">
        <v>3</v>
      </c>
      <c r="E86" s="1">
        <v>707960.39488559577</v>
      </c>
    </row>
    <row r="87" spans="1:5" x14ac:dyDescent="0.3">
      <c r="D87" s="1"/>
    </row>
    <row r="88" spans="1:5" x14ac:dyDescent="0.3">
      <c r="D88" s="1"/>
    </row>
    <row r="89" spans="1:5" x14ac:dyDescent="0.3">
      <c r="D89" s="1"/>
    </row>
    <row r="90" spans="1:5" x14ac:dyDescent="0.3">
      <c r="D90" s="1"/>
    </row>
  </sheetData>
  <autoFilter ref="A1:E8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activeCell="G1" sqref="G1"/>
    </sheetView>
  </sheetViews>
  <sheetFormatPr baseColWidth="10" defaultRowHeight="14.4" x14ac:dyDescent="0.3"/>
  <sheetData>
    <row r="1" spans="1:7" x14ac:dyDescent="0.3">
      <c r="A1" t="s">
        <v>0</v>
      </c>
      <c r="B1" t="s">
        <v>7</v>
      </c>
      <c r="C1" t="s">
        <v>6</v>
      </c>
      <c r="D1" t="s">
        <v>8</v>
      </c>
      <c r="E1" t="s">
        <v>1</v>
      </c>
      <c r="F1" t="s">
        <v>11</v>
      </c>
      <c r="G1" t="s">
        <v>12</v>
      </c>
    </row>
    <row r="2" spans="1:7" x14ac:dyDescent="0.3">
      <c r="A2">
        <v>2004</v>
      </c>
      <c r="B2">
        <v>17360.799999999988</v>
      </c>
      <c r="C2">
        <v>11657.799999999988</v>
      </c>
      <c r="E2" s="1">
        <v>485115.19520634518</v>
      </c>
      <c r="F2" s="6">
        <v>3.5786963980483408</v>
      </c>
      <c r="G2" s="6">
        <v>2.4030993312040878</v>
      </c>
    </row>
    <row r="3" spans="1:7" x14ac:dyDescent="0.3">
      <c r="A3">
        <v>2005</v>
      </c>
      <c r="B3">
        <v>19661.200000000004</v>
      </c>
      <c r="C3">
        <v>9418.1000000000058</v>
      </c>
      <c r="E3" s="1">
        <v>528055.94250341435</v>
      </c>
      <c r="F3" s="6">
        <v>3.3750921250129031</v>
      </c>
      <c r="G3" s="6">
        <v>1.6167352523032184</v>
      </c>
    </row>
    <row r="4" spans="1:7" x14ac:dyDescent="0.3">
      <c r="A4">
        <v>2006</v>
      </c>
      <c r="B4">
        <v>22983.100000000002</v>
      </c>
      <c r="C4">
        <v>11441.300000000003</v>
      </c>
      <c r="E4" s="1">
        <v>570549.40422073146</v>
      </c>
      <c r="F4" s="6">
        <v>3.210359388460867</v>
      </c>
      <c r="G4" s="6">
        <v>1.5981605993620234</v>
      </c>
    </row>
    <row r="5" spans="1:7" x14ac:dyDescent="0.3">
      <c r="A5">
        <v>2007</v>
      </c>
      <c r="B5">
        <v>25718.600000000006</v>
      </c>
      <c r="C5">
        <v>9296.1000000000058</v>
      </c>
      <c r="E5" s="1">
        <v>621942.5026460907</v>
      </c>
      <c r="F5" s="6">
        <v>2.8672428603687705</v>
      </c>
      <c r="G5" s="6">
        <v>1.0363774215654871</v>
      </c>
    </row>
    <row r="6" spans="1:7" x14ac:dyDescent="0.3">
      <c r="A6">
        <v>2008</v>
      </c>
      <c r="B6">
        <v>32528.700000000019</v>
      </c>
      <c r="C6">
        <v>14654.800000000017</v>
      </c>
      <c r="E6" s="1">
        <v>647176.15974121168</v>
      </c>
      <c r="F6" s="6">
        <v>2.8294533653818914</v>
      </c>
      <c r="G6" s="6">
        <v>1.2747227272838624</v>
      </c>
    </row>
    <row r="7" spans="1:7" x14ac:dyDescent="0.3">
      <c r="A7">
        <v>2009</v>
      </c>
      <c r="B7">
        <v>17285.599999999995</v>
      </c>
      <c r="C7">
        <v>-7131.1000000000058</v>
      </c>
      <c r="E7" s="1">
        <v>608872.87641287455</v>
      </c>
      <c r="F7" s="6">
        <v>1.3851426062704666</v>
      </c>
      <c r="G7" s="6">
        <v>-0.57143462995645711</v>
      </c>
    </row>
    <row r="8" spans="1:7" x14ac:dyDescent="0.3">
      <c r="A8">
        <v>2010</v>
      </c>
      <c r="B8">
        <v>25115.100000000024</v>
      </c>
      <c r="C8">
        <v>3067.9000000000233</v>
      </c>
      <c r="E8" s="1">
        <v>670523.67944179825</v>
      </c>
      <c r="F8" s="6">
        <v>1.5113909687165854</v>
      </c>
      <c r="G8" s="6">
        <v>0.18462185509616297</v>
      </c>
    </row>
    <row r="9" spans="1:7" x14ac:dyDescent="0.3">
      <c r="A9">
        <v>2011</v>
      </c>
      <c r="B9">
        <v>4920.6000000000349</v>
      </c>
      <c r="C9">
        <v>-30662.899999999965</v>
      </c>
      <c r="E9" s="1">
        <v>710781.5972206014</v>
      </c>
      <c r="F9" s="6">
        <v>0.22581668517576897</v>
      </c>
      <c r="G9" s="6">
        <v>-1.4071849847327622</v>
      </c>
    </row>
    <row r="10" spans="1:7" x14ac:dyDescent="0.3">
      <c r="A10">
        <v>2012</v>
      </c>
      <c r="B10">
        <v>-4373.6000000000204</v>
      </c>
      <c r="C10">
        <v>-55563.400000000023</v>
      </c>
      <c r="E10" s="1">
        <v>703485.98945894884</v>
      </c>
      <c r="F10" s="6">
        <v>-0.16579768148829416</v>
      </c>
      <c r="G10" s="6">
        <v>-2.1063386902338221</v>
      </c>
    </row>
    <row r="11" spans="1:7" x14ac:dyDescent="0.3">
      <c r="A11">
        <v>2013</v>
      </c>
      <c r="B11">
        <v>-22479.000000000022</v>
      </c>
      <c r="C11">
        <v>-64477.400000000023</v>
      </c>
      <c r="E11" s="1">
        <v>720407.10530281509</v>
      </c>
      <c r="F11" s="6">
        <v>-0.6713539113566489</v>
      </c>
      <c r="G11" s="6">
        <v>-1.9256708342945488</v>
      </c>
    </row>
    <row r="12" spans="1:7" x14ac:dyDescent="0.3">
      <c r="A12">
        <v>2014</v>
      </c>
      <c r="B12">
        <v>-38561.900000000023</v>
      </c>
      <c r="C12">
        <v>-109719.90000000002</v>
      </c>
      <c r="E12" s="1">
        <v>702306.04596336512</v>
      </c>
      <c r="F12" s="6">
        <v>-0.84213086230506018</v>
      </c>
      <c r="G12" s="6">
        <v>-2.3961089572615699</v>
      </c>
    </row>
    <row r="13" spans="1:7" x14ac:dyDescent="0.3">
      <c r="A13">
        <v>2015</v>
      </c>
      <c r="B13">
        <v>-224594.60000000003</v>
      </c>
      <c r="C13">
        <v>-303760.80000000005</v>
      </c>
      <c r="E13" s="1">
        <v>721487.14663803973</v>
      </c>
      <c r="F13" s="6">
        <v>-3.7718396008390553</v>
      </c>
      <c r="G13" s="6">
        <v>-5.1013560193457552</v>
      </c>
    </row>
    <row r="14" spans="1:7" x14ac:dyDescent="0.3">
      <c r="A14">
        <v>2016</v>
      </c>
      <c r="B14">
        <v>-343525.50000000023</v>
      </c>
      <c r="C14">
        <v>-474785.50000000023</v>
      </c>
      <c r="D14" s="4">
        <v>30.3</v>
      </c>
      <c r="E14" s="1">
        <v>706477.84859884309</v>
      </c>
      <c r="F14" s="6">
        <v>-4.1749980374056372</v>
      </c>
      <c r="G14" s="6">
        <v>-5.770251497162957</v>
      </c>
    </row>
    <row r="15" spans="1:7" x14ac:dyDescent="0.3">
      <c r="A15">
        <v>2017</v>
      </c>
      <c r="B15">
        <v>-404142.30000000005</v>
      </c>
      <c r="C15">
        <v>-629049.5</v>
      </c>
      <c r="D15" s="4">
        <v>25.7</v>
      </c>
      <c r="E15" s="1">
        <v>726389.94776251097</v>
      </c>
      <c r="F15" s="6">
        <v>-3.7911223028363596</v>
      </c>
      <c r="G15" s="6">
        <v>-5.9009007199643797</v>
      </c>
    </row>
    <row r="16" spans="1:7" x14ac:dyDescent="0.3">
      <c r="A16">
        <v>2018</v>
      </c>
      <c r="B16">
        <v>-338987.29999999981</v>
      </c>
      <c r="C16">
        <v>-727927.29999999981</v>
      </c>
      <c r="D16" s="4">
        <v>32</v>
      </c>
      <c r="E16" s="1">
        <v>707377.44298321859</v>
      </c>
      <c r="F16" s="6">
        <v>-2.299027823549237</v>
      </c>
      <c r="G16" s="6">
        <v>-4.9368372095977424</v>
      </c>
    </row>
    <row r="17" spans="1:7" x14ac:dyDescent="0.3">
      <c r="A17">
        <v>2019</v>
      </c>
      <c r="B17">
        <v>-95121.600000000326</v>
      </c>
      <c r="C17">
        <v>-819406.90000000037</v>
      </c>
      <c r="D17" s="4">
        <v>35.5</v>
      </c>
      <c r="E17" s="1">
        <v>693223.8035893857</v>
      </c>
      <c r="F17" s="6">
        <v>-0.44122664577131587</v>
      </c>
      <c r="G17" s="6">
        <v>-3.8008628745613087</v>
      </c>
    </row>
    <row r="18" spans="1:7" x14ac:dyDescent="0.3">
      <c r="A18">
        <v>2020</v>
      </c>
      <c r="B18">
        <v>-1749957.3199999987</v>
      </c>
      <c r="C18">
        <v>-2292830.5199999986</v>
      </c>
      <c r="D18" s="4">
        <v>42</v>
      </c>
      <c r="E18" s="1">
        <v>624591.28615297936</v>
      </c>
      <c r="F18" s="6">
        <v>-6.4313460973481007</v>
      </c>
      <c r="G18" s="6">
        <v>-8.426483576572382</v>
      </c>
    </row>
    <row r="19" spans="1:7" x14ac:dyDescent="0.3">
      <c r="A19">
        <v>2021</v>
      </c>
      <c r="B19">
        <v>-980240.58999999787</v>
      </c>
      <c r="C19">
        <v>-1664481.6799999978</v>
      </c>
      <c r="D19" s="4">
        <v>37.299999999999997</v>
      </c>
      <c r="E19" s="1">
        <v>689809.9340338551</v>
      </c>
      <c r="F19" s="6">
        <v>-2.1208568313161575</v>
      </c>
      <c r="G19" s="6">
        <v>-3.6012866408935356</v>
      </c>
    </row>
    <row r="20" spans="1:7" x14ac:dyDescent="0.3">
      <c r="A20">
        <v>2022</v>
      </c>
      <c r="B20">
        <v>-785388.79999999818</v>
      </c>
      <c r="C20">
        <v>-2278397.9999999981</v>
      </c>
      <c r="D20" s="4">
        <v>39.200000000000003</v>
      </c>
      <c r="E20" s="1">
        <v>731341.63372718543</v>
      </c>
      <c r="F20" s="6">
        <v>-0.95022621154319276</v>
      </c>
      <c r="G20" s="6">
        <v>-2.7565882018276686</v>
      </c>
    </row>
    <row r="21" spans="1:7" x14ac:dyDescent="0.3">
      <c r="A21">
        <v>2023</v>
      </c>
      <c r="B21">
        <v>-5164631.700000003</v>
      </c>
      <c r="C21">
        <v>-8418468.200000003</v>
      </c>
      <c r="D21" s="4">
        <v>41.7</v>
      </c>
      <c r="E21" s="1">
        <v>717769.48321139079</v>
      </c>
      <c r="F21" s="6">
        <v>-2.6982742294771338</v>
      </c>
      <c r="G21" s="6">
        <v>-4.3982489198083083</v>
      </c>
    </row>
    <row r="22" spans="1:7" x14ac:dyDescent="0.3">
      <c r="A22">
        <v>2024</v>
      </c>
      <c r="B22">
        <v>10405809.597752005</v>
      </c>
      <c r="C22">
        <v>1764785.5977520049</v>
      </c>
      <c r="D22" s="3">
        <v>52.9</v>
      </c>
      <c r="E22" s="1">
        <v>708130.3362863973</v>
      </c>
      <c r="F22" s="1">
        <v>1.8</v>
      </c>
      <c r="G22" s="1">
        <v>0.3</v>
      </c>
    </row>
    <row r="23" spans="1:7" x14ac:dyDescent="0.3">
      <c r="A23">
        <v>2025</v>
      </c>
      <c r="D23" s="3">
        <v>31.7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"/>
  <sheetViews>
    <sheetView workbookViewId="0">
      <selection activeCell="A3" sqref="A3"/>
    </sheetView>
  </sheetViews>
  <sheetFormatPr baseColWidth="10" defaultRowHeight="14.4" x14ac:dyDescent="0.3"/>
  <sheetData>
    <row r="1" spans="1:2" x14ac:dyDescent="0.3">
      <c r="A1" t="s">
        <v>0</v>
      </c>
      <c r="B1" t="s">
        <v>9</v>
      </c>
    </row>
    <row r="2" spans="1:2" x14ac:dyDescent="0.3">
      <c r="A2">
        <v>1961</v>
      </c>
      <c r="B2" s="2">
        <v>5.4278428759999997</v>
      </c>
    </row>
    <row r="3" spans="1:2" x14ac:dyDescent="0.3">
      <c r="A3" s="2">
        <v>1962</v>
      </c>
      <c r="B3" s="2">
        <v>-0.85202151999999998</v>
      </c>
    </row>
    <row r="4" spans="1:2" x14ac:dyDescent="0.3">
      <c r="A4" s="2">
        <v>1963</v>
      </c>
      <c r="B4" s="2">
        <v>-5.30819683</v>
      </c>
    </row>
    <row r="5" spans="1:2" x14ac:dyDescent="0.3">
      <c r="A5" s="2">
        <v>1964</v>
      </c>
      <c r="B5" s="2">
        <v>10.13029766</v>
      </c>
    </row>
    <row r="6" spans="1:2" x14ac:dyDescent="0.3">
      <c r="A6" s="2">
        <v>1965</v>
      </c>
      <c r="B6" s="2">
        <v>10.56943334</v>
      </c>
    </row>
    <row r="7" spans="1:2" x14ac:dyDescent="0.3">
      <c r="A7" s="2">
        <v>1966</v>
      </c>
      <c r="B7" s="2">
        <v>-0.65972617</v>
      </c>
    </row>
    <row r="8" spans="1:2" x14ac:dyDescent="0.3">
      <c r="A8" s="2">
        <v>1967</v>
      </c>
      <c r="B8" s="2">
        <v>3.1919966230000001</v>
      </c>
    </row>
    <row r="9" spans="1:2" x14ac:dyDescent="0.3">
      <c r="A9" s="2">
        <v>1968</v>
      </c>
      <c r="B9" s="2">
        <v>4.8225007790000003</v>
      </c>
    </row>
    <row r="10" spans="1:2" x14ac:dyDescent="0.3">
      <c r="A10" s="2">
        <v>1969</v>
      </c>
      <c r="B10" s="2">
        <v>9.6795260110000001</v>
      </c>
    </row>
    <row r="11" spans="1:2" x14ac:dyDescent="0.3">
      <c r="A11" s="2">
        <v>1970</v>
      </c>
      <c r="B11" s="2">
        <v>3.0456433189999998</v>
      </c>
    </row>
    <row r="12" spans="1:2" x14ac:dyDescent="0.3">
      <c r="A12" s="2">
        <v>1971</v>
      </c>
      <c r="B12" s="2">
        <v>5.6581310819999997</v>
      </c>
    </row>
    <row r="13" spans="1:2" x14ac:dyDescent="0.3">
      <c r="A13" s="2">
        <v>1972</v>
      </c>
      <c r="B13" s="2">
        <v>1.6284165180000001</v>
      </c>
    </row>
    <row r="14" spans="1:2" x14ac:dyDescent="0.3">
      <c r="A14" s="2">
        <v>1973</v>
      </c>
      <c r="B14" s="2">
        <v>2.8117540380000001</v>
      </c>
    </row>
    <row r="15" spans="1:2" x14ac:dyDescent="0.3">
      <c r="A15" s="2">
        <v>1974</v>
      </c>
      <c r="B15" s="2">
        <v>5.5338043959999998</v>
      </c>
    </row>
    <row r="16" spans="1:2" x14ac:dyDescent="0.3">
      <c r="A16" s="2">
        <v>1975</v>
      </c>
      <c r="B16" s="2">
        <v>-2.8412099999999999E-2</v>
      </c>
    </row>
    <row r="17" spans="1:2" x14ac:dyDescent="0.3">
      <c r="A17" s="2">
        <v>1976</v>
      </c>
      <c r="B17" s="2">
        <v>-2.0182515200000002</v>
      </c>
    </row>
    <row r="18" spans="1:2" x14ac:dyDescent="0.3">
      <c r="A18" s="2">
        <v>1977</v>
      </c>
      <c r="B18" s="2">
        <v>6.9341477569999999</v>
      </c>
    </row>
    <row r="19" spans="1:2" x14ac:dyDescent="0.3">
      <c r="A19" s="2">
        <v>1978</v>
      </c>
      <c r="B19" s="2">
        <v>-4.5061248000000003</v>
      </c>
    </row>
    <row r="20" spans="1:2" x14ac:dyDescent="0.3">
      <c r="A20" s="2">
        <v>1979</v>
      </c>
      <c r="B20" s="2">
        <v>10.222763459999999</v>
      </c>
    </row>
    <row r="21" spans="1:2" x14ac:dyDescent="0.3">
      <c r="A21" s="2">
        <v>1980</v>
      </c>
      <c r="B21" s="2">
        <v>1.51878395</v>
      </c>
    </row>
    <row r="22" spans="1:2" x14ac:dyDescent="0.3">
      <c r="A22" s="2">
        <v>1981</v>
      </c>
      <c r="B22" s="2">
        <v>-5.1897891400000002</v>
      </c>
    </row>
    <row r="23" spans="1:2" x14ac:dyDescent="0.3">
      <c r="A23" s="2">
        <v>1982</v>
      </c>
      <c r="B23" s="2">
        <v>-0.73565915999999998</v>
      </c>
    </row>
    <row r="24" spans="1:2" x14ac:dyDescent="0.3">
      <c r="A24" s="2">
        <v>1983</v>
      </c>
      <c r="B24" s="2">
        <v>4.3490932789999999</v>
      </c>
    </row>
    <row r="25" spans="1:2" x14ac:dyDescent="0.3">
      <c r="A25" s="2">
        <v>1984</v>
      </c>
      <c r="B25" s="2">
        <v>1.5707387020000001</v>
      </c>
    </row>
    <row r="26" spans="1:2" x14ac:dyDescent="0.3">
      <c r="A26" s="2">
        <v>1985</v>
      </c>
      <c r="B26" s="2">
        <v>-5.1890243500000004</v>
      </c>
    </row>
    <row r="27" spans="1:2" x14ac:dyDescent="0.3">
      <c r="A27" s="2">
        <v>1986</v>
      </c>
      <c r="B27" s="2">
        <v>6.1533770629999998</v>
      </c>
    </row>
    <row r="28" spans="1:2" x14ac:dyDescent="0.3">
      <c r="A28" s="2">
        <v>1987</v>
      </c>
      <c r="B28" s="2">
        <v>2.7048688279999999</v>
      </c>
    </row>
    <row r="29" spans="1:2" x14ac:dyDescent="0.3">
      <c r="A29" s="2">
        <v>1988</v>
      </c>
      <c r="B29" s="2">
        <v>-1.08993334</v>
      </c>
    </row>
    <row r="30" spans="1:2" x14ac:dyDescent="0.3">
      <c r="A30" s="2">
        <v>1989</v>
      </c>
      <c r="B30" s="2">
        <v>-7.1569496600000004</v>
      </c>
    </row>
    <row r="31" spans="1:2" x14ac:dyDescent="0.3">
      <c r="A31" s="2">
        <v>1990</v>
      </c>
      <c r="B31" s="2">
        <v>-2.4672137799999998</v>
      </c>
    </row>
    <row r="32" spans="1:2" x14ac:dyDescent="0.3">
      <c r="A32" s="2">
        <v>1991</v>
      </c>
      <c r="B32" s="2">
        <v>9.1331105669999992</v>
      </c>
    </row>
    <row r="33" spans="1:2" x14ac:dyDescent="0.3">
      <c r="A33" s="2">
        <v>1992</v>
      </c>
      <c r="B33" s="2">
        <v>7.9372915559999999</v>
      </c>
    </row>
    <row r="34" spans="1:2" x14ac:dyDescent="0.3">
      <c r="A34" s="2">
        <v>1993</v>
      </c>
      <c r="B34" s="2">
        <v>8.2069790719999993</v>
      </c>
    </row>
    <row r="35" spans="1:2" x14ac:dyDescent="0.3">
      <c r="A35" s="2">
        <v>1994</v>
      </c>
      <c r="B35" s="2">
        <v>5.8362007040000003</v>
      </c>
    </row>
    <row r="36" spans="1:2" x14ac:dyDescent="0.3">
      <c r="A36" s="2">
        <v>1995</v>
      </c>
      <c r="B36" s="2">
        <v>-2.8452096099999999</v>
      </c>
    </row>
    <row r="37" spans="1:2" x14ac:dyDescent="0.3">
      <c r="A37" s="2">
        <v>1996</v>
      </c>
      <c r="B37" s="2">
        <v>5.5266898270000002</v>
      </c>
    </row>
    <row r="38" spans="1:2" x14ac:dyDescent="0.3">
      <c r="A38" s="2">
        <v>1997</v>
      </c>
      <c r="B38" s="2">
        <v>8.1110467709999998</v>
      </c>
    </row>
    <row r="39" spans="1:2" x14ac:dyDescent="0.3">
      <c r="A39" s="2">
        <v>1998</v>
      </c>
      <c r="B39" s="2">
        <v>3.850178852</v>
      </c>
    </row>
    <row r="40" spans="1:2" x14ac:dyDescent="0.3">
      <c r="A40" s="2">
        <v>1999</v>
      </c>
      <c r="B40" s="2">
        <v>-3.3854570399999999</v>
      </c>
    </row>
    <row r="41" spans="1:2" x14ac:dyDescent="0.3">
      <c r="A41" s="2">
        <v>2000</v>
      </c>
      <c r="B41" s="2">
        <v>-0.78899894000000004</v>
      </c>
    </row>
    <row r="42" spans="1:2" x14ac:dyDescent="0.3">
      <c r="A42" s="2">
        <v>2001</v>
      </c>
      <c r="B42" s="2">
        <v>-4.4088396799999998</v>
      </c>
    </row>
    <row r="43" spans="1:2" x14ac:dyDescent="0.3">
      <c r="A43" s="2">
        <v>2002</v>
      </c>
      <c r="B43" s="2">
        <v>-10.894484800000001</v>
      </c>
    </row>
    <row r="44" spans="1:2" x14ac:dyDescent="0.3">
      <c r="A44" s="2">
        <v>2003</v>
      </c>
      <c r="B44" s="2">
        <v>8.8370407960000001</v>
      </c>
    </row>
    <row r="45" spans="1:2" x14ac:dyDescent="0.3">
      <c r="A45" s="2">
        <v>2004</v>
      </c>
      <c r="B45" s="2">
        <v>9.0295733009999992</v>
      </c>
    </row>
    <row r="46" spans="1:2" x14ac:dyDescent="0.3">
      <c r="A46" s="2">
        <v>2005</v>
      </c>
      <c r="B46" s="2">
        <v>8.8516599199999995</v>
      </c>
    </row>
    <row r="47" spans="1:2" x14ac:dyDescent="0.3">
      <c r="A47" s="2">
        <v>2006</v>
      </c>
      <c r="B47" s="2">
        <v>8.0471515</v>
      </c>
    </row>
    <row r="48" spans="1:2" x14ac:dyDescent="0.3">
      <c r="A48" s="2">
        <v>2007</v>
      </c>
      <c r="B48" s="2">
        <v>9.0076508749999995</v>
      </c>
    </row>
    <row r="49" spans="1:2" x14ac:dyDescent="0.3">
      <c r="A49" s="2">
        <v>2008</v>
      </c>
      <c r="B49" s="2">
        <v>4.0572331029999997</v>
      </c>
    </row>
    <row r="50" spans="1:2" x14ac:dyDescent="0.3">
      <c r="A50" s="2">
        <v>2009</v>
      </c>
      <c r="B50" s="2">
        <v>-5.9185250800000002</v>
      </c>
    </row>
    <row r="51" spans="1:2" x14ac:dyDescent="0.3">
      <c r="A51" s="2">
        <v>2010</v>
      </c>
      <c r="B51" s="2">
        <v>10.12539816</v>
      </c>
    </row>
    <row r="52" spans="1:2" x14ac:dyDescent="0.3">
      <c r="A52" s="2">
        <v>2011</v>
      </c>
      <c r="B52" s="2">
        <v>6.0039516930000003</v>
      </c>
    </row>
    <row r="53" spans="1:2" x14ac:dyDescent="0.3">
      <c r="A53" s="2">
        <v>2012</v>
      </c>
      <c r="B53" s="2">
        <v>-1.02642045</v>
      </c>
    </row>
    <row r="54" spans="1:2" x14ac:dyDescent="0.3">
      <c r="A54" s="2">
        <v>2013</v>
      </c>
      <c r="B54" s="2">
        <v>2.4053237809999999</v>
      </c>
    </row>
    <row r="55" spans="1:2" x14ac:dyDescent="0.3">
      <c r="A55" s="2">
        <v>2014</v>
      </c>
      <c r="B55" s="2">
        <v>-2.5126153200000001</v>
      </c>
    </row>
    <row r="56" spans="1:2" x14ac:dyDescent="0.3">
      <c r="A56" s="2">
        <v>2015</v>
      </c>
      <c r="B56" s="2">
        <v>2.731159828</v>
      </c>
    </row>
    <row r="57" spans="1:2" x14ac:dyDescent="0.3">
      <c r="A57" s="2">
        <v>2016</v>
      </c>
      <c r="B57" s="2">
        <v>-2.0803278399999998</v>
      </c>
    </row>
    <row r="58" spans="1:2" x14ac:dyDescent="0.3">
      <c r="A58" s="2">
        <v>2017</v>
      </c>
      <c r="B58" s="2">
        <v>2.8185029780000002</v>
      </c>
    </row>
    <row r="59" spans="1:2" x14ac:dyDescent="0.3">
      <c r="A59" s="2">
        <v>2018</v>
      </c>
      <c r="B59" s="2">
        <v>-2.6173964600000001</v>
      </c>
    </row>
    <row r="60" spans="1:2" x14ac:dyDescent="0.3">
      <c r="A60" s="2">
        <v>2019</v>
      </c>
      <c r="B60" s="2">
        <v>-2.000861</v>
      </c>
    </row>
    <row r="61" spans="1:2" x14ac:dyDescent="0.3">
      <c r="A61" s="2">
        <v>2020</v>
      </c>
      <c r="B61" s="2">
        <v>-9.90048481</v>
      </c>
    </row>
    <row r="62" spans="1:2" x14ac:dyDescent="0.3">
      <c r="A62" s="2">
        <v>2021</v>
      </c>
      <c r="B62" s="2">
        <v>10.44181199</v>
      </c>
    </row>
    <row r="63" spans="1:2" x14ac:dyDescent="0.3">
      <c r="A63" s="2">
        <v>2022</v>
      </c>
      <c r="B63" s="2">
        <v>5.2698796740000002</v>
      </c>
    </row>
    <row r="64" spans="1:2" x14ac:dyDescent="0.3">
      <c r="A64" s="2">
        <v>2023</v>
      </c>
      <c r="B64" s="2">
        <v>-1.6110016199999999</v>
      </c>
    </row>
    <row r="65" spans="1:2" x14ac:dyDescent="0.3">
      <c r="A65" s="2">
        <v>2024</v>
      </c>
      <c r="B65" s="2">
        <v>-1.7191051500000001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08"/>
  <sheetViews>
    <sheetView workbookViewId="0">
      <selection activeCell="D12" sqref="D12"/>
    </sheetView>
  </sheetViews>
  <sheetFormatPr baseColWidth="10" defaultRowHeight="14.4" x14ac:dyDescent="0.3"/>
  <sheetData>
    <row r="1" spans="1:2" x14ac:dyDescent="0.3">
      <c r="A1" t="s">
        <v>10</v>
      </c>
      <c r="B1" t="s">
        <v>13</v>
      </c>
    </row>
    <row r="2" spans="1:2" x14ac:dyDescent="0.3">
      <c r="A2" s="5">
        <v>42354</v>
      </c>
      <c r="B2">
        <v>38</v>
      </c>
    </row>
    <row r="3" spans="1:2" x14ac:dyDescent="0.3">
      <c r="A3" s="5">
        <v>42355</v>
      </c>
      <c r="B3">
        <v>38</v>
      </c>
    </row>
    <row r="4" spans="1:2" x14ac:dyDescent="0.3">
      <c r="A4" s="5">
        <v>42356</v>
      </c>
      <c r="B4">
        <v>38</v>
      </c>
    </row>
    <row r="5" spans="1:2" x14ac:dyDescent="0.3">
      <c r="A5" s="5">
        <v>42357</v>
      </c>
      <c r="B5">
        <v>38</v>
      </c>
    </row>
    <row r="6" spans="1:2" x14ac:dyDescent="0.3">
      <c r="A6" s="5">
        <v>42358</v>
      </c>
      <c r="B6">
        <v>38</v>
      </c>
    </row>
    <row r="7" spans="1:2" x14ac:dyDescent="0.3">
      <c r="A7" s="5">
        <v>42359</v>
      </c>
      <c r="B7">
        <v>38</v>
      </c>
    </row>
    <row r="8" spans="1:2" x14ac:dyDescent="0.3">
      <c r="A8" s="5">
        <v>42360</v>
      </c>
      <c r="B8">
        <v>38</v>
      </c>
    </row>
    <row r="9" spans="1:2" x14ac:dyDescent="0.3">
      <c r="A9" s="5">
        <v>42361</v>
      </c>
      <c r="B9">
        <v>36</v>
      </c>
    </row>
    <row r="10" spans="1:2" x14ac:dyDescent="0.3">
      <c r="A10" s="5">
        <v>42362</v>
      </c>
      <c r="B10">
        <v>36</v>
      </c>
    </row>
    <row r="11" spans="1:2" x14ac:dyDescent="0.3">
      <c r="A11" s="5">
        <v>42363</v>
      </c>
      <c r="B11">
        <v>36</v>
      </c>
    </row>
    <row r="12" spans="1:2" x14ac:dyDescent="0.3">
      <c r="A12" s="5">
        <v>42364</v>
      </c>
      <c r="B12">
        <v>36</v>
      </c>
    </row>
    <row r="13" spans="1:2" x14ac:dyDescent="0.3">
      <c r="A13" s="5">
        <v>42365</v>
      </c>
      <c r="B13">
        <v>36</v>
      </c>
    </row>
    <row r="14" spans="1:2" x14ac:dyDescent="0.3">
      <c r="A14" s="5">
        <v>42366</v>
      </c>
      <c r="B14">
        <v>36</v>
      </c>
    </row>
    <row r="15" spans="1:2" x14ac:dyDescent="0.3">
      <c r="A15" s="5">
        <v>42367</v>
      </c>
      <c r="B15">
        <v>36</v>
      </c>
    </row>
    <row r="16" spans="1:2" x14ac:dyDescent="0.3">
      <c r="A16" s="5">
        <v>42368</v>
      </c>
      <c r="B16">
        <v>33</v>
      </c>
    </row>
    <row r="17" spans="1:2" x14ac:dyDescent="0.3">
      <c r="A17" s="5">
        <v>42369</v>
      </c>
      <c r="B17">
        <v>33</v>
      </c>
    </row>
    <row r="18" spans="1:2" x14ac:dyDescent="0.3">
      <c r="A18" s="5">
        <v>42370</v>
      </c>
      <c r="B18">
        <v>33</v>
      </c>
    </row>
    <row r="19" spans="1:2" x14ac:dyDescent="0.3">
      <c r="A19" s="5">
        <v>42371</v>
      </c>
      <c r="B19">
        <v>33</v>
      </c>
    </row>
    <row r="20" spans="1:2" x14ac:dyDescent="0.3">
      <c r="A20" s="5">
        <v>42372</v>
      </c>
      <c r="B20">
        <v>33</v>
      </c>
    </row>
    <row r="21" spans="1:2" x14ac:dyDescent="0.3">
      <c r="A21" s="5">
        <v>42373</v>
      </c>
      <c r="B21">
        <v>33</v>
      </c>
    </row>
    <row r="22" spans="1:2" x14ac:dyDescent="0.3">
      <c r="A22" s="5">
        <v>42374</v>
      </c>
      <c r="B22">
        <v>33</v>
      </c>
    </row>
    <row r="23" spans="1:2" x14ac:dyDescent="0.3">
      <c r="A23" s="5">
        <v>42375</v>
      </c>
      <c r="B23">
        <v>32</v>
      </c>
    </row>
    <row r="24" spans="1:2" x14ac:dyDescent="0.3">
      <c r="A24" s="5">
        <v>42376</v>
      </c>
      <c r="B24">
        <v>32</v>
      </c>
    </row>
    <row r="25" spans="1:2" x14ac:dyDescent="0.3">
      <c r="A25" s="5">
        <v>42377</v>
      </c>
      <c r="B25">
        <v>32</v>
      </c>
    </row>
    <row r="26" spans="1:2" x14ac:dyDescent="0.3">
      <c r="A26" s="5">
        <v>42378</v>
      </c>
      <c r="B26">
        <v>32</v>
      </c>
    </row>
    <row r="27" spans="1:2" x14ac:dyDescent="0.3">
      <c r="A27" s="5">
        <v>42379</v>
      </c>
      <c r="B27">
        <v>32</v>
      </c>
    </row>
    <row r="28" spans="1:2" x14ac:dyDescent="0.3">
      <c r="A28" s="5">
        <v>42380</v>
      </c>
      <c r="B28">
        <v>32</v>
      </c>
    </row>
    <row r="29" spans="1:2" x14ac:dyDescent="0.3">
      <c r="A29" s="5">
        <v>42381</v>
      </c>
      <c r="B29">
        <v>32</v>
      </c>
    </row>
    <row r="30" spans="1:2" x14ac:dyDescent="0.3">
      <c r="A30" s="5">
        <v>42382</v>
      </c>
      <c r="B30">
        <v>31</v>
      </c>
    </row>
    <row r="31" spans="1:2" x14ac:dyDescent="0.3">
      <c r="A31" s="5">
        <v>42383</v>
      </c>
      <c r="B31">
        <v>31</v>
      </c>
    </row>
    <row r="32" spans="1:2" x14ac:dyDescent="0.3">
      <c r="A32" s="5">
        <v>42384</v>
      </c>
      <c r="B32">
        <v>31</v>
      </c>
    </row>
    <row r="33" spans="1:2" x14ac:dyDescent="0.3">
      <c r="A33" s="5">
        <v>42385</v>
      </c>
      <c r="B33">
        <v>31</v>
      </c>
    </row>
    <row r="34" spans="1:2" x14ac:dyDescent="0.3">
      <c r="A34" s="5">
        <v>42386</v>
      </c>
      <c r="B34">
        <v>31</v>
      </c>
    </row>
    <row r="35" spans="1:2" x14ac:dyDescent="0.3">
      <c r="A35" s="5">
        <v>42387</v>
      </c>
      <c r="B35">
        <v>31</v>
      </c>
    </row>
    <row r="36" spans="1:2" x14ac:dyDescent="0.3">
      <c r="A36" s="5">
        <v>42388</v>
      </c>
      <c r="B36">
        <v>31</v>
      </c>
    </row>
    <row r="37" spans="1:2" x14ac:dyDescent="0.3">
      <c r="A37" s="5">
        <v>42389</v>
      </c>
      <c r="B37">
        <v>31</v>
      </c>
    </row>
    <row r="38" spans="1:2" x14ac:dyDescent="0.3">
      <c r="A38" s="5">
        <v>42390</v>
      </c>
      <c r="B38">
        <v>31</v>
      </c>
    </row>
    <row r="39" spans="1:2" x14ac:dyDescent="0.3">
      <c r="A39" s="5">
        <v>42391</v>
      </c>
      <c r="B39">
        <v>31</v>
      </c>
    </row>
    <row r="40" spans="1:2" x14ac:dyDescent="0.3">
      <c r="A40" s="5">
        <v>42392</v>
      </c>
      <c r="B40">
        <v>31</v>
      </c>
    </row>
    <row r="41" spans="1:2" x14ac:dyDescent="0.3">
      <c r="A41" s="5">
        <v>42393</v>
      </c>
      <c r="B41">
        <v>31</v>
      </c>
    </row>
    <row r="42" spans="1:2" x14ac:dyDescent="0.3">
      <c r="A42" s="5">
        <v>42394</v>
      </c>
      <c r="B42">
        <v>31</v>
      </c>
    </row>
    <row r="43" spans="1:2" x14ac:dyDescent="0.3">
      <c r="A43" s="5">
        <v>42395</v>
      </c>
      <c r="B43">
        <v>31</v>
      </c>
    </row>
    <row r="44" spans="1:2" x14ac:dyDescent="0.3">
      <c r="A44" s="5">
        <v>42396</v>
      </c>
      <c r="B44">
        <v>30.75</v>
      </c>
    </row>
    <row r="45" spans="1:2" x14ac:dyDescent="0.3">
      <c r="A45" s="5">
        <v>42397</v>
      </c>
      <c r="B45">
        <v>30.75</v>
      </c>
    </row>
    <row r="46" spans="1:2" x14ac:dyDescent="0.3">
      <c r="A46" s="5">
        <v>42398</v>
      </c>
      <c r="B46">
        <v>30.75</v>
      </c>
    </row>
    <row r="47" spans="1:2" x14ac:dyDescent="0.3">
      <c r="A47" s="5">
        <v>42399</v>
      </c>
      <c r="B47">
        <v>30.75</v>
      </c>
    </row>
    <row r="48" spans="1:2" x14ac:dyDescent="0.3">
      <c r="A48" s="5">
        <v>42400</v>
      </c>
      <c r="B48">
        <v>30.75</v>
      </c>
    </row>
    <row r="49" spans="1:2" x14ac:dyDescent="0.3">
      <c r="A49" s="5">
        <v>42401</v>
      </c>
      <c r="B49">
        <v>30.75</v>
      </c>
    </row>
    <row r="50" spans="1:2" x14ac:dyDescent="0.3">
      <c r="A50" s="5">
        <v>42402</v>
      </c>
      <c r="B50">
        <v>30.75</v>
      </c>
    </row>
    <row r="51" spans="1:2" x14ac:dyDescent="0.3">
      <c r="A51" s="5">
        <v>42403</v>
      </c>
      <c r="B51">
        <v>30.5</v>
      </c>
    </row>
    <row r="52" spans="1:2" x14ac:dyDescent="0.3">
      <c r="A52" s="5">
        <v>42404</v>
      </c>
      <c r="B52">
        <v>30.5</v>
      </c>
    </row>
    <row r="53" spans="1:2" x14ac:dyDescent="0.3">
      <c r="A53" s="5">
        <v>42405</v>
      </c>
      <c r="B53">
        <v>30.5</v>
      </c>
    </row>
    <row r="54" spans="1:2" x14ac:dyDescent="0.3">
      <c r="A54" s="5">
        <v>42406</v>
      </c>
      <c r="B54">
        <v>30.5</v>
      </c>
    </row>
    <row r="55" spans="1:2" x14ac:dyDescent="0.3">
      <c r="A55" s="5">
        <v>42407</v>
      </c>
      <c r="B55">
        <v>30.5</v>
      </c>
    </row>
    <row r="56" spans="1:2" x14ac:dyDescent="0.3">
      <c r="A56" s="5">
        <v>42408</v>
      </c>
      <c r="B56">
        <v>30.5</v>
      </c>
    </row>
    <row r="57" spans="1:2" x14ac:dyDescent="0.3">
      <c r="A57" s="5">
        <v>42409</v>
      </c>
      <c r="B57">
        <v>30.5</v>
      </c>
    </row>
    <row r="58" spans="1:2" x14ac:dyDescent="0.3">
      <c r="A58" s="5">
        <v>42410</v>
      </c>
      <c r="B58">
        <v>30.25</v>
      </c>
    </row>
    <row r="59" spans="1:2" x14ac:dyDescent="0.3">
      <c r="A59" s="5">
        <v>42411</v>
      </c>
      <c r="B59">
        <v>30.25</v>
      </c>
    </row>
    <row r="60" spans="1:2" x14ac:dyDescent="0.3">
      <c r="A60" s="5">
        <v>42412</v>
      </c>
      <c r="B60">
        <v>30.25</v>
      </c>
    </row>
    <row r="61" spans="1:2" x14ac:dyDescent="0.3">
      <c r="A61" s="5">
        <v>42413</v>
      </c>
      <c r="B61">
        <v>30.25</v>
      </c>
    </row>
    <row r="62" spans="1:2" x14ac:dyDescent="0.3">
      <c r="A62" s="5">
        <v>42414</v>
      </c>
      <c r="B62">
        <v>30.25</v>
      </c>
    </row>
    <row r="63" spans="1:2" x14ac:dyDescent="0.3">
      <c r="A63" s="5">
        <v>42415</v>
      </c>
      <c r="B63">
        <v>30.25</v>
      </c>
    </row>
    <row r="64" spans="1:2" x14ac:dyDescent="0.3">
      <c r="A64" s="5">
        <v>42416</v>
      </c>
      <c r="B64">
        <v>30.25</v>
      </c>
    </row>
    <row r="65" spans="1:2" x14ac:dyDescent="0.3">
      <c r="A65" s="5">
        <v>42417</v>
      </c>
      <c r="B65">
        <v>30.5</v>
      </c>
    </row>
    <row r="66" spans="1:2" x14ac:dyDescent="0.3">
      <c r="A66" s="5">
        <v>42418</v>
      </c>
      <c r="B66">
        <v>30.5</v>
      </c>
    </row>
    <row r="67" spans="1:2" x14ac:dyDescent="0.3">
      <c r="A67" s="5">
        <v>42419</v>
      </c>
      <c r="B67">
        <v>30.5</v>
      </c>
    </row>
    <row r="68" spans="1:2" x14ac:dyDescent="0.3">
      <c r="A68" s="5">
        <v>42420</v>
      </c>
      <c r="B68">
        <v>30.5</v>
      </c>
    </row>
    <row r="69" spans="1:2" x14ac:dyDescent="0.3">
      <c r="A69" s="5">
        <v>42421</v>
      </c>
      <c r="B69">
        <v>30.5</v>
      </c>
    </row>
    <row r="70" spans="1:2" x14ac:dyDescent="0.3">
      <c r="A70" s="5">
        <v>42422</v>
      </c>
      <c r="B70">
        <v>30.5</v>
      </c>
    </row>
    <row r="71" spans="1:2" x14ac:dyDescent="0.3">
      <c r="A71" s="5">
        <v>42423</v>
      </c>
      <c r="B71">
        <v>30.5</v>
      </c>
    </row>
    <row r="72" spans="1:2" x14ac:dyDescent="0.3">
      <c r="A72" s="5">
        <v>42424</v>
      </c>
      <c r="B72">
        <v>31.15</v>
      </c>
    </row>
    <row r="73" spans="1:2" x14ac:dyDescent="0.3">
      <c r="A73" s="5">
        <v>42425</v>
      </c>
      <c r="B73">
        <v>31.15</v>
      </c>
    </row>
    <row r="74" spans="1:2" x14ac:dyDescent="0.3">
      <c r="A74" s="5">
        <v>42426</v>
      </c>
      <c r="B74">
        <v>31.15</v>
      </c>
    </row>
    <row r="75" spans="1:2" x14ac:dyDescent="0.3">
      <c r="A75" s="5">
        <v>42427</v>
      </c>
      <c r="B75">
        <v>31.15</v>
      </c>
    </row>
    <row r="76" spans="1:2" x14ac:dyDescent="0.3">
      <c r="A76" s="5">
        <v>42428</v>
      </c>
      <c r="B76">
        <v>31.15</v>
      </c>
    </row>
    <row r="77" spans="1:2" x14ac:dyDescent="0.3">
      <c r="A77" s="5">
        <v>42429</v>
      </c>
      <c r="B77">
        <v>31.15</v>
      </c>
    </row>
    <row r="78" spans="1:2" x14ac:dyDescent="0.3">
      <c r="A78" s="5">
        <v>42430</v>
      </c>
      <c r="B78">
        <v>31.15</v>
      </c>
    </row>
    <row r="79" spans="1:2" x14ac:dyDescent="0.3">
      <c r="A79" s="5">
        <v>42431</v>
      </c>
      <c r="B79">
        <v>37</v>
      </c>
    </row>
    <row r="80" spans="1:2" x14ac:dyDescent="0.3">
      <c r="A80" s="5">
        <v>42432</v>
      </c>
      <c r="B80">
        <v>37</v>
      </c>
    </row>
    <row r="81" spans="1:2" x14ac:dyDescent="0.3">
      <c r="A81" s="5">
        <v>42433</v>
      </c>
      <c r="B81">
        <v>37</v>
      </c>
    </row>
    <row r="82" spans="1:2" x14ac:dyDescent="0.3">
      <c r="A82" s="5">
        <v>42434</v>
      </c>
      <c r="B82">
        <v>37</v>
      </c>
    </row>
    <row r="83" spans="1:2" x14ac:dyDescent="0.3">
      <c r="A83" s="5">
        <v>42435</v>
      </c>
      <c r="B83">
        <v>37</v>
      </c>
    </row>
    <row r="84" spans="1:2" x14ac:dyDescent="0.3">
      <c r="A84" s="5">
        <v>42436</v>
      </c>
      <c r="B84">
        <v>37</v>
      </c>
    </row>
    <row r="85" spans="1:2" x14ac:dyDescent="0.3">
      <c r="A85" s="5">
        <v>42437</v>
      </c>
      <c r="B85">
        <v>37</v>
      </c>
    </row>
    <row r="86" spans="1:2" x14ac:dyDescent="0.3">
      <c r="A86" s="5">
        <v>42438</v>
      </c>
      <c r="B86">
        <v>38</v>
      </c>
    </row>
    <row r="87" spans="1:2" x14ac:dyDescent="0.3">
      <c r="A87" s="5">
        <v>42439</v>
      </c>
      <c r="B87">
        <v>38</v>
      </c>
    </row>
    <row r="88" spans="1:2" x14ac:dyDescent="0.3">
      <c r="A88" s="5">
        <v>42440</v>
      </c>
      <c r="B88">
        <v>38</v>
      </c>
    </row>
    <row r="89" spans="1:2" x14ac:dyDescent="0.3">
      <c r="A89" s="5">
        <v>42441</v>
      </c>
      <c r="B89">
        <v>38</v>
      </c>
    </row>
    <row r="90" spans="1:2" x14ac:dyDescent="0.3">
      <c r="A90" s="5">
        <v>42442</v>
      </c>
      <c r="B90">
        <v>38</v>
      </c>
    </row>
    <row r="91" spans="1:2" x14ac:dyDescent="0.3">
      <c r="A91" s="5">
        <v>42443</v>
      </c>
      <c r="B91">
        <v>38</v>
      </c>
    </row>
    <row r="92" spans="1:2" x14ac:dyDescent="0.3">
      <c r="A92" s="5">
        <v>42444</v>
      </c>
      <c r="B92">
        <v>38</v>
      </c>
    </row>
    <row r="93" spans="1:2" x14ac:dyDescent="0.3">
      <c r="A93" s="5">
        <v>42445</v>
      </c>
      <c r="B93">
        <v>38</v>
      </c>
    </row>
    <row r="94" spans="1:2" x14ac:dyDescent="0.3">
      <c r="A94" s="5">
        <v>42446</v>
      </c>
      <c r="B94">
        <v>38</v>
      </c>
    </row>
    <row r="95" spans="1:2" x14ac:dyDescent="0.3">
      <c r="A95" s="5">
        <v>42447</v>
      </c>
      <c r="B95">
        <v>38</v>
      </c>
    </row>
    <row r="96" spans="1:2" x14ac:dyDescent="0.3">
      <c r="A96" s="5">
        <v>42448</v>
      </c>
      <c r="B96">
        <v>38</v>
      </c>
    </row>
    <row r="97" spans="1:2" x14ac:dyDescent="0.3">
      <c r="A97" s="5">
        <v>42449</v>
      </c>
      <c r="B97">
        <v>38</v>
      </c>
    </row>
    <row r="98" spans="1:2" x14ac:dyDescent="0.3">
      <c r="A98" s="5">
        <v>42450</v>
      </c>
      <c r="B98">
        <v>38</v>
      </c>
    </row>
    <row r="99" spans="1:2" x14ac:dyDescent="0.3">
      <c r="A99" s="5">
        <v>42451</v>
      </c>
      <c r="B99">
        <v>38</v>
      </c>
    </row>
    <row r="100" spans="1:2" x14ac:dyDescent="0.3">
      <c r="A100" s="5">
        <v>42452</v>
      </c>
      <c r="B100">
        <v>38</v>
      </c>
    </row>
    <row r="101" spans="1:2" x14ac:dyDescent="0.3">
      <c r="A101" s="5">
        <v>42453</v>
      </c>
      <c r="B101">
        <v>38</v>
      </c>
    </row>
    <row r="102" spans="1:2" x14ac:dyDescent="0.3">
      <c r="A102" s="5">
        <v>42454</v>
      </c>
      <c r="B102">
        <v>38</v>
      </c>
    </row>
    <row r="103" spans="1:2" x14ac:dyDescent="0.3">
      <c r="A103" s="5">
        <v>42455</v>
      </c>
      <c r="B103">
        <v>38</v>
      </c>
    </row>
    <row r="104" spans="1:2" x14ac:dyDescent="0.3">
      <c r="A104" s="5">
        <v>42456</v>
      </c>
      <c r="B104">
        <v>38</v>
      </c>
    </row>
    <row r="105" spans="1:2" x14ac:dyDescent="0.3">
      <c r="A105" s="5">
        <v>42457</v>
      </c>
      <c r="B105">
        <v>38</v>
      </c>
    </row>
    <row r="106" spans="1:2" x14ac:dyDescent="0.3">
      <c r="A106" s="5">
        <v>42458</v>
      </c>
      <c r="B106">
        <v>38</v>
      </c>
    </row>
    <row r="107" spans="1:2" x14ac:dyDescent="0.3">
      <c r="A107" s="5">
        <v>42459</v>
      </c>
      <c r="B107">
        <v>38</v>
      </c>
    </row>
    <row r="108" spans="1:2" x14ac:dyDescent="0.3">
      <c r="A108" s="5">
        <v>42460</v>
      </c>
      <c r="B108">
        <v>38</v>
      </c>
    </row>
    <row r="109" spans="1:2" x14ac:dyDescent="0.3">
      <c r="A109" s="5">
        <v>42461</v>
      </c>
      <c r="B109">
        <v>38</v>
      </c>
    </row>
    <row r="110" spans="1:2" x14ac:dyDescent="0.3">
      <c r="A110" s="5">
        <v>42462</v>
      </c>
      <c r="B110">
        <v>38</v>
      </c>
    </row>
    <row r="111" spans="1:2" x14ac:dyDescent="0.3">
      <c r="A111" s="5">
        <v>42463</v>
      </c>
      <c r="B111">
        <v>38</v>
      </c>
    </row>
    <row r="112" spans="1:2" x14ac:dyDescent="0.3">
      <c r="A112" s="5">
        <v>42464</v>
      </c>
      <c r="B112">
        <v>38</v>
      </c>
    </row>
    <row r="113" spans="1:2" x14ac:dyDescent="0.3">
      <c r="A113" s="5">
        <v>42465</v>
      </c>
      <c r="B113">
        <v>38</v>
      </c>
    </row>
    <row r="114" spans="1:2" x14ac:dyDescent="0.3">
      <c r="A114" s="5">
        <v>42466</v>
      </c>
      <c r="B114">
        <v>38</v>
      </c>
    </row>
    <row r="115" spans="1:2" x14ac:dyDescent="0.3">
      <c r="A115" s="5">
        <v>42467</v>
      </c>
      <c r="B115">
        <v>38</v>
      </c>
    </row>
    <row r="116" spans="1:2" x14ac:dyDescent="0.3">
      <c r="A116" s="5">
        <v>42468</v>
      </c>
      <c r="B116">
        <v>38</v>
      </c>
    </row>
    <row r="117" spans="1:2" x14ac:dyDescent="0.3">
      <c r="A117" s="5">
        <v>42469</v>
      </c>
      <c r="B117">
        <v>38</v>
      </c>
    </row>
    <row r="118" spans="1:2" x14ac:dyDescent="0.3">
      <c r="A118" s="5">
        <v>42470</v>
      </c>
      <c r="B118">
        <v>38</v>
      </c>
    </row>
    <row r="119" spans="1:2" x14ac:dyDescent="0.3">
      <c r="A119" s="5">
        <v>42471</v>
      </c>
      <c r="B119">
        <v>38</v>
      </c>
    </row>
    <row r="120" spans="1:2" x14ac:dyDescent="0.3">
      <c r="A120" s="5">
        <v>42472</v>
      </c>
      <c r="B120">
        <v>38</v>
      </c>
    </row>
    <row r="121" spans="1:2" x14ac:dyDescent="0.3">
      <c r="A121" s="5">
        <v>42473</v>
      </c>
      <c r="B121">
        <v>38</v>
      </c>
    </row>
    <row r="122" spans="1:2" x14ac:dyDescent="0.3">
      <c r="A122" s="5">
        <v>42474</v>
      </c>
      <c r="B122">
        <v>38</v>
      </c>
    </row>
    <row r="123" spans="1:2" x14ac:dyDescent="0.3">
      <c r="A123" s="5">
        <v>42475</v>
      </c>
      <c r="B123">
        <v>38</v>
      </c>
    </row>
    <row r="124" spans="1:2" x14ac:dyDescent="0.3">
      <c r="A124" s="5">
        <v>42476</v>
      </c>
      <c r="B124">
        <v>38</v>
      </c>
    </row>
    <row r="125" spans="1:2" x14ac:dyDescent="0.3">
      <c r="A125" s="5">
        <v>42477</v>
      </c>
      <c r="B125">
        <v>38</v>
      </c>
    </row>
    <row r="126" spans="1:2" x14ac:dyDescent="0.3">
      <c r="A126" s="5">
        <v>42478</v>
      </c>
      <c r="B126">
        <v>38</v>
      </c>
    </row>
    <row r="127" spans="1:2" x14ac:dyDescent="0.3">
      <c r="A127" s="5">
        <v>42479</v>
      </c>
      <c r="B127">
        <v>38</v>
      </c>
    </row>
    <row r="128" spans="1:2" x14ac:dyDescent="0.3">
      <c r="A128" s="5">
        <v>42480</v>
      </c>
      <c r="B128">
        <v>38</v>
      </c>
    </row>
    <row r="129" spans="1:2" x14ac:dyDescent="0.3">
      <c r="A129" s="5">
        <v>42481</v>
      </c>
      <c r="B129">
        <v>38</v>
      </c>
    </row>
    <row r="130" spans="1:2" x14ac:dyDescent="0.3">
      <c r="A130" s="5">
        <v>42482</v>
      </c>
      <c r="B130">
        <v>38</v>
      </c>
    </row>
    <row r="131" spans="1:2" x14ac:dyDescent="0.3">
      <c r="A131" s="5">
        <v>42483</v>
      </c>
      <c r="B131">
        <v>38</v>
      </c>
    </row>
    <row r="132" spans="1:2" x14ac:dyDescent="0.3">
      <c r="A132" s="5">
        <v>42484</v>
      </c>
      <c r="B132">
        <v>38</v>
      </c>
    </row>
    <row r="133" spans="1:2" x14ac:dyDescent="0.3">
      <c r="A133" s="5">
        <v>42485</v>
      </c>
      <c r="B133">
        <v>38</v>
      </c>
    </row>
    <row r="134" spans="1:2" x14ac:dyDescent="0.3">
      <c r="A134" s="5">
        <v>42486</v>
      </c>
      <c r="B134">
        <v>38</v>
      </c>
    </row>
    <row r="135" spans="1:2" x14ac:dyDescent="0.3">
      <c r="A135" s="5">
        <v>42487</v>
      </c>
      <c r="B135">
        <v>38</v>
      </c>
    </row>
    <row r="136" spans="1:2" x14ac:dyDescent="0.3">
      <c r="A136" s="5">
        <v>42488</v>
      </c>
      <c r="B136">
        <v>38</v>
      </c>
    </row>
    <row r="137" spans="1:2" x14ac:dyDescent="0.3">
      <c r="A137" s="5">
        <v>42489</v>
      </c>
      <c r="B137">
        <v>38</v>
      </c>
    </row>
    <row r="138" spans="1:2" x14ac:dyDescent="0.3">
      <c r="A138" s="5">
        <v>42490</v>
      </c>
      <c r="B138">
        <v>38</v>
      </c>
    </row>
    <row r="139" spans="1:2" x14ac:dyDescent="0.3">
      <c r="A139" s="5">
        <v>42491</v>
      </c>
      <c r="B139">
        <v>38</v>
      </c>
    </row>
    <row r="140" spans="1:2" x14ac:dyDescent="0.3">
      <c r="A140" s="5">
        <v>42492</v>
      </c>
      <c r="B140">
        <v>38</v>
      </c>
    </row>
    <row r="141" spans="1:2" x14ac:dyDescent="0.3">
      <c r="A141" s="5">
        <v>42493</v>
      </c>
      <c r="B141">
        <v>38</v>
      </c>
    </row>
    <row r="142" spans="1:2" x14ac:dyDescent="0.3">
      <c r="A142" s="5">
        <v>42494</v>
      </c>
      <c r="B142">
        <v>37.5</v>
      </c>
    </row>
    <row r="143" spans="1:2" x14ac:dyDescent="0.3">
      <c r="A143" s="5">
        <v>42495</v>
      </c>
      <c r="B143">
        <v>37.5</v>
      </c>
    </row>
    <row r="144" spans="1:2" x14ac:dyDescent="0.3">
      <c r="A144" s="5">
        <v>42496</v>
      </c>
      <c r="B144">
        <v>37.5</v>
      </c>
    </row>
    <row r="145" spans="1:2" x14ac:dyDescent="0.3">
      <c r="A145" s="5">
        <v>42497</v>
      </c>
      <c r="B145">
        <v>37.5</v>
      </c>
    </row>
    <row r="146" spans="1:2" x14ac:dyDescent="0.3">
      <c r="A146" s="5">
        <v>42498</v>
      </c>
      <c r="B146">
        <v>37.5</v>
      </c>
    </row>
    <row r="147" spans="1:2" x14ac:dyDescent="0.3">
      <c r="A147" s="5">
        <v>42499</v>
      </c>
      <c r="B147">
        <v>37.5</v>
      </c>
    </row>
    <row r="148" spans="1:2" x14ac:dyDescent="0.3">
      <c r="A148" s="5">
        <v>42500</v>
      </c>
      <c r="B148">
        <v>37.5</v>
      </c>
    </row>
    <row r="149" spans="1:2" x14ac:dyDescent="0.3">
      <c r="A149" s="5">
        <v>42501</v>
      </c>
      <c r="B149">
        <v>37.5</v>
      </c>
    </row>
    <row r="150" spans="1:2" x14ac:dyDescent="0.3">
      <c r="A150" s="5">
        <v>42502</v>
      </c>
      <c r="B150">
        <v>37.5</v>
      </c>
    </row>
    <row r="151" spans="1:2" x14ac:dyDescent="0.3">
      <c r="A151" s="5">
        <v>42503</v>
      </c>
      <c r="B151">
        <v>37.5</v>
      </c>
    </row>
    <row r="152" spans="1:2" x14ac:dyDescent="0.3">
      <c r="A152" s="5">
        <v>42504</v>
      </c>
      <c r="B152">
        <v>37.5</v>
      </c>
    </row>
    <row r="153" spans="1:2" x14ac:dyDescent="0.3">
      <c r="A153" s="5">
        <v>42505</v>
      </c>
      <c r="B153">
        <v>37.5</v>
      </c>
    </row>
    <row r="154" spans="1:2" x14ac:dyDescent="0.3">
      <c r="A154" s="5">
        <v>42506</v>
      </c>
      <c r="B154">
        <v>37.5</v>
      </c>
    </row>
    <row r="155" spans="1:2" x14ac:dyDescent="0.3">
      <c r="A155" s="5">
        <v>42507</v>
      </c>
      <c r="B155">
        <v>37.5</v>
      </c>
    </row>
    <row r="156" spans="1:2" x14ac:dyDescent="0.3">
      <c r="A156" s="5">
        <v>42508</v>
      </c>
      <c r="B156">
        <v>36.75</v>
      </c>
    </row>
    <row r="157" spans="1:2" x14ac:dyDescent="0.3">
      <c r="A157" s="5">
        <v>42509</v>
      </c>
      <c r="B157">
        <v>36.75</v>
      </c>
    </row>
    <row r="158" spans="1:2" x14ac:dyDescent="0.3">
      <c r="A158" s="5">
        <v>42510</v>
      </c>
      <c r="B158">
        <v>36.75</v>
      </c>
    </row>
    <row r="159" spans="1:2" x14ac:dyDescent="0.3">
      <c r="A159" s="5">
        <v>42511</v>
      </c>
      <c r="B159">
        <v>36.75</v>
      </c>
    </row>
    <row r="160" spans="1:2" x14ac:dyDescent="0.3">
      <c r="A160" s="5">
        <v>42512</v>
      </c>
      <c r="B160">
        <v>36.75</v>
      </c>
    </row>
    <row r="161" spans="1:2" x14ac:dyDescent="0.3">
      <c r="A161" s="5">
        <v>42513</v>
      </c>
      <c r="B161">
        <v>36.75</v>
      </c>
    </row>
    <row r="162" spans="1:2" x14ac:dyDescent="0.3">
      <c r="A162" s="5">
        <v>42514</v>
      </c>
      <c r="B162">
        <v>36.75</v>
      </c>
    </row>
    <row r="163" spans="1:2" x14ac:dyDescent="0.3">
      <c r="A163" s="5">
        <v>42515</v>
      </c>
      <c r="B163">
        <v>36.75</v>
      </c>
    </row>
    <row r="164" spans="1:2" x14ac:dyDescent="0.3">
      <c r="A164" s="5">
        <v>42516</v>
      </c>
      <c r="B164">
        <v>35.25</v>
      </c>
    </row>
    <row r="165" spans="1:2" x14ac:dyDescent="0.3">
      <c r="A165" s="5">
        <v>42517</v>
      </c>
      <c r="B165">
        <v>35.25</v>
      </c>
    </row>
    <row r="166" spans="1:2" x14ac:dyDescent="0.3">
      <c r="A166" s="5">
        <v>42518</v>
      </c>
      <c r="B166">
        <v>35.25</v>
      </c>
    </row>
    <row r="167" spans="1:2" x14ac:dyDescent="0.3">
      <c r="A167" s="5">
        <v>42519</v>
      </c>
      <c r="B167">
        <v>35.25</v>
      </c>
    </row>
    <row r="168" spans="1:2" x14ac:dyDescent="0.3">
      <c r="A168" s="5">
        <v>42520</v>
      </c>
      <c r="B168">
        <v>35.25</v>
      </c>
    </row>
    <row r="169" spans="1:2" x14ac:dyDescent="0.3">
      <c r="A169" s="5">
        <v>42521</v>
      </c>
      <c r="B169">
        <v>35.25</v>
      </c>
    </row>
    <row r="170" spans="1:2" x14ac:dyDescent="0.3">
      <c r="A170" s="5">
        <v>42522</v>
      </c>
      <c r="B170">
        <v>34.25</v>
      </c>
    </row>
    <row r="171" spans="1:2" x14ac:dyDescent="0.3">
      <c r="A171" s="5">
        <v>42523</v>
      </c>
      <c r="B171">
        <v>34.25</v>
      </c>
    </row>
    <row r="172" spans="1:2" x14ac:dyDescent="0.3">
      <c r="A172" s="5">
        <v>42524</v>
      </c>
      <c r="B172">
        <v>34.25</v>
      </c>
    </row>
    <row r="173" spans="1:2" x14ac:dyDescent="0.3">
      <c r="A173" s="5">
        <v>42525</v>
      </c>
      <c r="B173">
        <v>34.25</v>
      </c>
    </row>
    <row r="174" spans="1:2" x14ac:dyDescent="0.3">
      <c r="A174" s="5">
        <v>42526</v>
      </c>
      <c r="B174">
        <v>34.25</v>
      </c>
    </row>
    <row r="175" spans="1:2" x14ac:dyDescent="0.3">
      <c r="A175" s="5">
        <v>42527</v>
      </c>
      <c r="B175">
        <v>34.25</v>
      </c>
    </row>
    <row r="176" spans="1:2" x14ac:dyDescent="0.3">
      <c r="A176" s="5">
        <v>42528</v>
      </c>
      <c r="B176">
        <v>34.25</v>
      </c>
    </row>
    <row r="177" spans="1:2" x14ac:dyDescent="0.3">
      <c r="A177" s="5">
        <v>42529</v>
      </c>
      <c r="B177">
        <v>33.25</v>
      </c>
    </row>
    <row r="178" spans="1:2" x14ac:dyDescent="0.3">
      <c r="A178" s="5">
        <v>42530</v>
      </c>
      <c r="B178">
        <v>33.25</v>
      </c>
    </row>
    <row r="179" spans="1:2" x14ac:dyDescent="0.3">
      <c r="A179" s="5">
        <v>42531</v>
      </c>
      <c r="B179">
        <v>33.25</v>
      </c>
    </row>
    <row r="180" spans="1:2" x14ac:dyDescent="0.3">
      <c r="A180" s="5">
        <v>42532</v>
      </c>
      <c r="B180">
        <v>33.25</v>
      </c>
    </row>
    <row r="181" spans="1:2" x14ac:dyDescent="0.3">
      <c r="A181" s="5">
        <v>42533</v>
      </c>
      <c r="B181">
        <v>33.25</v>
      </c>
    </row>
    <row r="182" spans="1:2" x14ac:dyDescent="0.3">
      <c r="A182" s="5">
        <v>42534</v>
      </c>
      <c r="B182">
        <v>33.25</v>
      </c>
    </row>
    <row r="183" spans="1:2" x14ac:dyDescent="0.3">
      <c r="A183" s="5">
        <v>42535</v>
      </c>
      <c r="B183">
        <v>33.25</v>
      </c>
    </row>
    <row r="184" spans="1:2" x14ac:dyDescent="0.3">
      <c r="A184" s="5">
        <v>42536</v>
      </c>
      <c r="B184">
        <v>32.25</v>
      </c>
    </row>
    <row r="185" spans="1:2" x14ac:dyDescent="0.3">
      <c r="A185" s="5">
        <v>42537</v>
      </c>
      <c r="B185">
        <v>32.25</v>
      </c>
    </row>
    <row r="186" spans="1:2" x14ac:dyDescent="0.3">
      <c r="A186" s="5">
        <v>42538</v>
      </c>
      <c r="B186">
        <v>32.25</v>
      </c>
    </row>
    <row r="187" spans="1:2" x14ac:dyDescent="0.3">
      <c r="A187" s="5">
        <v>42539</v>
      </c>
      <c r="B187">
        <v>32.25</v>
      </c>
    </row>
    <row r="188" spans="1:2" x14ac:dyDescent="0.3">
      <c r="A188" s="5">
        <v>42540</v>
      </c>
      <c r="B188">
        <v>32.25</v>
      </c>
    </row>
    <row r="189" spans="1:2" x14ac:dyDescent="0.3">
      <c r="A189" s="5">
        <v>42541</v>
      </c>
      <c r="B189">
        <v>32.25</v>
      </c>
    </row>
    <row r="190" spans="1:2" x14ac:dyDescent="0.3">
      <c r="A190" s="5">
        <v>42542</v>
      </c>
      <c r="B190">
        <v>32.25</v>
      </c>
    </row>
    <row r="191" spans="1:2" x14ac:dyDescent="0.3">
      <c r="A191" s="5">
        <v>42543</v>
      </c>
      <c r="B191">
        <v>31.5</v>
      </c>
    </row>
    <row r="192" spans="1:2" x14ac:dyDescent="0.3">
      <c r="A192" s="5">
        <v>42544</v>
      </c>
      <c r="B192">
        <v>31.5</v>
      </c>
    </row>
    <row r="193" spans="1:2" x14ac:dyDescent="0.3">
      <c r="A193" s="5">
        <v>42545</v>
      </c>
      <c r="B193">
        <v>31.5</v>
      </c>
    </row>
    <row r="194" spans="1:2" x14ac:dyDescent="0.3">
      <c r="A194" s="5">
        <v>42546</v>
      </c>
      <c r="B194">
        <v>31.5</v>
      </c>
    </row>
    <row r="195" spans="1:2" x14ac:dyDescent="0.3">
      <c r="A195" s="5">
        <v>42547</v>
      </c>
      <c r="B195">
        <v>31.5</v>
      </c>
    </row>
    <row r="196" spans="1:2" x14ac:dyDescent="0.3">
      <c r="A196" s="5">
        <v>42548</v>
      </c>
      <c r="B196">
        <v>31.5</v>
      </c>
    </row>
    <row r="197" spans="1:2" x14ac:dyDescent="0.3">
      <c r="A197" s="5">
        <v>42549</v>
      </c>
      <c r="B197">
        <v>31.5</v>
      </c>
    </row>
    <row r="198" spans="1:2" x14ac:dyDescent="0.3">
      <c r="A198" s="5">
        <v>42550</v>
      </c>
      <c r="B198">
        <v>30.75</v>
      </c>
    </row>
    <row r="199" spans="1:2" x14ac:dyDescent="0.3">
      <c r="A199" s="5">
        <v>42551</v>
      </c>
      <c r="B199">
        <v>30.75</v>
      </c>
    </row>
    <row r="200" spans="1:2" x14ac:dyDescent="0.3">
      <c r="A200" s="5">
        <v>42552</v>
      </c>
      <c r="B200">
        <v>30.75</v>
      </c>
    </row>
    <row r="201" spans="1:2" x14ac:dyDescent="0.3">
      <c r="A201" s="5">
        <v>42553</v>
      </c>
      <c r="B201">
        <v>30.75</v>
      </c>
    </row>
    <row r="202" spans="1:2" x14ac:dyDescent="0.3">
      <c r="A202" s="5">
        <v>42554</v>
      </c>
      <c r="B202">
        <v>30.75</v>
      </c>
    </row>
    <row r="203" spans="1:2" x14ac:dyDescent="0.3">
      <c r="A203" s="5">
        <v>42555</v>
      </c>
      <c r="B203">
        <v>30.75</v>
      </c>
    </row>
    <row r="204" spans="1:2" x14ac:dyDescent="0.3">
      <c r="A204" s="5">
        <v>42556</v>
      </c>
      <c r="B204">
        <v>30.75</v>
      </c>
    </row>
    <row r="205" spans="1:2" x14ac:dyDescent="0.3">
      <c r="A205" s="5">
        <v>42557</v>
      </c>
      <c r="B205">
        <v>30.25</v>
      </c>
    </row>
    <row r="206" spans="1:2" x14ac:dyDescent="0.3">
      <c r="A206" s="5">
        <v>42558</v>
      </c>
      <c r="B206">
        <v>30.25</v>
      </c>
    </row>
    <row r="207" spans="1:2" x14ac:dyDescent="0.3">
      <c r="A207" s="5">
        <v>42559</v>
      </c>
      <c r="B207">
        <v>30.25</v>
      </c>
    </row>
    <row r="208" spans="1:2" x14ac:dyDescent="0.3">
      <c r="A208" s="5">
        <v>42560</v>
      </c>
      <c r="B208">
        <v>30.25</v>
      </c>
    </row>
    <row r="209" spans="1:2" x14ac:dyDescent="0.3">
      <c r="A209" s="5">
        <v>42561</v>
      </c>
      <c r="B209">
        <v>30.25</v>
      </c>
    </row>
    <row r="210" spans="1:2" x14ac:dyDescent="0.3">
      <c r="A210" s="5">
        <v>42562</v>
      </c>
      <c r="B210">
        <v>30.25</v>
      </c>
    </row>
    <row r="211" spans="1:2" x14ac:dyDescent="0.3">
      <c r="A211" s="5">
        <v>42563</v>
      </c>
      <c r="B211">
        <v>30.25</v>
      </c>
    </row>
    <row r="212" spans="1:2" x14ac:dyDescent="0.3">
      <c r="A212" s="5">
        <v>42564</v>
      </c>
      <c r="B212">
        <v>30.25</v>
      </c>
    </row>
    <row r="213" spans="1:2" x14ac:dyDescent="0.3">
      <c r="A213" s="5">
        <v>42565</v>
      </c>
      <c r="B213">
        <v>30.25</v>
      </c>
    </row>
    <row r="214" spans="1:2" x14ac:dyDescent="0.3">
      <c r="A214" s="5">
        <v>42566</v>
      </c>
      <c r="B214">
        <v>30.25</v>
      </c>
    </row>
    <row r="215" spans="1:2" x14ac:dyDescent="0.3">
      <c r="A215" s="5">
        <v>42567</v>
      </c>
      <c r="B215">
        <v>30.25</v>
      </c>
    </row>
    <row r="216" spans="1:2" x14ac:dyDescent="0.3">
      <c r="A216" s="5">
        <v>42568</v>
      </c>
      <c r="B216">
        <v>30.25</v>
      </c>
    </row>
    <row r="217" spans="1:2" x14ac:dyDescent="0.3">
      <c r="A217" s="5">
        <v>42569</v>
      </c>
      <c r="B217">
        <v>30.25</v>
      </c>
    </row>
    <row r="218" spans="1:2" x14ac:dyDescent="0.3">
      <c r="A218" s="5">
        <v>42570</v>
      </c>
      <c r="B218">
        <v>30.25</v>
      </c>
    </row>
    <row r="219" spans="1:2" x14ac:dyDescent="0.3">
      <c r="A219" s="5">
        <v>42571</v>
      </c>
      <c r="B219">
        <v>30.25</v>
      </c>
    </row>
    <row r="220" spans="1:2" x14ac:dyDescent="0.3">
      <c r="A220" s="5">
        <v>42572</v>
      </c>
      <c r="B220">
        <v>30.25</v>
      </c>
    </row>
    <row r="221" spans="1:2" x14ac:dyDescent="0.3">
      <c r="A221" s="5">
        <v>42573</v>
      </c>
      <c r="B221">
        <v>30.25</v>
      </c>
    </row>
    <row r="222" spans="1:2" x14ac:dyDescent="0.3">
      <c r="A222" s="5">
        <v>42574</v>
      </c>
      <c r="B222">
        <v>30.25</v>
      </c>
    </row>
    <row r="223" spans="1:2" x14ac:dyDescent="0.3">
      <c r="A223" s="5">
        <v>42575</v>
      </c>
      <c r="B223">
        <v>30.25</v>
      </c>
    </row>
    <row r="224" spans="1:2" x14ac:dyDescent="0.3">
      <c r="A224" s="5">
        <v>42576</v>
      </c>
      <c r="B224">
        <v>30.25</v>
      </c>
    </row>
    <row r="225" spans="1:2" x14ac:dyDescent="0.3">
      <c r="A225" s="5">
        <v>42577</v>
      </c>
      <c r="B225">
        <v>30.25</v>
      </c>
    </row>
    <row r="226" spans="1:2" x14ac:dyDescent="0.3">
      <c r="A226" s="5">
        <v>42578</v>
      </c>
      <c r="B226">
        <v>30.25</v>
      </c>
    </row>
    <row r="227" spans="1:2" x14ac:dyDescent="0.3">
      <c r="A227" s="5">
        <v>42579</v>
      </c>
      <c r="B227">
        <v>30.25</v>
      </c>
    </row>
    <row r="228" spans="1:2" x14ac:dyDescent="0.3">
      <c r="A228" s="5">
        <v>42580</v>
      </c>
      <c r="B228">
        <v>30.25</v>
      </c>
    </row>
    <row r="229" spans="1:2" x14ac:dyDescent="0.3">
      <c r="A229" s="5">
        <v>42581</v>
      </c>
      <c r="B229">
        <v>30.25</v>
      </c>
    </row>
    <row r="230" spans="1:2" x14ac:dyDescent="0.3">
      <c r="A230" s="5">
        <v>42582</v>
      </c>
      <c r="B230">
        <v>30.25</v>
      </c>
    </row>
    <row r="231" spans="1:2" x14ac:dyDescent="0.3">
      <c r="A231" s="5">
        <v>42583</v>
      </c>
      <c r="B231">
        <v>30.25</v>
      </c>
    </row>
    <row r="232" spans="1:2" x14ac:dyDescent="0.3">
      <c r="A232" s="5">
        <v>42584</v>
      </c>
      <c r="B232">
        <v>30.25</v>
      </c>
    </row>
    <row r="233" spans="1:2" x14ac:dyDescent="0.3">
      <c r="A233" s="5">
        <v>42585</v>
      </c>
      <c r="B233">
        <v>30</v>
      </c>
    </row>
    <row r="234" spans="1:2" x14ac:dyDescent="0.3">
      <c r="A234" s="5">
        <v>42586</v>
      </c>
      <c r="B234">
        <v>30</v>
      </c>
    </row>
    <row r="235" spans="1:2" x14ac:dyDescent="0.3">
      <c r="A235" s="5">
        <v>42587</v>
      </c>
      <c r="B235">
        <v>30</v>
      </c>
    </row>
    <row r="236" spans="1:2" x14ac:dyDescent="0.3">
      <c r="A236" s="5">
        <v>42588</v>
      </c>
      <c r="B236">
        <v>30</v>
      </c>
    </row>
    <row r="237" spans="1:2" x14ac:dyDescent="0.3">
      <c r="A237" s="5">
        <v>42589</v>
      </c>
      <c r="B237">
        <v>30</v>
      </c>
    </row>
    <row r="238" spans="1:2" x14ac:dyDescent="0.3">
      <c r="A238" s="5">
        <v>42590</v>
      </c>
      <c r="B238">
        <v>30</v>
      </c>
    </row>
    <row r="239" spans="1:2" x14ac:dyDescent="0.3">
      <c r="A239" s="5">
        <v>42591</v>
      </c>
      <c r="B239">
        <v>30</v>
      </c>
    </row>
    <row r="240" spans="1:2" x14ac:dyDescent="0.3">
      <c r="A240" s="5">
        <v>42592</v>
      </c>
      <c r="B240">
        <v>29.75</v>
      </c>
    </row>
    <row r="241" spans="1:2" x14ac:dyDescent="0.3">
      <c r="A241" s="5">
        <v>42593</v>
      </c>
      <c r="B241">
        <v>29.75</v>
      </c>
    </row>
    <row r="242" spans="1:2" x14ac:dyDescent="0.3">
      <c r="A242" s="5">
        <v>42594</v>
      </c>
      <c r="B242">
        <v>29.75</v>
      </c>
    </row>
    <row r="243" spans="1:2" x14ac:dyDescent="0.3">
      <c r="A243" s="5">
        <v>42595</v>
      </c>
      <c r="B243">
        <v>29.75</v>
      </c>
    </row>
    <row r="244" spans="1:2" x14ac:dyDescent="0.3">
      <c r="A244" s="5">
        <v>42596</v>
      </c>
      <c r="B244">
        <v>29.75</v>
      </c>
    </row>
    <row r="245" spans="1:2" x14ac:dyDescent="0.3">
      <c r="A245" s="5">
        <v>42597</v>
      </c>
      <c r="B245">
        <v>29.75</v>
      </c>
    </row>
    <row r="246" spans="1:2" x14ac:dyDescent="0.3">
      <c r="A246" s="5">
        <v>42598</v>
      </c>
      <c r="B246">
        <v>29.75</v>
      </c>
    </row>
    <row r="247" spans="1:2" x14ac:dyDescent="0.3">
      <c r="A247" s="5">
        <v>42599</v>
      </c>
      <c r="B247">
        <v>29.25</v>
      </c>
    </row>
    <row r="248" spans="1:2" x14ac:dyDescent="0.3">
      <c r="A248" s="5">
        <v>42600</v>
      </c>
      <c r="B248">
        <v>29.25</v>
      </c>
    </row>
    <row r="249" spans="1:2" x14ac:dyDescent="0.3">
      <c r="A249" s="5">
        <v>42601</v>
      </c>
      <c r="B249">
        <v>29.25</v>
      </c>
    </row>
    <row r="250" spans="1:2" x14ac:dyDescent="0.3">
      <c r="A250" s="5">
        <v>42602</v>
      </c>
      <c r="B250">
        <v>29.25</v>
      </c>
    </row>
    <row r="251" spans="1:2" x14ac:dyDescent="0.3">
      <c r="A251" s="5">
        <v>42603</v>
      </c>
      <c r="B251">
        <v>29.25</v>
      </c>
    </row>
    <row r="252" spans="1:2" x14ac:dyDescent="0.3">
      <c r="A252" s="5">
        <v>42604</v>
      </c>
      <c r="B252">
        <v>29.25</v>
      </c>
    </row>
    <row r="253" spans="1:2" x14ac:dyDescent="0.3">
      <c r="A253" s="5">
        <v>42605</v>
      </c>
      <c r="B253">
        <v>29.25</v>
      </c>
    </row>
    <row r="254" spans="1:2" x14ac:dyDescent="0.3">
      <c r="A254" s="5">
        <v>42606</v>
      </c>
      <c r="B254">
        <v>28.75</v>
      </c>
    </row>
    <row r="255" spans="1:2" x14ac:dyDescent="0.3">
      <c r="A255" s="5">
        <v>42607</v>
      </c>
      <c r="B255">
        <v>28.75</v>
      </c>
    </row>
    <row r="256" spans="1:2" x14ac:dyDescent="0.3">
      <c r="A256" s="5">
        <v>42608</v>
      </c>
      <c r="B256">
        <v>28.75</v>
      </c>
    </row>
    <row r="257" spans="1:2" x14ac:dyDescent="0.3">
      <c r="A257" s="5">
        <v>42609</v>
      </c>
      <c r="B257">
        <v>28.75</v>
      </c>
    </row>
    <row r="258" spans="1:2" x14ac:dyDescent="0.3">
      <c r="A258" s="5">
        <v>42610</v>
      </c>
      <c r="B258">
        <v>28.75</v>
      </c>
    </row>
    <row r="259" spans="1:2" x14ac:dyDescent="0.3">
      <c r="A259" s="5">
        <v>42611</v>
      </c>
      <c r="B259">
        <v>28.75</v>
      </c>
    </row>
    <row r="260" spans="1:2" x14ac:dyDescent="0.3">
      <c r="A260" s="5">
        <v>42612</v>
      </c>
      <c r="B260">
        <v>28.75</v>
      </c>
    </row>
    <row r="261" spans="1:2" x14ac:dyDescent="0.3">
      <c r="A261" s="5">
        <v>42613</v>
      </c>
      <c r="B261">
        <v>28.25</v>
      </c>
    </row>
    <row r="262" spans="1:2" x14ac:dyDescent="0.3">
      <c r="A262" s="5">
        <v>42614</v>
      </c>
      <c r="B262">
        <v>28.25</v>
      </c>
    </row>
    <row r="263" spans="1:2" x14ac:dyDescent="0.3">
      <c r="A263" s="5">
        <v>42615</v>
      </c>
      <c r="B263">
        <v>28.25</v>
      </c>
    </row>
    <row r="264" spans="1:2" x14ac:dyDescent="0.3">
      <c r="A264" s="5">
        <v>42616</v>
      </c>
      <c r="B264">
        <v>28.25</v>
      </c>
    </row>
    <row r="265" spans="1:2" x14ac:dyDescent="0.3">
      <c r="A265" s="5">
        <v>42617</v>
      </c>
      <c r="B265">
        <v>28.25</v>
      </c>
    </row>
    <row r="266" spans="1:2" x14ac:dyDescent="0.3">
      <c r="A266" s="5">
        <v>42618</v>
      </c>
      <c r="B266">
        <v>28.25</v>
      </c>
    </row>
    <row r="267" spans="1:2" x14ac:dyDescent="0.3">
      <c r="A267" s="5">
        <v>42619</v>
      </c>
      <c r="B267">
        <v>28.25</v>
      </c>
    </row>
    <row r="268" spans="1:2" x14ac:dyDescent="0.3">
      <c r="A268" s="5">
        <v>42620</v>
      </c>
      <c r="B268">
        <v>27.75</v>
      </c>
    </row>
    <row r="269" spans="1:2" x14ac:dyDescent="0.3">
      <c r="A269" s="5">
        <v>42621</v>
      </c>
      <c r="B269">
        <v>27.75</v>
      </c>
    </row>
    <row r="270" spans="1:2" x14ac:dyDescent="0.3">
      <c r="A270" s="5">
        <v>42622</v>
      </c>
      <c r="B270">
        <v>27.75</v>
      </c>
    </row>
    <row r="271" spans="1:2" x14ac:dyDescent="0.3">
      <c r="A271" s="5">
        <v>42623</v>
      </c>
      <c r="B271">
        <v>27.75</v>
      </c>
    </row>
    <row r="272" spans="1:2" x14ac:dyDescent="0.3">
      <c r="A272" s="5">
        <v>42624</v>
      </c>
      <c r="B272">
        <v>27.75</v>
      </c>
    </row>
    <row r="273" spans="1:2" x14ac:dyDescent="0.3">
      <c r="A273" s="5">
        <v>42625</v>
      </c>
      <c r="B273">
        <v>27.75</v>
      </c>
    </row>
    <row r="274" spans="1:2" x14ac:dyDescent="0.3">
      <c r="A274" s="5">
        <v>42626</v>
      </c>
      <c r="B274">
        <v>27.75</v>
      </c>
    </row>
    <row r="275" spans="1:2" x14ac:dyDescent="0.3">
      <c r="A275" s="5">
        <v>42627</v>
      </c>
      <c r="B275">
        <v>27.25</v>
      </c>
    </row>
    <row r="276" spans="1:2" x14ac:dyDescent="0.3">
      <c r="A276" s="5">
        <v>42628</v>
      </c>
      <c r="B276">
        <v>27.25</v>
      </c>
    </row>
    <row r="277" spans="1:2" x14ac:dyDescent="0.3">
      <c r="A277" s="5">
        <v>42629</v>
      </c>
      <c r="B277">
        <v>27.25</v>
      </c>
    </row>
    <row r="278" spans="1:2" x14ac:dyDescent="0.3">
      <c r="A278" s="5">
        <v>42630</v>
      </c>
      <c r="B278">
        <v>27.25</v>
      </c>
    </row>
    <row r="279" spans="1:2" x14ac:dyDescent="0.3">
      <c r="A279" s="5">
        <v>42631</v>
      </c>
      <c r="B279">
        <v>27.25</v>
      </c>
    </row>
    <row r="280" spans="1:2" x14ac:dyDescent="0.3">
      <c r="A280" s="5">
        <v>42632</v>
      </c>
      <c r="B280">
        <v>27.25</v>
      </c>
    </row>
    <row r="281" spans="1:2" x14ac:dyDescent="0.3">
      <c r="A281" s="5">
        <v>42633</v>
      </c>
      <c r="B281">
        <v>27.25</v>
      </c>
    </row>
    <row r="282" spans="1:2" x14ac:dyDescent="0.3">
      <c r="A282" s="5">
        <v>42634</v>
      </c>
      <c r="B282">
        <v>26.75</v>
      </c>
    </row>
    <row r="283" spans="1:2" x14ac:dyDescent="0.3">
      <c r="A283" s="5">
        <v>42635</v>
      </c>
      <c r="B283">
        <v>26.75</v>
      </c>
    </row>
    <row r="284" spans="1:2" x14ac:dyDescent="0.3">
      <c r="A284" s="5">
        <v>42636</v>
      </c>
      <c r="B284">
        <v>26.75</v>
      </c>
    </row>
    <row r="285" spans="1:2" x14ac:dyDescent="0.3">
      <c r="A285" s="5">
        <v>42637</v>
      </c>
      <c r="B285">
        <v>26.75</v>
      </c>
    </row>
    <row r="286" spans="1:2" x14ac:dyDescent="0.3">
      <c r="A286" s="5">
        <v>42638</v>
      </c>
      <c r="B286">
        <v>26.75</v>
      </c>
    </row>
    <row r="287" spans="1:2" x14ac:dyDescent="0.3">
      <c r="A287" s="5">
        <v>42639</v>
      </c>
      <c r="B287">
        <v>26.75</v>
      </c>
    </row>
    <row r="288" spans="1:2" x14ac:dyDescent="0.3">
      <c r="A288" s="5">
        <v>42640</v>
      </c>
      <c r="B288">
        <v>26.75</v>
      </c>
    </row>
    <row r="289" spans="1:2" x14ac:dyDescent="0.3">
      <c r="A289" s="5">
        <v>42641</v>
      </c>
      <c r="B289">
        <v>26.75</v>
      </c>
    </row>
    <row r="290" spans="1:2" x14ac:dyDescent="0.3">
      <c r="A290" s="5">
        <v>42642</v>
      </c>
      <c r="B290">
        <v>26.75</v>
      </c>
    </row>
    <row r="291" spans="1:2" x14ac:dyDescent="0.3">
      <c r="A291" s="5">
        <v>42643</v>
      </c>
      <c r="B291">
        <v>26.75</v>
      </c>
    </row>
    <row r="292" spans="1:2" x14ac:dyDescent="0.3">
      <c r="A292" s="5">
        <v>42644</v>
      </c>
      <c r="B292">
        <v>26.75</v>
      </c>
    </row>
    <row r="293" spans="1:2" x14ac:dyDescent="0.3">
      <c r="A293" s="5">
        <v>42645</v>
      </c>
      <c r="B293">
        <v>26.75</v>
      </c>
    </row>
    <row r="294" spans="1:2" x14ac:dyDescent="0.3">
      <c r="A294" s="5">
        <v>42646</v>
      </c>
      <c r="B294">
        <v>26.75</v>
      </c>
    </row>
    <row r="295" spans="1:2" x14ac:dyDescent="0.3">
      <c r="A295" s="5">
        <v>42647</v>
      </c>
      <c r="B295">
        <v>26.75</v>
      </c>
    </row>
    <row r="296" spans="1:2" x14ac:dyDescent="0.3">
      <c r="A296" s="5">
        <v>42648</v>
      </c>
      <c r="B296">
        <v>26.75</v>
      </c>
    </row>
    <row r="297" spans="1:2" x14ac:dyDescent="0.3">
      <c r="A297" s="5">
        <v>42649</v>
      </c>
      <c r="B297">
        <v>26.75</v>
      </c>
    </row>
    <row r="298" spans="1:2" x14ac:dyDescent="0.3">
      <c r="A298" s="5">
        <v>42650</v>
      </c>
      <c r="B298">
        <v>26.75</v>
      </c>
    </row>
    <row r="299" spans="1:2" x14ac:dyDescent="0.3">
      <c r="A299" s="5">
        <v>42651</v>
      </c>
      <c r="B299">
        <v>26.75</v>
      </c>
    </row>
    <row r="300" spans="1:2" x14ac:dyDescent="0.3">
      <c r="A300" s="5">
        <v>42652</v>
      </c>
      <c r="B300">
        <v>26.75</v>
      </c>
    </row>
    <row r="301" spans="1:2" x14ac:dyDescent="0.3">
      <c r="A301" s="5">
        <v>42653</v>
      </c>
      <c r="B301">
        <v>26.75</v>
      </c>
    </row>
    <row r="302" spans="1:2" x14ac:dyDescent="0.3">
      <c r="A302" s="5">
        <v>42654</v>
      </c>
      <c r="B302">
        <v>26.75</v>
      </c>
    </row>
    <row r="303" spans="1:2" x14ac:dyDescent="0.3">
      <c r="A303" s="5">
        <v>42655</v>
      </c>
      <c r="B303">
        <v>26.75</v>
      </c>
    </row>
    <row r="304" spans="1:2" x14ac:dyDescent="0.3">
      <c r="A304" s="5">
        <v>42656</v>
      </c>
      <c r="B304">
        <v>26.75</v>
      </c>
    </row>
    <row r="305" spans="1:2" x14ac:dyDescent="0.3">
      <c r="A305" s="5">
        <v>42657</v>
      </c>
      <c r="B305">
        <v>26.75</v>
      </c>
    </row>
    <row r="306" spans="1:2" x14ac:dyDescent="0.3">
      <c r="A306" s="5">
        <v>42658</v>
      </c>
      <c r="B306">
        <v>26.75</v>
      </c>
    </row>
    <row r="307" spans="1:2" x14ac:dyDescent="0.3">
      <c r="A307" s="5">
        <v>42659</v>
      </c>
      <c r="B307">
        <v>26.75</v>
      </c>
    </row>
    <row r="308" spans="1:2" x14ac:dyDescent="0.3">
      <c r="A308" s="5">
        <v>42660</v>
      </c>
      <c r="B308">
        <v>26.75</v>
      </c>
    </row>
    <row r="309" spans="1:2" x14ac:dyDescent="0.3">
      <c r="A309" s="5">
        <v>42661</v>
      </c>
      <c r="B309">
        <v>26.75</v>
      </c>
    </row>
    <row r="310" spans="1:2" x14ac:dyDescent="0.3">
      <c r="A310" s="5">
        <v>42662</v>
      </c>
      <c r="B310">
        <v>26.75</v>
      </c>
    </row>
    <row r="311" spans="1:2" x14ac:dyDescent="0.3">
      <c r="A311" s="5">
        <v>42663</v>
      </c>
      <c r="B311">
        <v>26.75</v>
      </c>
    </row>
    <row r="312" spans="1:2" x14ac:dyDescent="0.3">
      <c r="A312" s="5">
        <v>42664</v>
      </c>
      <c r="B312">
        <v>26.75</v>
      </c>
    </row>
    <row r="313" spans="1:2" x14ac:dyDescent="0.3">
      <c r="A313" s="5">
        <v>42665</v>
      </c>
      <c r="B313">
        <v>26.75</v>
      </c>
    </row>
    <row r="314" spans="1:2" x14ac:dyDescent="0.3">
      <c r="A314" s="5">
        <v>42666</v>
      </c>
      <c r="B314">
        <v>26.75</v>
      </c>
    </row>
    <row r="315" spans="1:2" x14ac:dyDescent="0.3">
      <c r="A315" s="5">
        <v>42667</v>
      </c>
      <c r="B315">
        <v>26.75</v>
      </c>
    </row>
    <row r="316" spans="1:2" x14ac:dyDescent="0.3">
      <c r="A316" s="5">
        <v>42668</v>
      </c>
      <c r="B316">
        <v>26.75</v>
      </c>
    </row>
    <row r="317" spans="1:2" x14ac:dyDescent="0.3">
      <c r="A317" s="5">
        <v>42669</v>
      </c>
      <c r="B317">
        <v>26.75</v>
      </c>
    </row>
    <row r="318" spans="1:2" x14ac:dyDescent="0.3">
      <c r="A318" s="5">
        <v>42670</v>
      </c>
      <c r="B318">
        <v>26.75</v>
      </c>
    </row>
    <row r="319" spans="1:2" x14ac:dyDescent="0.3">
      <c r="A319" s="5">
        <v>42671</v>
      </c>
      <c r="B319">
        <v>26.75</v>
      </c>
    </row>
    <row r="320" spans="1:2" x14ac:dyDescent="0.3">
      <c r="A320" s="5">
        <v>42672</v>
      </c>
      <c r="B320">
        <v>26.75</v>
      </c>
    </row>
    <row r="321" spans="1:2" x14ac:dyDescent="0.3">
      <c r="A321" s="5">
        <v>42673</v>
      </c>
      <c r="B321">
        <v>26.75</v>
      </c>
    </row>
    <row r="322" spans="1:2" x14ac:dyDescent="0.3">
      <c r="A322" s="5">
        <v>42674</v>
      </c>
      <c r="B322">
        <v>26.75</v>
      </c>
    </row>
    <row r="323" spans="1:2" x14ac:dyDescent="0.3">
      <c r="A323" s="5">
        <v>42675</v>
      </c>
      <c r="B323">
        <v>26.75</v>
      </c>
    </row>
    <row r="324" spans="1:2" x14ac:dyDescent="0.3">
      <c r="A324" s="5">
        <v>42676</v>
      </c>
      <c r="B324">
        <v>26.75</v>
      </c>
    </row>
    <row r="325" spans="1:2" x14ac:dyDescent="0.3">
      <c r="A325" s="5">
        <v>42677</v>
      </c>
      <c r="B325">
        <v>26.75</v>
      </c>
    </row>
    <row r="326" spans="1:2" x14ac:dyDescent="0.3">
      <c r="A326" s="5">
        <v>42678</v>
      </c>
      <c r="B326">
        <v>26.75</v>
      </c>
    </row>
    <row r="327" spans="1:2" x14ac:dyDescent="0.3">
      <c r="A327" s="5">
        <v>42679</v>
      </c>
      <c r="B327">
        <v>26.75</v>
      </c>
    </row>
    <row r="328" spans="1:2" x14ac:dyDescent="0.3">
      <c r="A328" s="5">
        <v>42680</v>
      </c>
      <c r="B328">
        <v>26.75</v>
      </c>
    </row>
    <row r="329" spans="1:2" x14ac:dyDescent="0.3">
      <c r="A329" s="5">
        <v>42681</v>
      </c>
      <c r="B329">
        <v>26.75</v>
      </c>
    </row>
    <row r="330" spans="1:2" x14ac:dyDescent="0.3">
      <c r="A330" s="5">
        <v>42682</v>
      </c>
      <c r="B330">
        <v>26.75</v>
      </c>
    </row>
    <row r="331" spans="1:2" x14ac:dyDescent="0.3">
      <c r="A331" s="5">
        <v>42683</v>
      </c>
      <c r="B331">
        <v>26.25</v>
      </c>
    </row>
    <row r="332" spans="1:2" x14ac:dyDescent="0.3">
      <c r="A332" s="5">
        <v>42684</v>
      </c>
      <c r="B332">
        <v>26.25</v>
      </c>
    </row>
    <row r="333" spans="1:2" x14ac:dyDescent="0.3">
      <c r="A333" s="5">
        <v>42685</v>
      </c>
      <c r="B333">
        <v>26.25</v>
      </c>
    </row>
    <row r="334" spans="1:2" x14ac:dyDescent="0.3">
      <c r="A334" s="5">
        <v>42686</v>
      </c>
      <c r="B334">
        <v>26.25</v>
      </c>
    </row>
    <row r="335" spans="1:2" x14ac:dyDescent="0.3">
      <c r="A335" s="5">
        <v>42687</v>
      </c>
      <c r="B335">
        <v>26.25</v>
      </c>
    </row>
    <row r="336" spans="1:2" x14ac:dyDescent="0.3">
      <c r="A336" s="5">
        <v>42688</v>
      </c>
      <c r="B336">
        <v>26.25</v>
      </c>
    </row>
    <row r="337" spans="1:2" x14ac:dyDescent="0.3">
      <c r="A337" s="5">
        <v>42689</v>
      </c>
      <c r="B337">
        <v>26.25</v>
      </c>
    </row>
    <row r="338" spans="1:2" x14ac:dyDescent="0.3">
      <c r="A338" s="5">
        <v>42690</v>
      </c>
      <c r="B338">
        <v>25.75</v>
      </c>
    </row>
    <row r="339" spans="1:2" x14ac:dyDescent="0.3">
      <c r="A339" s="5">
        <v>42691</v>
      </c>
      <c r="B339">
        <v>25.75</v>
      </c>
    </row>
    <row r="340" spans="1:2" x14ac:dyDescent="0.3">
      <c r="A340" s="5">
        <v>42692</v>
      </c>
      <c r="B340">
        <v>25.75</v>
      </c>
    </row>
    <row r="341" spans="1:2" x14ac:dyDescent="0.3">
      <c r="A341" s="5">
        <v>42693</v>
      </c>
      <c r="B341">
        <v>25.75</v>
      </c>
    </row>
    <row r="342" spans="1:2" x14ac:dyDescent="0.3">
      <c r="A342" s="5">
        <v>42694</v>
      </c>
      <c r="B342">
        <v>25.75</v>
      </c>
    </row>
    <row r="343" spans="1:2" x14ac:dyDescent="0.3">
      <c r="A343" s="5">
        <v>42695</v>
      </c>
      <c r="B343">
        <v>25.75</v>
      </c>
    </row>
    <row r="344" spans="1:2" x14ac:dyDescent="0.3">
      <c r="A344" s="5">
        <v>42696</v>
      </c>
      <c r="B344">
        <v>25.75</v>
      </c>
    </row>
    <row r="345" spans="1:2" x14ac:dyDescent="0.3">
      <c r="A345" s="5">
        <v>42697</v>
      </c>
      <c r="B345">
        <v>25.25</v>
      </c>
    </row>
    <row r="346" spans="1:2" x14ac:dyDescent="0.3">
      <c r="A346" s="5">
        <v>42698</v>
      </c>
      <c r="B346">
        <v>25.25</v>
      </c>
    </row>
    <row r="347" spans="1:2" x14ac:dyDescent="0.3">
      <c r="A347" s="5">
        <v>42699</v>
      </c>
      <c r="B347">
        <v>25.25</v>
      </c>
    </row>
    <row r="348" spans="1:2" x14ac:dyDescent="0.3">
      <c r="A348" s="5">
        <v>42700</v>
      </c>
      <c r="B348">
        <v>25.25</v>
      </c>
    </row>
    <row r="349" spans="1:2" x14ac:dyDescent="0.3">
      <c r="A349" s="5">
        <v>42701</v>
      </c>
      <c r="B349">
        <v>25.25</v>
      </c>
    </row>
    <row r="350" spans="1:2" x14ac:dyDescent="0.3">
      <c r="A350" s="5">
        <v>42702</v>
      </c>
      <c r="B350">
        <v>25.25</v>
      </c>
    </row>
    <row r="351" spans="1:2" x14ac:dyDescent="0.3">
      <c r="A351" s="5">
        <v>42703</v>
      </c>
      <c r="B351">
        <v>25.25</v>
      </c>
    </row>
    <row r="352" spans="1:2" x14ac:dyDescent="0.3">
      <c r="A352" s="5">
        <v>42704</v>
      </c>
      <c r="B352">
        <v>24.75</v>
      </c>
    </row>
    <row r="353" spans="1:2" x14ac:dyDescent="0.3">
      <c r="A353" s="5">
        <v>42705</v>
      </c>
      <c r="B353">
        <v>24.75</v>
      </c>
    </row>
    <row r="354" spans="1:2" x14ac:dyDescent="0.3">
      <c r="A354" s="5">
        <v>42706</v>
      </c>
      <c r="B354">
        <v>24.75</v>
      </c>
    </row>
    <row r="355" spans="1:2" x14ac:dyDescent="0.3">
      <c r="A355" s="5">
        <v>42707</v>
      </c>
      <c r="B355">
        <v>24.75</v>
      </c>
    </row>
    <row r="356" spans="1:2" x14ac:dyDescent="0.3">
      <c r="A356" s="5">
        <v>42708</v>
      </c>
      <c r="B356">
        <v>24.75</v>
      </c>
    </row>
    <row r="357" spans="1:2" x14ac:dyDescent="0.3">
      <c r="A357" s="5">
        <v>42709</v>
      </c>
      <c r="B357">
        <v>24.75</v>
      </c>
    </row>
    <row r="358" spans="1:2" x14ac:dyDescent="0.3">
      <c r="A358" s="5">
        <v>42710</v>
      </c>
      <c r="B358">
        <v>24.75</v>
      </c>
    </row>
    <row r="359" spans="1:2" x14ac:dyDescent="0.3">
      <c r="A359" s="5">
        <v>42711</v>
      </c>
      <c r="B359">
        <v>24.75</v>
      </c>
    </row>
    <row r="360" spans="1:2" x14ac:dyDescent="0.3">
      <c r="A360" s="5">
        <v>42712</v>
      </c>
      <c r="B360">
        <v>24.75</v>
      </c>
    </row>
    <row r="361" spans="1:2" x14ac:dyDescent="0.3">
      <c r="A361" s="5">
        <v>42713</v>
      </c>
      <c r="B361">
        <v>24.75</v>
      </c>
    </row>
    <row r="362" spans="1:2" x14ac:dyDescent="0.3">
      <c r="A362" s="5">
        <v>42714</v>
      </c>
      <c r="B362">
        <v>24.75</v>
      </c>
    </row>
    <row r="363" spans="1:2" x14ac:dyDescent="0.3">
      <c r="A363" s="5">
        <v>42715</v>
      </c>
      <c r="B363">
        <v>24.75</v>
      </c>
    </row>
    <row r="364" spans="1:2" x14ac:dyDescent="0.3">
      <c r="A364" s="5">
        <v>42716</v>
      </c>
      <c r="B364">
        <v>24.75</v>
      </c>
    </row>
    <row r="365" spans="1:2" x14ac:dyDescent="0.3">
      <c r="A365" s="5">
        <v>42717</v>
      </c>
      <c r="B365">
        <v>24.75</v>
      </c>
    </row>
    <row r="366" spans="1:2" x14ac:dyDescent="0.3">
      <c r="A366" s="5">
        <v>42718</v>
      </c>
      <c r="B366">
        <v>24.75</v>
      </c>
    </row>
    <row r="367" spans="1:2" x14ac:dyDescent="0.3">
      <c r="A367" s="5">
        <v>42719</v>
      </c>
      <c r="B367">
        <v>24.75</v>
      </c>
    </row>
    <row r="368" spans="1:2" x14ac:dyDescent="0.3">
      <c r="A368" s="5">
        <v>42720</v>
      </c>
      <c r="B368">
        <v>24.75</v>
      </c>
    </row>
    <row r="369" spans="1:2" x14ac:dyDescent="0.3">
      <c r="A369" s="5">
        <v>42721</v>
      </c>
      <c r="B369">
        <v>24.75</v>
      </c>
    </row>
    <row r="370" spans="1:2" x14ac:dyDescent="0.3">
      <c r="A370" s="5">
        <v>42722</v>
      </c>
      <c r="B370">
        <v>24.75</v>
      </c>
    </row>
    <row r="371" spans="1:2" x14ac:dyDescent="0.3">
      <c r="A371" s="5">
        <v>42723</v>
      </c>
      <c r="B371">
        <v>24.75</v>
      </c>
    </row>
    <row r="372" spans="1:2" x14ac:dyDescent="0.3">
      <c r="A372" s="5">
        <v>42724</v>
      </c>
      <c r="B372">
        <v>24.75</v>
      </c>
    </row>
    <row r="373" spans="1:2" x14ac:dyDescent="0.3">
      <c r="A373" s="5">
        <v>42725</v>
      </c>
      <c r="B373">
        <v>24.75</v>
      </c>
    </row>
    <row r="374" spans="1:2" x14ac:dyDescent="0.3">
      <c r="A374" s="5">
        <v>42726</v>
      </c>
      <c r="B374">
        <v>24.75</v>
      </c>
    </row>
    <row r="375" spans="1:2" x14ac:dyDescent="0.3">
      <c r="A375" s="5">
        <v>42727</v>
      </c>
      <c r="B375">
        <v>24.75</v>
      </c>
    </row>
    <row r="376" spans="1:2" x14ac:dyDescent="0.3">
      <c r="A376" s="5">
        <v>42728</v>
      </c>
      <c r="B376">
        <v>24.75</v>
      </c>
    </row>
    <row r="377" spans="1:2" x14ac:dyDescent="0.3">
      <c r="A377" s="5">
        <v>42729</v>
      </c>
      <c r="B377">
        <v>24.75</v>
      </c>
    </row>
    <row r="378" spans="1:2" x14ac:dyDescent="0.3">
      <c r="A378" s="5">
        <v>42730</v>
      </c>
      <c r="B378">
        <v>24.75</v>
      </c>
    </row>
    <row r="379" spans="1:2" x14ac:dyDescent="0.3">
      <c r="A379" s="5">
        <v>42731</v>
      </c>
      <c r="B379">
        <v>24.75</v>
      </c>
    </row>
    <row r="380" spans="1:2" x14ac:dyDescent="0.3">
      <c r="A380" s="5">
        <v>42732</v>
      </c>
      <c r="B380">
        <v>24.75</v>
      </c>
    </row>
    <row r="381" spans="1:2" x14ac:dyDescent="0.3">
      <c r="A381" s="5">
        <v>42733</v>
      </c>
      <c r="B381">
        <v>24.75</v>
      </c>
    </row>
    <row r="382" spans="1:2" x14ac:dyDescent="0.3">
      <c r="A382" s="5">
        <v>42734</v>
      </c>
      <c r="B382">
        <v>24.75</v>
      </c>
    </row>
    <row r="383" spans="1:2" x14ac:dyDescent="0.3">
      <c r="A383" s="5">
        <v>42735</v>
      </c>
      <c r="B383">
        <v>24.75</v>
      </c>
    </row>
    <row r="384" spans="1:2" x14ac:dyDescent="0.3">
      <c r="A384" s="5">
        <v>42736</v>
      </c>
      <c r="B384">
        <v>24.75</v>
      </c>
    </row>
    <row r="385" spans="1:2" x14ac:dyDescent="0.3">
      <c r="A385" s="5">
        <v>42737</v>
      </c>
      <c r="B385">
        <v>24.75</v>
      </c>
    </row>
    <row r="386" spans="1:2" x14ac:dyDescent="0.3">
      <c r="A386" s="5">
        <v>42738</v>
      </c>
      <c r="B386">
        <v>24.75</v>
      </c>
    </row>
    <row r="387" spans="1:2" x14ac:dyDescent="0.3">
      <c r="A387" s="5">
        <v>42739</v>
      </c>
      <c r="B387">
        <v>24.75</v>
      </c>
    </row>
    <row r="388" spans="1:2" x14ac:dyDescent="0.3">
      <c r="A388" s="5">
        <v>42740</v>
      </c>
      <c r="B388">
        <v>24.75</v>
      </c>
    </row>
    <row r="389" spans="1:2" x14ac:dyDescent="0.3">
      <c r="A389" s="5">
        <v>42741</v>
      </c>
      <c r="B389">
        <v>24.75</v>
      </c>
    </row>
    <row r="390" spans="1:2" x14ac:dyDescent="0.3">
      <c r="A390" s="5">
        <v>42742</v>
      </c>
      <c r="B390">
        <v>24.75</v>
      </c>
    </row>
    <row r="391" spans="1:2" x14ac:dyDescent="0.3">
      <c r="A391" s="5">
        <v>42743</v>
      </c>
      <c r="B391">
        <v>24.75</v>
      </c>
    </row>
    <row r="392" spans="1:2" x14ac:dyDescent="0.3">
      <c r="A392" s="5">
        <v>42744</v>
      </c>
      <c r="B392">
        <v>24.75</v>
      </c>
    </row>
    <row r="393" spans="1:2" x14ac:dyDescent="0.3">
      <c r="A393" s="5">
        <v>42745</v>
      </c>
      <c r="B393">
        <v>24.75</v>
      </c>
    </row>
    <row r="394" spans="1:2" x14ac:dyDescent="0.3">
      <c r="A394" s="5">
        <v>42746</v>
      </c>
      <c r="B394">
        <v>24.75</v>
      </c>
    </row>
    <row r="395" spans="1:2" x14ac:dyDescent="0.3">
      <c r="A395" s="5">
        <v>42747</v>
      </c>
      <c r="B395">
        <v>24.75</v>
      </c>
    </row>
    <row r="396" spans="1:2" x14ac:dyDescent="0.3">
      <c r="A396" s="5">
        <v>42748</v>
      </c>
      <c r="B396">
        <v>24.75</v>
      </c>
    </row>
    <row r="397" spans="1:2" x14ac:dyDescent="0.3">
      <c r="A397" s="5">
        <v>42749</v>
      </c>
      <c r="B397">
        <v>24.75</v>
      </c>
    </row>
    <row r="398" spans="1:2" x14ac:dyDescent="0.3">
      <c r="A398" s="5">
        <v>42750</v>
      </c>
      <c r="B398">
        <v>24.75</v>
      </c>
    </row>
    <row r="399" spans="1:2" x14ac:dyDescent="0.3">
      <c r="A399" s="5">
        <v>42751</v>
      </c>
      <c r="B399">
        <v>24.75</v>
      </c>
    </row>
    <row r="400" spans="1:2" x14ac:dyDescent="0.3">
      <c r="A400" s="5">
        <v>42752</v>
      </c>
      <c r="B400">
        <v>24.75</v>
      </c>
    </row>
    <row r="401" spans="1:2" x14ac:dyDescent="0.3">
      <c r="A401" s="5">
        <v>42753</v>
      </c>
      <c r="B401">
        <v>24.75</v>
      </c>
    </row>
    <row r="402" spans="1:2" x14ac:dyDescent="0.3">
      <c r="A402" s="5">
        <v>42754</v>
      </c>
      <c r="B402">
        <v>24.75</v>
      </c>
    </row>
    <row r="403" spans="1:2" x14ac:dyDescent="0.3">
      <c r="A403" s="5">
        <v>42755</v>
      </c>
      <c r="B403">
        <v>24.75</v>
      </c>
    </row>
    <row r="404" spans="1:2" x14ac:dyDescent="0.3">
      <c r="A404" s="5">
        <v>42756</v>
      </c>
      <c r="B404">
        <v>24.75</v>
      </c>
    </row>
    <row r="405" spans="1:2" x14ac:dyDescent="0.3">
      <c r="A405" s="5">
        <v>42757</v>
      </c>
      <c r="B405">
        <v>24.75</v>
      </c>
    </row>
    <row r="406" spans="1:2" x14ac:dyDescent="0.3">
      <c r="A406" s="5">
        <v>42758</v>
      </c>
      <c r="B406">
        <v>24.75</v>
      </c>
    </row>
    <row r="407" spans="1:2" x14ac:dyDescent="0.3">
      <c r="A407" s="5">
        <v>42759</v>
      </c>
      <c r="B407">
        <v>24.75</v>
      </c>
    </row>
    <row r="408" spans="1:2" x14ac:dyDescent="0.3">
      <c r="A408" s="5">
        <v>42760</v>
      </c>
      <c r="B408">
        <v>24.75</v>
      </c>
    </row>
    <row r="409" spans="1:2" x14ac:dyDescent="0.3">
      <c r="A409" s="5">
        <v>42761</v>
      </c>
      <c r="B409">
        <v>24.75</v>
      </c>
    </row>
    <row r="410" spans="1:2" x14ac:dyDescent="0.3">
      <c r="A410" s="5">
        <v>42762</v>
      </c>
      <c r="B410">
        <v>24.75</v>
      </c>
    </row>
    <row r="411" spans="1:2" x14ac:dyDescent="0.3">
      <c r="A411" s="5">
        <v>42763</v>
      </c>
      <c r="B411">
        <v>24.75</v>
      </c>
    </row>
    <row r="412" spans="1:2" x14ac:dyDescent="0.3">
      <c r="A412" s="5">
        <v>42764</v>
      </c>
      <c r="B412">
        <v>24.75</v>
      </c>
    </row>
    <row r="413" spans="1:2" x14ac:dyDescent="0.3">
      <c r="A413" s="5">
        <v>42765</v>
      </c>
      <c r="B413">
        <v>24.75</v>
      </c>
    </row>
    <row r="414" spans="1:2" x14ac:dyDescent="0.3">
      <c r="A414" s="5">
        <v>42766</v>
      </c>
      <c r="B414">
        <v>24.75</v>
      </c>
    </row>
    <row r="415" spans="1:2" x14ac:dyDescent="0.3">
      <c r="A415" s="5">
        <v>42767</v>
      </c>
      <c r="B415">
        <v>24.75</v>
      </c>
    </row>
    <row r="416" spans="1:2" x14ac:dyDescent="0.3">
      <c r="A416" s="5">
        <v>42768</v>
      </c>
      <c r="B416">
        <v>24.75</v>
      </c>
    </row>
    <row r="417" spans="1:2" x14ac:dyDescent="0.3">
      <c r="A417" s="5">
        <v>42769</v>
      </c>
      <c r="B417">
        <v>24.75</v>
      </c>
    </row>
    <row r="418" spans="1:2" x14ac:dyDescent="0.3">
      <c r="A418" s="5">
        <v>42770</v>
      </c>
      <c r="B418">
        <v>24.75</v>
      </c>
    </row>
    <row r="419" spans="1:2" x14ac:dyDescent="0.3">
      <c r="A419" s="5">
        <v>42771</v>
      </c>
      <c r="B419">
        <v>24.75</v>
      </c>
    </row>
    <row r="420" spans="1:2" x14ac:dyDescent="0.3">
      <c r="A420" s="5">
        <v>42772</v>
      </c>
      <c r="B420">
        <v>24.75</v>
      </c>
    </row>
    <row r="421" spans="1:2" x14ac:dyDescent="0.3">
      <c r="A421" s="5">
        <v>42773</v>
      </c>
      <c r="B421">
        <v>24.75</v>
      </c>
    </row>
    <row r="422" spans="1:2" x14ac:dyDescent="0.3">
      <c r="A422" s="5">
        <v>42774</v>
      </c>
      <c r="B422">
        <v>24.75</v>
      </c>
    </row>
    <row r="423" spans="1:2" x14ac:dyDescent="0.3">
      <c r="A423" s="5">
        <v>42775</v>
      </c>
      <c r="B423">
        <v>24.75</v>
      </c>
    </row>
    <row r="424" spans="1:2" x14ac:dyDescent="0.3">
      <c r="A424" s="5">
        <v>42776</v>
      </c>
      <c r="B424">
        <v>24.75</v>
      </c>
    </row>
    <row r="425" spans="1:2" x14ac:dyDescent="0.3">
      <c r="A425" s="5">
        <v>42777</v>
      </c>
      <c r="B425">
        <v>24.75</v>
      </c>
    </row>
    <row r="426" spans="1:2" x14ac:dyDescent="0.3">
      <c r="A426" s="5">
        <v>42778</v>
      </c>
      <c r="B426">
        <v>24.75</v>
      </c>
    </row>
    <row r="427" spans="1:2" x14ac:dyDescent="0.3">
      <c r="A427" s="5">
        <v>42779</v>
      </c>
      <c r="B427">
        <v>24.75</v>
      </c>
    </row>
    <row r="428" spans="1:2" x14ac:dyDescent="0.3">
      <c r="A428" s="5">
        <v>42780</v>
      </c>
      <c r="B428">
        <v>24.75</v>
      </c>
    </row>
    <row r="429" spans="1:2" x14ac:dyDescent="0.3">
      <c r="A429" s="5">
        <v>42781</v>
      </c>
      <c r="B429">
        <v>24.75</v>
      </c>
    </row>
    <row r="430" spans="1:2" x14ac:dyDescent="0.3">
      <c r="A430" s="5">
        <v>42782</v>
      </c>
      <c r="B430">
        <v>24.75</v>
      </c>
    </row>
    <row r="431" spans="1:2" x14ac:dyDescent="0.3">
      <c r="A431" s="5">
        <v>42783</v>
      </c>
      <c r="B431">
        <v>24.75</v>
      </c>
    </row>
    <row r="432" spans="1:2" x14ac:dyDescent="0.3">
      <c r="A432" s="5">
        <v>42784</v>
      </c>
      <c r="B432">
        <v>24.75</v>
      </c>
    </row>
    <row r="433" spans="1:2" x14ac:dyDescent="0.3">
      <c r="A433" s="5">
        <v>42785</v>
      </c>
      <c r="B433">
        <v>24.75</v>
      </c>
    </row>
    <row r="434" spans="1:2" x14ac:dyDescent="0.3">
      <c r="A434" s="5">
        <v>42786</v>
      </c>
      <c r="B434">
        <v>24.75</v>
      </c>
    </row>
    <row r="435" spans="1:2" x14ac:dyDescent="0.3">
      <c r="A435" s="5">
        <v>42787</v>
      </c>
      <c r="B435">
        <v>24.75</v>
      </c>
    </row>
    <row r="436" spans="1:2" x14ac:dyDescent="0.3">
      <c r="A436" s="5">
        <v>42788</v>
      </c>
      <c r="B436">
        <v>24.75</v>
      </c>
    </row>
    <row r="437" spans="1:2" x14ac:dyDescent="0.3">
      <c r="A437" s="5">
        <v>42789</v>
      </c>
      <c r="B437">
        <v>24.75</v>
      </c>
    </row>
    <row r="438" spans="1:2" x14ac:dyDescent="0.3">
      <c r="A438" s="5">
        <v>42790</v>
      </c>
      <c r="B438">
        <v>24.75</v>
      </c>
    </row>
    <row r="439" spans="1:2" x14ac:dyDescent="0.3">
      <c r="A439" s="5">
        <v>42791</v>
      </c>
      <c r="B439">
        <v>24.75</v>
      </c>
    </row>
    <row r="440" spans="1:2" x14ac:dyDescent="0.3">
      <c r="A440" s="5">
        <v>42792</v>
      </c>
      <c r="B440">
        <v>24.75</v>
      </c>
    </row>
    <row r="441" spans="1:2" x14ac:dyDescent="0.3">
      <c r="A441" s="5">
        <v>42793</v>
      </c>
      <c r="B441">
        <v>24.75</v>
      </c>
    </row>
    <row r="442" spans="1:2" x14ac:dyDescent="0.3">
      <c r="A442" s="5">
        <v>42794</v>
      </c>
      <c r="B442">
        <v>24.75</v>
      </c>
    </row>
    <row r="443" spans="1:2" x14ac:dyDescent="0.3">
      <c r="A443" s="5">
        <v>42795</v>
      </c>
      <c r="B443">
        <v>24.75</v>
      </c>
    </row>
    <row r="444" spans="1:2" x14ac:dyDescent="0.3">
      <c r="A444" s="5">
        <v>42796</v>
      </c>
      <c r="B444">
        <v>24.75</v>
      </c>
    </row>
    <row r="445" spans="1:2" x14ac:dyDescent="0.3">
      <c r="A445" s="5">
        <v>42797</v>
      </c>
      <c r="B445">
        <v>24.75</v>
      </c>
    </row>
    <row r="446" spans="1:2" x14ac:dyDescent="0.3">
      <c r="A446" s="5">
        <v>42798</v>
      </c>
      <c r="B446">
        <v>24.75</v>
      </c>
    </row>
    <row r="447" spans="1:2" x14ac:dyDescent="0.3">
      <c r="A447" s="5">
        <v>42799</v>
      </c>
      <c r="B447">
        <v>24.75</v>
      </c>
    </row>
    <row r="448" spans="1:2" x14ac:dyDescent="0.3">
      <c r="A448" s="5">
        <v>42800</v>
      </c>
      <c r="B448">
        <v>24.75</v>
      </c>
    </row>
    <row r="449" spans="1:2" x14ac:dyDescent="0.3">
      <c r="A449" s="5">
        <v>42801</v>
      </c>
      <c r="B449">
        <v>24.75</v>
      </c>
    </row>
    <row r="450" spans="1:2" x14ac:dyDescent="0.3">
      <c r="A450" s="5">
        <v>42802</v>
      </c>
      <c r="B450">
        <v>24.75</v>
      </c>
    </row>
    <row r="451" spans="1:2" x14ac:dyDescent="0.3">
      <c r="A451" s="5">
        <v>42803</v>
      </c>
      <c r="B451">
        <v>24.75</v>
      </c>
    </row>
    <row r="452" spans="1:2" x14ac:dyDescent="0.3">
      <c r="A452" s="5">
        <v>42804</v>
      </c>
      <c r="B452">
        <v>24.75</v>
      </c>
    </row>
    <row r="453" spans="1:2" x14ac:dyDescent="0.3">
      <c r="A453" s="5">
        <v>42805</v>
      </c>
      <c r="B453">
        <v>24.75</v>
      </c>
    </row>
    <row r="454" spans="1:2" x14ac:dyDescent="0.3">
      <c r="A454" s="5">
        <v>42806</v>
      </c>
      <c r="B454">
        <v>24.75</v>
      </c>
    </row>
    <row r="455" spans="1:2" x14ac:dyDescent="0.3">
      <c r="A455" s="5">
        <v>42807</v>
      </c>
      <c r="B455">
        <v>24.75</v>
      </c>
    </row>
    <row r="456" spans="1:2" x14ac:dyDescent="0.3">
      <c r="A456" s="5">
        <v>42808</v>
      </c>
      <c r="B456">
        <v>24.75</v>
      </c>
    </row>
    <row r="457" spans="1:2" x14ac:dyDescent="0.3">
      <c r="A457" s="5">
        <v>42809</v>
      </c>
      <c r="B457">
        <v>24.75</v>
      </c>
    </row>
    <row r="458" spans="1:2" x14ac:dyDescent="0.3">
      <c r="A458" s="5">
        <v>42810</v>
      </c>
      <c r="B458">
        <v>24.75</v>
      </c>
    </row>
    <row r="459" spans="1:2" x14ac:dyDescent="0.3">
      <c r="A459" s="5">
        <v>42811</v>
      </c>
      <c r="B459">
        <v>24.75</v>
      </c>
    </row>
    <row r="460" spans="1:2" x14ac:dyDescent="0.3">
      <c r="A460" s="5">
        <v>42812</v>
      </c>
      <c r="B460">
        <v>24.75</v>
      </c>
    </row>
    <row r="461" spans="1:2" x14ac:dyDescent="0.3">
      <c r="A461" s="5">
        <v>42813</v>
      </c>
      <c r="B461">
        <v>24.75</v>
      </c>
    </row>
    <row r="462" spans="1:2" x14ac:dyDescent="0.3">
      <c r="A462" s="5">
        <v>42814</v>
      </c>
      <c r="B462">
        <v>24.75</v>
      </c>
    </row>
    <row r="463" spans="1:2" x14ac:dyDescent="0.3">
      <c r="A463" s="5">
        <v>42815</v>
      </c>
      <c r="B463">
        <v>24.75</v>
      </c>
    </row>
    <row r="464" spans="1:2" x14ac:dyDescent="0.3">
      <c r="A464" s="5">
        <v>42816</v>
      </c>
      <c r="B464">
        <v>24.75</v>
      </c>
    </row>
    <row r="465" spans="1:2" x14ac:dyDescent="0.3">
      <c r="A465" s="5">
        <v>42817</v>
      </c>
      <c r="B465">
        <v>24.75</v>
      </c>
    </row>
    <row r="466" spans="1:2" x14ac:dyDescent="0.3">
      <c r="A466" s="5">
        <v>42818</v>
      </c>
      <c r="B466">
        <v>24.75</v>
      </c>
    </row>
    <row r="467" spans="1:2" x14ac:dyDescent="0.3">
      <c r="A467" s="5">
        <v>42819</v>
      </c>
      <c r="B467">
        <v>24.75</v>
      </c>
    </row>
    <row r="468" spans="1:2" x14ac:dyDescent="0.3">
      <c r="A468" s="5">
        <v>42820</v>
      </c>
      <c r="B468">
        <v>24.75</v>
      </c>
    </row>
    <row r="469" spans="1:2" x14ac:dyDescent="0.3">
      <c r="A469" s="5">
        <v>42821</v>
      </c>
      <c r="B469">
        <v>24.75</v>
      </c>
    </row>
    <row r="470" spans="1:2" x14ac:dyDescent="0.3">
      <c r="A470" s="5">
        <v>42822</v>
      </c>
      <c r="B470">
        <v>24.75</v>
      </c>
    </row>
    <row r="471" spans="1:2" x14ac:dyDescent="0.3">
      <c r="A471" s="5">
        <v>42823</v>
      </c>
      <c r="B471">
        <v>24.75</v>
      </c>
    </row>
    <row r="472" spans="1:2" x14ac:dyDescent="0.3">
      <c r="A472" s="5">
        <v>42824</v>
      </c>
      <c r="B472">
        <v>24.75</v>
      </c>
    </row>
    <row r="473" spans="1:2" x14ac:dyDescent="0.3">
      <c r="A473" s="5">
        <v>42825</v>
      </c>
      <c r="B473">
        <v>24.75</v>
      </c>
    </row>
    <row r="474" spans="1:2" x14ac:dyDescent="0.3">
      <c r="A474" s="5">
        <v>42826</v>
      </c>
      <c r="B474">
        <v>24.75</v>
      </c>
    </row>
    <row r="475" spans="1:2" x14ac:dyDescent="0.3">
      <c r="A475" s="5">
        <v>42827</v>
      </c>
      <c r="B475">
        <v>24.75</v>
      </c>
    </row>
    <row r="476" spans="1:2" x14ac:dyDescent="0.3">
      <c r="A476" s="5">
        <v>42828</v>
      </c>
      <c r="B476">
        <v>24.75</v>
      </c>
    </row>
    <row r="477" spans="1:2" x14ac:dyDescent="0.3">
      <c r="A477" s="5">
        <v>42829</v>
      </c>
      <c r="B477">
        <v>24.75</v>
      </c>
    </row>
    <row r="478" spans="1:2" x14ac:dyDescent="0.3">
      <c r="A478" s="5">
        <v>42830</v>
      </c>
      <c r="B478">
        <v>24.75</v>
      </c>
    </row>
    <row r="479" spans="1:2" x14ac:dyDescent="0.3">
      <c r="A479" s="5">
        <v>42831</v>
      </c>
      <c r="B479">
        <v>24.75</v>
      </c>
    </row>
    <row r="480" spans="1:2" x14ac:dyDescent="0.3">
      <c r="A480" s="5">
        <v>42832</v>
      </c>
      <c r="B480">
        <v>24.75</v>
      </c>
    </row>
    <row r="481" spans="1:2" x14ac:dyDescent="0.3">
      <c r="A481" s="5">
        <v>42833</v>
      </c>
      <c r="B481">
        <v>24.75</v>
      </c>
    </row>
    <row r="482" spans="1:2" x14ac:dyDescent="0.3">
      <c r="A482" s="5">
        <v>42834</v>
      </c>
      <c r="B482">
        <v>24.75</v>
      </c>
    </row>
    <row r="483" spans="1:2" x14ac:dyDescent="0.3">
      <c r="A483" s="5">
        <v>42835</v>
      </c>
      <c r="B483">
        <v>24.75</v>
      </c>
    </row>
    <row r="484" spans="1:2" x14ac:dyDescent="0.3">
      <c r="A484" s="5">
        <v>42836</v>
      </c>
      <c r="B484">
        <v>24.75</v>
      </c>
    </row>
    <row r="485" spans="1:2" x14ac:dyDescent="0.3">
      <c r="A485" s="5">
        <v>42837</v>
      </c>
      <c r="B485">
        <v>26.25</v>
      </c>
    </row>
    <row r="486" spans="1:2" x14ac:dyDescent="0.3">
      <c r="A486" s="5">
        <v>42838</v>
      </c>
      <c r="B486">
        <v>26.25</v>
      </c>
    </row>
    <row r="487" spans="1:2" x14ac:dyDescent="0.3">
      <c r="A487" s="5">
        <v>42839</v>
      </c>
      <c r="B487">
        <v>26.25</v>
      </c>
    </row>
    <row r="488" spans="1:2" x14ac:dyDescent="0.3">
      <c r="A488" s="5">
        <v>42840</v>
      </c>
      <c r="B488">
        <v>26.25</v>
      </c>
    </row>
    <row r="489" spans="1:2" x14ac:dyDescent="0.3">
      <c r="A489" s="5">
        <v>42841</v>
      </c>
      <c r="B489">
        <v>26.25</v>
      </c>
    </row>
    <row r="490" spans="1:2" x14ac:dyDescent="0.3">
      <c r="A490" s="5">
        <v>42842</v>
      </c>
      <c r="B490">
        <v>26.25</v>
      </c>
    </row>
    <row r="491" spans="1:2" x14ac:dyDescent="0.3">
      <c r="A491" s="5">
        <v>42843</v>
      </c>
      <c r="B491">
        <v>26.25</v>
      </c>
    </row>
    <row r="492" spans="1:2" x14ac:dyDescent="0.3">
      <c r="A492" s="5">
        <v>42844</v>
      </c>
      <c r="B492">
        <v>26.25</v>
      </c>
    </row>
    <row r="493" spans="1:2" x14ac:dyDescent="0.3">
      <c r="A493" s="5">
        <v>42845</v>
      </c>
      <c r="B493">
        <v>26.25</v>
      </c>
    </row>
    <row r="494" spans="1:2" x14ac:dyDescent="0.3">
      <c r="A494" s="5">
        <v>42846</v>
      </c>
      <c r="B494">
        <v>26.25</v>
      </c>
    </row>
    <row r="495" spans="1:2" x14ac:dyDescent="0.3">
      <c r="A495" s="5">
        <v>42847</v>
      </c>
      <c r="B495">
        <v>26.25</v>
      </c>
    </row>
    <row r="496" spans="1:2" x14ac:dyDescent="0.3">
      <c r="A496" s="5">
        <v>42848</v>
      </c>
      <c r="B496">
        <v>26.25</v>
      </c>
    </row>
    <row r="497" spans="1:2" x14ac:dyDescent="0.3">
      <c r="A497" s="5">
        <v>42849</v>
      </c>
      <c r="B497">
        <v>26.25</v>
      </c>
    </row>
    <row r="498" spans="1:2" x14ac:dyDescent="0.3">
      <c r="A498" s="5">
        <v>42850</v>
      </c>
      <c r="B498">
        <v>26.25</v>
      </c>
    </row>
    <row r="499" spans="1:2" x14ac:dyDescent="0.3">
      <c r="A499" s="5">
        <v>42851</v>
      </c>
      <c r="B499">
        <v>26.25</v>
      </c>
    </row>
    <row r="500" spans="1:2" x14ac:dyDescent="0.3">
      <c r="A500" s="5">
        <v>42852</v>
      </c>
      <c r="B500">
        <v>26.25</v>
      </c>
    </row>
    <row r="501" spans="1:2" x14ac:dyDescent="0.3">
      <c r="A501" s="5">
        <v>42853</v>
      </c>
      <c r="B501">
        <v>26.25</v>
      </c>
    </row>
    <row r="502" spans="1:2" x14ac:dyDescent="0.3">
      <c r="A502" s="5">
        <v>42854</v>
      </c>
      <c r="B502">
        <v>26.25</v>
      </c>
    </row>
    <row r="503" spans="1:2" x14ac:dyDescent="0.3">
      <c r="A503" s="5">
        <v>42855</v>
      </c>
      <c r="B503">
        <v>26.25</v>
      </c>
    </row>
    <row r="504" spans="1:2" x14ac:dyDescent="0.3">
      <c r="A504" s="5">
        <v>42856</v>
      </c>
      <c r="B504">
        <v>26.25</v>
      </c>
    </row>
    <row r="505" spans="1:2" x14ac:dyDescent="0.3">
      <c r="A505" s="5">
        <v>42857</v>
      </c>
      <c r="B505">
        <v>26.25</v>
      </c>
    </row>
    <row r="506" spans="1:2" x14ac:dyDescent="0.3">
      <c r="A506" s="5">
        <v>42858</v>
      </c>
      <c r="B506">
        <v>26.25</v>
      </c>
    </row>
    <row r="507" spans="1:2" x14ac:dyDescent="0.3">
      <c r="A507" s="5">
        <v>42859</v>
      </c>
      <c r="B507">
        <v>26.25</v>
      </c>
    </row>
    <row r="508" spans="1:2" x14ac:dyDescent="0.3">
      <c r="A508" s="5">
        <v>42860</v>
      </c>
      <c r="B508">
        <v>26.25</v>
      </c>
    </row>
    <row r="509" spans="1:2" x14ac:dyDescent="0.3">
      <c r="A509" s="5">
        <v>42861</v>
      </c>
      <c r="B509">
        <v>26.25</v>
      </c>
    </row>
    <row r="510" spans="1:2" x14ac:dyDescent="0.3">
      <c r="A510" s="5">
        <v>42862</v>
      </c>
      <c r="B510">
        <v>26.25</v>
      </c>
    </row>
    <row r="511" spans="1:2" x14ac:dyDescent="0.3">
      <c r="A511" s="5">
        <v>42863</v>
      </c>
      <c r="B511">
        <v>26.25</v>
      </c>
    </row>
    <row r="512" spans="1:2" x14ac:dyDescent="0.3">
      <c r="A512" s="5">
        <v>42864</v>
      </c>
      <c r="B512">
        <v>26.25</v>
      </c>
    </row>
    <row r="513" spans="1:2" x14ac:dyDescent="0.3">
      <c r="A513" s="5">
        <v>42865</v>
      </c>
      <c r="B513">
        <v>26.25</v>
      </c>
    </row>
    <row r="514" spans="1:2" x14ac:dyDescent="0.3">
      <c r="A514" s="5">
        <v>42866</v>
      </c>
      <c r="B514">
        <v>26.25</v>
      </c>
    </row>
    <row r="515" spans="1:2" x14ac:dyDescent="0.3">
      <c r="A515" s="5">
        <v>42867</v>
      </c>
      <c r="B515">
        <v>26.25</v>
      </c>
    </row>
    <row r="516" spans="1:2" x14ac:dyDescent="0.3">
      <c r="A516" s="5">
        <v>42868</v>
      </c>
      <c r="B516">
        <v>26.25</v>
      </c>
    </row>
    <row r="517" spans="1:2" x14ac:dyDescent="0.3">
      <c r="A517" s="5">
        <v>42869</v>
      </c>
      <c r="B517">
        <v>26.25</v>
      </c>
    </row>
    <row r="518" spans="1:2" x14ac:dyDescent="0.3">
      <c r="A518" s="5">
        <v>42870</v>
      </c>
      <c r="B518">
        <v>26.25</v>
      </c>
    </row>
    <row r="519" spans="1:2" x14ac:dyDescent="0.3">
      <c r="A519" s="5">
        <v>42871</v>
      </c>
      <c r="B519">
        <v>26.25</v>
      </c>
    </row>
    <row r="520" spans="1:2" x14ac:dyDescent="0.3">
      <c r="A520" s="5">
        <v>42872</v>
      </c>
      <c r="B520">
        <v>26.25</v>
      </c>
    </row>
    <row r="521" spans="1:2" x14ac:dyDescent="0.3">
      <c r="A521" s="5">
        <v>42873</v>
      </c>
      <c r="B521">
        <v>26.25</v>
      </c>
    </row>
    <row r="522" spans="1:2" x14ac:dyDescent="0.3">
      <c r="A522" s="5">
        <v>42874</v>
      </c>
      <c r="B522">
        <v>26.25</v>
      </c>
    </row>
    <row r="523" spans="1:2" x14ac:dyDescent="0.3">
      <c r="A523" s="5">
        <v>42875</v>
      </c>
      <c r="B523">
        <v>26.25</v>
      </c>
    </row>
    <row r="524" spans="1:2" x14ac:dyDescent="0.3">
      <c r="A524" s="5">
        <v>42876</v>
      </c>
      <c r="B524">
        <v>26.25</v>
      </c>
    </row>
    <row r="525" spans="1:2" x14ac:dyDescent="0.3">
      <c r="A525" s="5">
        <v>42877</v>
      </c>
      <c r="B525">
        <v>26.25</v>
      </c>
    </row>
    <row r="526" spans="1:2" x14ac:dyDescent="0.3">
      <c r="A526" s="5">
        <v>42878</v>
      </c>
      <c r="B526">
        <v>26.25</v>
      </c>
    </row>
    <row r="527" spans="1:2" x14ac:dyDescent="0.3">
      <c r="A527" s="5">
        <v>42879</v>
      </c>
      <c r="B527">
        <v>26.25</v>
      </c>
    </row>
    <row r="528" spans="1:2" x14ac:dyDescent="0.3">
      <c r="A528" s="5">
        <v>42880</v>
      </c>
      <c r="B528">
        <v>26.25</v>
      </c>
    </row>
    <row r="529" spans="1:2" x14ac:dyDescent="0.3">
      <c r="A529" s="5">
        <v>42881</v>
      </c>
      <c r="B529">
        <v>26.25</v>
      </c>
    </row>
    <row r="530" spans="1:2" x14ac:dyDescent="0.3">
      <c r="A530" s="5">
        <v>42882</v>
      </c>
      <c r="B530">
        <v>26.25</v>
      </c>
    </row>
    <row r="531" spans="1:2" x14ac:dyDescent="0.3">
      <c r="A531" s="5">
        <v>42883</v>
      </c>
      <c r="B531">
        <v>26.25</v>
      </c>
    </row>
    <row r="532" spans="1:2" x14ac:dyDescent="0.3">
      <c r="A532" s="5">
        <v>42884</v>
      </c>
      <c r="B532">
        <v>26.25</v>
      </c>
    </row>
    <row r="533" spans="1:2" x14ac:dyDescent="0.3">
      <c r="A533" s="5">
        <v>42885</v>
      </c>
      <c r="B533">
        <v>26.25</v>
      </c>
    </row>
    <row r="534" spans="1:2" x14ac:dyDescent="0.3">
      <c r="A534" s="5">
        <v>42886</v>
      </c>
      <c r="B534">
        <v>26.25</v>
      </c>
    </row>
    <row r="535" spans="1:2" x14ac:dyDescent="0.3">
      <c r="A535" s="5">
        <v>42887</v>
      </c>
      <c r="B535">
        <v>26.25</v>
      </c>
    </row>
    <row r="536" spans="1:2" x14ac:dyDescent="0.3">
      <c r="A536" s="5">
        <v>42888</v>
      </c>
      <c r="B536">
        <v>26.25</v>
      </c>
    </row>
    <row r="537" spans="1:2" x14ac:dyDescent="0.3">
      <c r="A537" s="5">
        <v>42889</v>
      </c>
      <c r="B537">
        <v>26.25</v>
      </c>
    </row>
    <row r="538" spans="1:2" x14ac:dyDescent="0.3">
      <c r="A538" s="5">
        <v>42890</v>
      </c>
      <c r="B538">
        <v>26.25</v>
      </c>
    </row>
    <row r="539" spans="1:2" x14ac:dyDescent="0.3">
      <c r="A539" s="5">
        <v>42891</v>
      </c>
      <c r="B539">
        <v>26.25</v>
      </c>
    </row>
    <row r="540" spans="1:2" x14ac:dyDescent="0.3">
      <c r="A540" s="5">
        <v>42892</v>
      </c>
      <c r="B540">
        <v>26.25</v>
      </c>
    </row>
    <row r="541" spans="1:2" x14ac:dyDescent="0.3">
      <c r="A541" s="5">
        <v>42893</v>
      </c>
      <c r="B541">
        <v>26.25</v>
      </c>
    </row>
    <row r="542" spans="1:2" x14ac:dyDescent="0.3">
      <c r="A542" s="5">
        <v>42894</v>
      </c>
      <c r="B542">
        <v>26.25</v>
      </c>
    </row>
    <row r="543" spans="1:2" x14ac:dyDescent="0.3">
      <c r="A543" s="5">
        <v>42895</v>
      </c>
      <c r="B543">
        <v>26.25</v>
      </c>
    </row>
    <row r="544" spans="1:2" x14ac:dyDescent="0.3">
      <c r="A544" s="5">
        <v>42896</v>
      </c>
      <c r="B544">
        <v>26.25</v>
      </c>
    </row>
    <row r="545" spans="1:2" x14ac:dyDescent="0.3">
      <c r="A545" s="5">
        <v>42897</v>
      </c>
      <c r="B545">
        <v>26.25</v>
      </c>
    </row>
    <row r="546" spans="1:2" x14ac:dyDescent="0.3">
      <c r="A546" s="5">
        <v>42898</v>
      </c>
      <c r="B546">
        <v>26.25</v>
      </c>
    </row>
    <row r="547" spans="1:2" x14ac:dyDescent="0.3">
      <c r="A547" s="5">
        <v>42899</v>
      </c>
      <c r="B547">
        <v>26.25</v>
      </c>
    </row>
    <row r="548" spans="1:2" x14ac:dyDescent="0.3">
      <c r="A548" s="5">
        <v>42900</v>
      </c>
      <c r="B548">
        <v>26.25</v>
      </c>
    </row>
    <row r="549" spans="1:2" x14ac:dyDescent="0.3">
      <c r="A549" s="5">
        <v>42901</v>
      </c>
      <c r="B549">
        <v>26.25</v>
      </c>
    </row>
    <row r="550" spans="1:2" x14ac:dyDescent="0.3">
      <c r="A550" s="5">
        <v>42902</v>
      </c>
      <c r="B550">
        <v>26.25</v>
      </c>
    </row>
    <row r="551" spans="1:2" x14ac:dyDescent="0.3">
      <c r="A551" s="5">
        <v>42903</v>
      </c>
      <c r="B551">
        <v>26.25</v>
      </c>
    </row>
    <row r="552" spans="1:2" x14ac:dyDescent="0.3">
      <c r="A552" s="5">
        <v>42904</v>
      </c>
      <c r="B552">
        <v>26.25</v>
      </c>
    </row>
    <row r="553" spans="1:2" x14ac:dyDescent="0.3">
      <c r="A553" s="5">
        <v>42905</v>
      </c>
      <c r="B553">
        <v>26.25</v>
      </c>
    </row>
    <row r="554" spans="1:2" x14ac:dyDescent="0.3">
      <c r="A554" s="5">
        <v>42906</v>
      </c>
      <c r="B554">
        <v>26.25</v>
      </c>
    </row>
    <row r="555" spans="1:2" x14ac:dyDescent="0.3">
      <c r="A555" s="5">
        <v>42907</v>
      </c>
      <c r="B555">
        <v>26.25</v>
      </c>
    </row>
    <row r="556" spans="1:2" x14ac:dyDescent="0.3">
      <c r="A556" s="5">
        <v>42908</v>
      </c>
      <c r="B556">
        <v>26.25</v>
      </c>
    </row>
    <row r="557" spans="1:2" x14ac:dyDescent="0.3">
      <c r="A557" s="5">
        <v>42909</v>
      </c>
      <c r="B557">
        <v>26.25</v>
      </c>
    </row>
    <row r="558" spans="1:2" x14ac:dyDescent="0.3">
      <c r="A558" s="5">
        <v>42910</v>
      </c>
      <c r="B558">
        <v>26.25</v>
      </c>
    </row>
    <row r="559" spans="1:2" x14ac:dyDescent="0.3">
      <c r="A559" s="5">
        <v>42911</v>
      </c>
      <c r="B559">
        <v>26.25</v>
      </c>
    </row>
    <row r="560" spans="1:2" x14ac:dyDescent="0.3">
      <c r="A560" s="5">
        <v>42912</v>
      </c>
      <c r="B560">
        <v>26.25</v>
      </c>
    </row>
    <row r="561" spans="1:2" x14ac:dyDescent="0.3">
      <c r="A561" s="5">
        <v>42913</v>
      </c>
      <c r="B561">
        <v>26.25</v>
      </c>
    </row>
    <row r="562" spans="1:2" x14ac:dyDescent="0.3">
      <c r="A562" s="5">
        <v>42914</v>
      </c>
      <c r="B562">
        <v>26.25</v>
      </c>
    </row>
    <row r="563" spans="1:2" x14ac:dyDescent="0.3">
      <c r="A563" s="5">
        <v>42915</v>
      </c>
      <c r="B563">
        <v>26.25</v>
      </c>
    </row>
    <row r="564" spans="1:2" x14ac:dyDescent="0.3">
      <c r="A564" s="5">
        <v>42916</v>
      </c>
      <c r="B564">
        <v>26.25</v>
      </c>
    </row>
    <row r="565" spans="1:2" x14ac:dyDescent="0.3">
      <c r="A565" s="5">
        <v>42917</v>
      </c>
      <c r="B565">
        <v>26.25</v>
      </c>
    </row>
    <row r="566" spans="1:2" x14ac:dyDescent="0.3">
      <c r="A566" s="5">
        <v>42918</v>
      </c>
      <c r="B566">
        <v>26.25</v>
      </c>
    </row>
    <row r="567" spans="1:2" x14ac:dyDescent="0.3">
      <c r="A567" s="5">
        <v>42919</v>
      </c>
      <c r="B567">
        <v>26.25</v>
      </c>
    </row>
    <row r="568" spans="1:2" x14ac:dyDescent="0.3">
      <c r="A568" s="5">
        <v>42920</v>
      </c>
      <c r="B568">
        <v>26.25</v>
      </c>
    </row>
    <row r="569" spans="1:2" x14ac:dyDescent="0.3">
      <c r="A569" s="5">
        <v>42921</v>
      </c>
      <c r="B569">
        <v>26.25</v>
      </c>
    </row>
    <row r="570" spans="1:2" x14ac:dyDescent="0.3">
      <c r="A570" s="5">
        <v>42922</v>
      </c>
      <c r="B570">
        <v>26.25</v>
      </c>
    </row>
    <row r="571" spans="1:2" x14ac:dyDescent="0.3">
      <c r="A571" s="5">
        <v>42923</v>
      </c>
      <c r="B571">
        <v>26.25</v>
      </c>
    </row>
    <row r="572" spans="1:2" x14ac:dyDescent="0.3">
      <c r="A572" s="5">
        <v>42924</v>
      </c>
      <c r="B572">
        <v>26.25</v>
      </c>
    </row>
    <row r="573" spans="1:2" x14ac:dyDescent="0.3">
      <c r="A573" s="5">
        <v>42925</v>
      </c>
      <c r="B573">
        <v>26.25</v>
      </c>
    </row>
    <row r="574" spans="1:2" x14ac:dyDescent="0.3">
      <c r="A574" s="5">
        <v>42926</v>
      </c>
      <c r="B574">
        <v>26.25</v>
      </c>
    </row>
    <row r="575" spans="1:2" x14ac:dyDescent="0.3">
      <c r="A575" s="5">
        <v>42927</v>
      </c>
      <c r="B575">
        <v>26.25</v>
      </c>
    </row>
    <row r="576" spans="1:2" x14ac:dyDescent="0.3">
      <c r="A576" s="5">
        <v>42928</v>
      </c>
      <c r="B576">
        <v>26.25</v>
      </c>
    </row>
    <row r="577" spans="1:2" x14ac:dyDescent="0.3">
      <c r="A577" s="5">
        <v>42929</v>
      </c>
      <c r="B577">
        <v>26.25</v>
      </c>
    </row>
    <row r="578" spans="1:2" x14ac:dyDescent="0.3">
      <c r="A578" s="5">
        <v>42930</v>
      </c>
      <c r="B578">
        <v>26.25</v>
      </c>
    </row>
    <row r="579" spans="1:2" x14ac:dyDescent="0.3">
      <c r="A579" s="5">
        <v>42931</v>
      </c>
      <c r="B579">
        <v>26.25</v>
      </c>
    </row>
    <row r="580" spans="1:2" x14ac:dyDescent="0.3">
      <c r="A580" s="5">
        <v>42932</v>
      </c>
      <c r="B580">
        <v>26.25</v>
      </c>
    </row>
    <row r="581" spans="1:2" x14ac:dyDescent="0.3">
      <c r="A581" s="5">
        <v>42933</v>
      </c>
      <c r="B581">
        <v>26.25</v>
      </c>
    </row>
    <row r="582" spans="1:2" x14ac:dyDescent="0.3">
      <c r="A582" s="5">
        <v>42934</v>
      </c>
      <c r="B582">
        <v>26.25</v>
      </c>
    </row>
    <row r="583" spans="1:2" x14ac:dyDescent="0.3">
      <c r="A583" s="5">
        <v>42935</v>
      </c>
      <c r="B583">
        <v>26.25</v>
      </c>
    </row>
    <row r="584" spans="1:2" x14ac:dyDescent="0.3">
      <c r="A584" s="5">
        <v>42936</v>
      </c>
      <c r="B584">
        <v>26.25</v>
      </c>
    </row>
    <row r="585" spans="1:2" x14ac:dyDescent="0.3">
      <c r="A585" s="5">
        <v>42937</v>
      </c>
      <c r="B585">
        <v>26.25</v>
      </c>
    </row>
    <row r="586" spans="1:2" x14ac:dyDescent="0.3">
      <c r="A586" s="5">
        <v>42938</v>
      </c>
      <c r="B586">
        <v>26.25</v>
      </c>
    </row>
    <row r="587" spans="1:2" x14ac:dyDescent="0.3">
      <c r="A587" s="5">
        <v>42939</v>
      </c>
      <c r="B587">
        <v>26.25</v>
      </c>
    </row>
    <row r="588" spans="1:2" x14ac:dyDescent="0.3">
      <c r="A588" s="5">
        <v>42940</v>
      </c>
      <c r="B588">
        <v>26.25</v>
      </c>
    </row>
    <row r="589" spans="1:2" x14ac:dyDescent="0.3">
      <c r="A589" s="5">
        <v>42941</v>
      </c>
      <c r="B589">
        <v>26.25</v>
      </c>
    </row>
    <row r="590" spans="1:2" x14ac:dyDescent="0.3">
      <c r="A590" s="5">
        <v>42942</v>
      </c>
      <c r="B590">
        <v>26.25</v>
      </c>
    </row>
    <row r="591" spans="1:2" x14ac:dyDescent="0.3">
      <c r="A591" s="5">
        <v>42943</v>
      </c>
      <c r="B591">
        <v>26.25</v>
      </c>
    </row>
    <row r="592" spans="1:2" x14ac:dyDescent="0.3">
      <c r="A592" s="5">
        <v>42944</v>
      </c>
      <c r="B592">
        <v>26.25</v>
      </c>
    </row>
    <row r="593" spans="1:2" x14ac:dyDescent="0.3">
      <c r="A593" s="5">
        <v>42945</v>
      </c>
      <c r="B593">
        <v>26.25</v>
      </c>
    </row>
    <row r="594" spans="1:2" x14ac:dyDescent="0.3">
      <c r="A594" s="5">
        <v>42946</v>
      </c>
      <c r="B594">
        <v>26.25</v>
      </c>
    </row>
    <row r="595" spans="1:2" x14ac:dyDescent="0.3">
      <c r="A595" s="5">
        <v>42947</v>
      </c>
      <c r="B595">
        <v>26.25</v>
      </c>
    </row>
    <row r="596" spans="1:2" x14ac:dyDescent="0.3">
      <c r="A596" s="5">
        <v>42948</v>
      </c>
      <c r="B596">
        <v>26.25</v>
      </c>
    </row>
    <row r="597" spans="1:2" x14ac:dyDescent="0.3">
      <c r="A597" s="5">
        <v>42949</v>
      </c>
      <c r="B597">
        <v>26.25</v>
      </c>
    </row>
    <row r="598" spans="1:2" x14ac:dyDescent="0.3">
      <c r="A598" s="5">
        <v>42950</v>
      </c>
      <c r="B598">
        <v>26.25</v>
      </c>
    </row>
    <row r="599" spans="1:2" x14ac:dyDescent="0.3">
      <c r="A599" s="5">
        <v>42951</v>
      </c>
      <c r="B599">
        <v>26.25</v>
      </c>
    </row>
    <row r="600" spans="1:2" x14ac:dyDescent="0.3">
      <c r="A600" s="5">
        <v>42952</v>
      </c>
      <c r="B600">
        <v>26.25</v>
      </c>
    </row>
    <row r="601" spans="1:2" x14ac:dyDescent="0.3">
      <c r="A601" s="5">
        <v>42953</v>
      </c>
      <c r="B601">
        <v>26.25</v>
      </c>
    </row>
    <row r="602" spans="1:2" x14ac:dyDescent="0.3">
      <c r="A602" s="5">
        <v>42954</v>
      </c>
      <c r="B602">
        <v>26.25</v>
      </c>
    </row>
    <row r="603" spans="1:2" x14ac:dyDescent="0.3">
      <c r="A603" s="5">
        <v>42955</v>
      </c>
      <c r="B603">
        <v>26.25</v>
      </c>
    </row>
    <row r="604" spans="1:2" x14ac:dyDescent="0.3">
      <c r="A604" s="5">
        <v>42956</v>
      </c>
      <c r="B604">
        <v>26.25</v>
      </c>
    </row>
    <row r="605" spans="1:2" x14ac:dyDescent="0.3">
      <c r="A605" s="5">
        <v>42957</v>
      </c>
      <c r="B605">
        <v>26.25</v>
      </c>
    </row>
    <row r="606" spans="1:2" x14ac:dyDescent="0.3">
      <c r="A606" s="5">
        <v>42958</v>
      </c>
      <c r="B606">
        <v>26.25</v>
      </c>
    </row>
    <row r="607" spans="1:2" x14ac:dyDescent="0.3">
      <c r="A607" s="5">
        <v>42959</v>
      </c>
      <c r="B607">
        <v>26.25</v>
      </c>
    </row>
    <row r="608" spans="1:2" x14ac:dyDescent="0.3">
      <c r="A608" s="5">
        <v>42960</v>
      </c>
      <c r="B608">
        <v>26.25</v>
      </c>
    </row>
    <row r="609" spans="1:2" x14ac:dyDescent="0.3">
      <c r="A609" s="5">
        <v>42961</v>
      </c>
      <c r="B609">
        <v>26.25</v>
      </c>
    </row>
    <row r="610" spans="1:2" x14ac:dyDescent="0.3">
      <c r="A610" s="5">
        <v>42962</v>
      </c>
      <c r="B610">
        <v>26.25</v>
      </c>
    </row>
    <row r="611" spans="1:2" x14ac:dyDescent="0.3">
      <c r="A611" s="5">
        <v>42963</v>
      </c>
      <c r="B611">
        <v>26.25</v>
      </c>
    </row>
    <row r="612" spans="1:2" x14ac:dyDescent="0.3">
      <c r="A612" s="5">
        <v>42964</v>
      </c>
      <c r="B612">
        <v>26.25</v>
      </c>
    </row>
    <row r="613" spans="1:2" x14ac:dyDescent="0.3">
      <c r="A613" s="5">
        <v>42965</v>
      </c>
      <c r="B613">
        <v>26.25</v>
      </c>
    </row>
    <row r="614" spans="1:2" x14ac:dyDescent="0.3">
      <c r="A614" s="5">
        <v>42966</v>
      </c>
      <c r="B614">
        <v>26.25</v>
      </c>
    </row>
    <row r="615" spans="1:2" x14ac:dyDescent="0.3">
      <c r="A615" s="5">
        <v>42967</v>
      </c>
      <c r="B615">
        <v>26.25</v>
      </c>
    </row>
    <row r="616" spans="1:2" x14ac:dyDescent="0.3">
      <c r="A616" s="5">
        <v>42968</v>
      </c>
      <c r="B616">
        <v>26.25</v>
      </c>
    </row>
    <row r="617" spans="1:2" x14ac:dyDescent="0.3">
      <c r="A617" s="5">
        <v>42969</v>
      </c>
      <c r="B617">
        <v>26.25</v>
      </c>
    </row>
    <row r="618" spans="1:2" x14ac:dyDescent="0.3">
      <c r="A618" s="5">
        <v>42970</v>
      </c>
      <c r="B618">
        <v>26.25</v>
      </c>
    </row>
    <row r="619" spans="1:2" x14ac:dyDescent="0.3">
      <c r="A619" s="5">
        <v>42971</v>
      </c>
      <c r="B619">
        <v>26.25</v>
      </c>
    </row>
    <row r="620" spans="1:2" x14ac:dyDescent="0.3">
      <c r="A620" s="5">
        <v>42972</v>
      </c>
      <c r="B620">
        <v>26.25</v>
      </c>
    </row>
    <row r="621" spans="1:2" x14ac:dyDescent="0.3">
      <c r="A621" s="5">
        <v>42973</v>
      </c>
      <c r="B621">
        <v>26.25</v>
      </c>
    </row>
    <row r="622" spans="1:2" x14ac:dyDescent="0.3">
      <c r="A622" s="5">
        <v>42974</v>
      </c>
      <c r="B622">
        <v>26.25</v>
      </c>
    </row>
    <row r="623" spans="1:2" x14ac:dyDescent="0.3">
      <c r="A623" s="5">
        <v>42975</v>
      </c>
      <c r="B623">
        <v>26.25</v>
      </c>
    </row>
    <row r="624" spans="1:2" x14ac:dyDescent="0.3">
      <c r="A624" s="5">
        <v>42976</v>
      </c>
      <c r="B624">
        <v>26.25</v>
      </c>
    </row>
    <row r="625" spans="1:2" x14ac:dyDescent="0.3">
      <c r="A625" s="5">
        <v>42977</v>
      </c>
      <c r="B625">
        <v>26.25</v>
      </c>
    </row>
    <row r="626" spans="1:2" x14ac:dyDescent="0.3">
      <c r="A626" s="5">
        <v>42978</v>
      </c>
      <c r="B626">
        <v>26.25</v>
      </c>
    </row>
    <row r="627" spans="1:2" x14ac:dyDescent="0.3">
      <c r="A627" s="5">
        <v>42979</v>
      </c>
      <c r="B627">
        <v>26.25</v>
      </c>
    </row>
    <row r="628" spans="1:2" x14ac:dyDescent="0.3">
      <c r="A628" s="5">
        <v>42980</v>
      </c>
      <c r="B628">
        <v>26.25</v>
      </c>
    </row>
    <row r="629" spans="1:2" x14ac:dyDescent="0.3">
      <c r="A629" s="5">
        <v>42981</v>
      </c>
      <c r="B629">
        <v>26.25</v>
      </c>
    </row>
    <row r="630" spans="1:2" x14ac:dyDescent="0.3">
      <c r="A630" s="5">
        <v>42982</v>
      </c>
      <c r="B630">
        <v>26.25</v>
      </c>
    </row>
    <row r="631" spans="1:2" x14ac:dyDescent="0.3">
      <c r="A631" s="5">
        <v>42983</v>
      </c>
      <c r="B631">
        <v>26.25</v>
      </c>
    </row>
    <row r="632" spans="1:2" x14ac:dyDescent="0.3">
      <c r="A632" s="5">
        <v>42984</v>
      </c>
      <c r="B632">
        <v>26.25</v>
      </c>
    </row>
    <row r="633" spans="1:2" x14ac:dyDescent="0.3">
      <c r="A633" s="5">
        <v>42985</v>
      </c>
      <c r="B633">
        <v>26.25</v>
      </c>
    </row>
    <row r="634" spans="1:2" x14ac:dyDescent="0.3">
      <c r="A634" s="5">
        <v>42986</v>
      </c>
      <c r="B634">
        <v>26.25</v>
      </c>
    </row>
    <row r="635" spans="1:2" x14ac:dyDescent="0.3">
      <c r="A635" s="5">
        <v>42987</v>
      </c>
      <c r="B635">
        <v>26.25</v>
      </c>
    </row>
    <row r="636" spans="1:2" x14ac:dyDescent="0.3">
      <c r="A636" s="5">
        <v>42988</v>
      </c>
      <c r="B636">
        <v>26.25</v>
      </c>
    </row>
    <row r="637" spans="1:2" x14ac:dyDescent="0.3">
      <c r="A637" s="5">
        <v>42989</v>
      </c>
      <c r="B637">
        <v>26.25</v>
      </c>
    </row>
    <row r="638" spans="1:2" x14ac:dyDescent="0.3">
      <c r="A638" s="5">
        <v>42990</v>
      </c>
      <c r="B638">
        <v>26.25</v>
      </c>
    </row>
    <row r="639" spans="1:2" x14ac:dyDescent="0.3">
      <c r="A639" s="5">
        <v>42991</v>
      </c>
      <c r="B639">
        <v>26.25</v>
      </c>
    </row>
    <row r="640" spans="1:2" x14ac:dyDescent="0.3">
      <c r="A640" s="5">
        <v>42992</v>
      </c>
      <c r="B640">
        <v>26.25</v>
      </c>
    </row>
    <row r="641" spans="1:2" x14ac:dyDescent="0.3">
      <c r="A641" s="5">
        <v>42993</v>
      </c>
      <c r="B641">
        <v>26.25</v>
      </c>
    </row>
    <row r="642" spans="1:2" x14ac:dyDescent="0.3">
      <c r="A642" s="5">
        <v>42994</v>
      </c>
      <c r="B642">
        <v>26.25</v>
      </c>
    </row>
    <row r="643" spans="1:2" x14ac:dyDescent="0.3">
      <c r="A643" s="5">
        <v>42995</v>
      </c>
      <c r="B643">
        <v>26.25</v>
      </c>
    </row>
    <row r="644" spans="1:2" x14ac:dyDescent="0.3">
      <c r="A644" s="5">
        <v>42996</v>
      </c>
      <c r="B644">
        <v>26.25</v>
      </c>
    </row>
    <row r="645" spans="1:2" x14ac:dyDescent="0.3">
      <c r="A645" s="5">
        <v>42997</v>
      </c>
      <c r="B645">
        <v>26.25</v>
      </c>
    </row>
    <row r="646" spans="1:2" x14ac:dyDescent="0.3">
      <c r="A646" s="5">
        <v>42998</v>
      </c>
      <c r="B646">
        <v>26.25</v>
      </c>
    </row>
    <row r="647" spans="1:2" x14ac:dyDescent="0.3">
      <c r="A647" s="5">
        <v>42999</v>
      </c>
      <c r="B647">
        <v>26.25</v>
      </c>
    </row>
    <row r="648" spans="1:2" x14ac:dyDescent="0.3">
      <c r="A648" s="5">
        <v>43000</v>
      </c>
      <c r="B648">
        <v>26.25</v>
      </c>
    </row>
    <row r="649" spans="1:2" x14ac:dyDescent="0.3">
      <c r="A649" s="5">
        <v>43001</v>
      </c>
      <c r="B649">
        <v>26.25</v>
      </c>
    </row>
    <row r="650" spans="1:2" x14ac:dyDescent="0.3">
      <c r="A650" s="5">
        <v>43002</v>
      </c>
      <c r="B650">
        <v>26.25</v>
      </c>
    </row>
    <row r="651" spans="1:2" x14ac:dyDescent="0.3">
      <c r="A651" s="5">
        <v>43003</v>
      </c>
      <c r="B651">
        <v>26.25</v>
      </c>
    </row>
    <row r="652" spans="1:2" x14ac:dyDescent="0.3">
      <c r="A652" s="5">
        <v>43004</v>
      </c>
      <c r="B652">
        <v>26.25</v>
      </c>
    </row>
    <row r="653" spans="1:2" x14ac:dyDescent="0.3">
      <c r="A653" s="5">
        <v>43005</v>
      </c>
      <c r="B653">
        <v>26.25</v>
      </c>
    </row>
    <row r="654" spans="1:2" x14ac:dyDescent="0.3">
      <c r="A654" s="5">
        <v>43006</v>
      </c>
      <c r="B654">
        <v>26.25</v>
      </c>
    </row>
    <row r="655" spans="1:2" x14ac:dyDescent="0.3">
      <c r="A655" s="5">
        <v>43007</v>
      </c>
      <c r="B655">
        <v>26.25</v>
      </c>
    </row>
    <row r="656" spans="1:2" x14ac:dyDescent="0.3">
      <c r="A656" s="5">
        <v>43008</v>
      </c>
      <c r="B656">
        <v>26.25</v>
      </c>
    </row>
    <row r="657" spans="1:2" x14ac:dyDescent="0.3">
      <c r="A657" s="5">
        <v>43009</v>
      </c>
      <c r="B657">
        <v>26.25</v>
      </c>
    </row>
    <row r="658" spans="1:2" x14ac:dyDescent="0.3">
      <c r="A658" s="5">
        <v>43010</v>
      </c>
      <c r="B658">
        <v>26.25</v>
      </c>
    </row>
    <row r="659" spans="1:2" x14ac:dyDescent="0.3">
      <c r="A659" s="5">
        <v>43011</v>
      </c>
      <c r="B659">
        <v>26.25</v>
      </c>
    </row>
    <row r="660" spans="1:2" x14ac:dyDescent="0.3">
      <c r="A660" s="5">
        <v>43012</v>
      </c>
      <c r="B660">
        <v>26.25</v>
      </c>
    </row>
    <row r="661" spans="1:2" x14ac:dyDescent="0.3">
      <c r="A661" s="5">
        <v>43013</v>
      </c>
      <c r="B661">
        <v>26.25</v>
      </c>
    </row>
    <row r="662" spans="1:2" x14ac:dyDescent="0.3">
      <c r="A662" s="5">
        <v>43014</v>
      </c>
      <c r="B662">
        <v>26.25</v>
      </c>
    </row>
    <row r="663" spans="1:2" x14ac:dyDescent="0.3">
      <c r="A663" s="5">
        <v>43015</v>
      </c>
      <c r="B663">
        <v>26.25</v>
      </c>
    </row>
    <row r="664" spans="1:2" x14ac:dyDescent="0.3">
      <c r="A664" s="5">
        <v>43016</v>
      </c>
      <c r="B664">
        <v>26.25</v>
      </c>
    </row>
    <row r="665" spans="1:2" x14ac:dyDescent="0.3">
      <c r="A665" s="5">
        <v>43017</v>
      </c>
      <c r="B665">
        <v>26.25</v>
      </c>
    </row>
    <row r="666" spans="1:2" x14ac:dyDescent="0.3">
      <c r="A666" s="5">
        <v>43018</v>
      </c>
      <c r="B666">
        <v>26.25</v>
      </c>
    </row>
    <row r="667" spans="1:2" x14ac:dyDescent="0.3">
      <c r="A667" s="5">
        <v>43019</v>
      </c>
      <c r="B667">
        <v>26.25</v>
      </c>
    </row>
    <row r="668" spans="1:2" x14ac:dyDescent="0.3">
      <c r="A668" s="5">
        <v>43020</v>
      </c>
      <c r="B668">
        <v>26.25</v>
      </c>
    </row>
    <row r="669" spans="1:2" x14ac:dyDescent="0.3">
      <c r="A669" s="5">
        <v>43021</v>
      </c>
      <c r="B669">
        <v>26.25</v>
      </c>
    </row>
    <row r="670" spans="1:2" x14ac:dyDescent="0.3">
      <c r="A670" s="5">
        <v>43022</v>
      </c>
      <c r="B670">
        <v>26.25</v>
      </c>
    </row>
    <row r="671" spans="1:2" x14ac:dyDescent="0.3">
      <c r="A671" s="5">
        <v>43023</v>
      </c>
      <c r="B671">
        <v>26.25</v>
      </c>
    </row>
    <row r="672" spans="1:2" x14ac:dyDescent="0.3">
      <c r="A672" s="5">
        <v>43024</v>
      </c>
      <c r="B672">
        <v>26.25</v>
      </c>
    </row>
    <row r="673" spans="1:2" x14ac:dyDescent="0.3">
      <c r="A673" s="5">
        <v>43025</v>
      </c>
      <c r="B673">
        <v>26.25</v>
      </c>
    </row>
    <row r="674" spans="1:2" x14ac:dyDescent="0.3">
      <c r="A674" s="5">
        <v>43026</v>
      </c>
      <c r="B674">
        <v>26.25</v>
      </c>
    </row>
    <row r="675" spans="1:2" x14ac:dyDescent="0.3">
      <c r="A675" s="5">
        <v>43027</v>
      </c>
      <c r="B675">
        <v>26.25</v>
      </c>
    </row>
    <row r="676" spans="1:2" x14ac:dyDescent="0.3">
      <c r="A676" s="5">
        <v>43028</v>
      </c>
      <c r="B676">
        <v>26.25</v>
      </c>
    </row>
    <row r="677" spans="1:2" x14ac:dyDescent="0.3">
      <c r="A677" s="5">
        <v>43029</v>
      </c>
      <c r="B677">
        <v>26.25</v>
      </c>
    </row>
    <row r="678" spans="1:2" x14ac:dyDescent="0.3">
      <c r="A678" s="5">
        <v>43030</v>
      </c>
      <c r="B678">
        <v>26.25</v>
      </c>
    </row>
    <row r="679" spans="1:2" x14ac:dyDescent="0.3">
      <c r="A679" s="5">
        <v>43031</v>
      </c>
      <c r="B679">
        <v>26.25</v>
      </c>
    </row>
    <row r="680" spans="1:2" x14ac:dyDescent="0.3">
      <c r="A680" s="5">
        <v>43032</v>
      </c>
      <c r="B680">
        <v>26.25</v>
      </c>
    </row>
    <row r="681" spans="1:2" x14ac:dyDescent="0.3">
      <c r="A681" s="5">
        <v>43033</v>
      </c>
      <c r="B681">
        <v>27.75</v>
      </c>
    </row>
    <row r="682" spans="1:2" x14ac:dyDescent="0.3">
      <c r="A682" s="5">
        <v>43034</v>
      </c>
      <c r="B682">
        <v>27.75</v>
      </c>
    </row>
    <row r="683" spans="1:2" x14ac:dyDescent="0.3">
      <c r="A683" s="5">
        <v>43035</v>
      </c>
      <c r="B683">
        <v>27.75</v>
      </c>
    </row>
    <row r="684" spans="1:2" x14ac:dyDescent="0.3">
      <c r="A684" s="5">
        <v>43036</v>
      </c>
      <c r="B684">
        <v>27.75</v>
      </c>
    </row>
    <row r="685" spans="1:2" x14ac:dyDescent="0.3">
      <c r="A685" s="5">
        <v>43037</v>
      </c>
      <c r="B685">
        <v>27.75</v>
      </c>
    </row>
    <row r="686" spans="1:2" x14ac:dyDescent="0.3">
      <c r="A686" s="5">
        <v>43038</v>
      </c>
      <c r="B686">
        <v>27.75</v>
      </c>
    </row>
    <row r="687" spans="1:2" x14ac:dyDescent="0.3">
      <c r="A687" s="5">
        <v>43039</v>
      </c>
      <c r="B687">
        <v>27.75</v>
      </c>
    </row>
    <row r="688" spans="1:2" x14ac:dyDescent="0.3">
      <c r="A688" s="5">
        <v>43040</v>
      </c>
      <c r="B688">
        <v>27.75</v>
      </c>
    </row>
    <row r="689" spans="1:2" x14ac:dyDescent="0.3">
      <c r="A689" s="5">
        <v>43041</v>
      </c>
      <c r="B689">
        <v>27.75</v>
      </c>
    </row>
    <row r="690" spans="1:2" x14ac:dyDescent="0.3">
      <c r="A690" s="5">
        <v>43042</v>
      </c>
      <c r="B690">
        <v>27.75</v>
      </c>
    </row>
    <row r="691" spans="1:2" x14ac:dyDescent="0.3">
      <c r="A691" s="5">
        <v>43043</v>
      </c>
      <c r="B691">
        <v>27.75</v>
      </c>
    </row>
    <row r="692" spans="1:2" x14ac:dyDescent="0.3">
      <c r="A692" s="5">
        <v>43044</v>
      </c>
      <c r="B692">
        <v>27.75</v>
      </c>
    </row>
    <row r="693" spans="1:2" x14ac:dyDescent="0.3">
      <c r="A693" s="5">
        <v>43045</v>
      </c>
      <c r="B693">
        <v>27.75</v>
      </c>
    </row>
    <row r="694" spans="1:2" x14ac:dyDescent="0.3">
      <c r="A694" s="5">
        <v>43046</v>
      </c>
      <c r="B694">
        <v>27.75</v>
      </c>
    </row>
    <row r="695" spans="1:2" x14ac:dyDescent="0.3">
      <c r="A695" s="5">
        <v>43047</v>
      </c>
      <c r="B695">
        <v>28.75</v>
      </c>
    </row>
    <row r="696" spans="1:2" x14ac:dyDescent="0.3">
      <c r="A696" s="5">
        <v>43048</v>
      </c>
      <c r="B696">
        <v>28.75</v>
      </c>
    </row>
    <row r="697" spans="1:2" x14ac:dyDescent="0.3">
      <c r="A697" s="5">
        <v>43049</v>
      </c>
      <c r="B697">
        <v>28.75</v>
      </c>
    </row>
    <row r="698" spans="1:2" x14ac:dyDescent="0.3">
      <c r="A698" s="5">
        <v>43050</v>
      </c>
      <c r="B698">
        <v>28.75</v>
      </c>
    </row>
    <row r="699" spans="1:2" x14ac:dyDescent="0.3">
      <c r="A699" s="5">
        <v>43051</v>
      </c>
      <c r="B699">
        <v>28.75</v>
      </c>
    </row>
    <row r="700" spans="1:2" x14ac:dyDescent="0.3">
      <c r="A700" s="5">
        <v>43052</v>
      </c>
      <c r="B700">
        <v>28.75</v>
      </c>
    </row>
    <row r="701" spans="1:2" x14ac:dyDescent="0.3">
      <c r="A701" s="5">
        <v>43053</v>
      </c>
      <c r="B701">
        <v>28.75</v>
      </c>
    </row>
    <row r="702" spans="1:2" x14ac:dyDescent="0.3">
      <c r="A702" s="5">
        <v>43054</v>
      </c>
      <c r="B702">
        <v>28.75</v>
      </c>
    </row>
    <row r="703" spans="1:2" x14ac:dyDescent="0.3">
      <c r="A703" s="5">
        <v>43055</v>
      </c>
      <c r="B703">
        <v>28.75</v>
      </c>
    </row>
    <row r="704" spans="1:2" x14ac:dyDescent="0.3">
      <c r="A704" s="5">
        <v>43056</v>
      </c>
      <c r="B704">
        <v>28.75</v>
      </c>
    </row>
    <row r="705" spans="1:2" x14ac:dyDescent="0.3">
      <c r="A705" s="5">
        <v>43057</v>
      </c>
      <c r="B705">
        <v>28.75</v>
      </c>
    </row>
    <row r="706" spans="1:2" x14ac:dyDescent="0.3">
      <c r="A706" s="5">
        <v>43058</v>
      </c>
      <c r="B706">
        <v>28.75</v>
      </c>
    </row>
    <row r="707" spans="1:2" x14ac:dyDescent="0.3">
      <c r="A707" s="5">
        <v>43059</v>
      </c>
      <c r="B707">
        <v>28.75</v>
      </c>
    </row>
    <row r="708" spans="1:2" x14ac:dyDescent="0.3">
      <c r="A708" s="5">
        <v>43060</v>
      </c>
      <c r="B708">
        <v>28.75</v>
      </c>
    </row>
    <row r="709" spans="1:2" x14ac:dyDescent="0.3">
      <c r="A709" s="5">
        <v>43061</v>
      </c>
      <c r="B709">
        <v>28.75</v>
      </c>
    </row>
    <row r="710" spans="1:2" x14ac:dyDescent="0.3">
      <c r="A710" s="5">
        <v>43062</v>
      </c>
      <c r="B710">
        <v>28.75</v>
      </c>
    </row>
    <row r="711" spans="1:2" x14ac:dyDescent="0.3">
      <c r="A711" s="5">
        <v>43063</v>
      </c>
      <c r="B711">
        <v>28.75</v>
      </c>
    </row>
    <row r="712" spans="1:2" x14ac:dyDescent="0.3">
      <c r="A712" s="5">
        <v>43064</v>
      </c>
      <c r="B712">
        <v>28.75</v>
      </c>
    </row>
    <row r="713" spans="1:2" x14ac:dyDescent="0.3">
      <c r="A713" s="5">
        <v>43065</v>
      </c>
      <c r="B713">
        <v>28.75</v>
      </c>
    </row>
    <row r="714" spans="1:2" x14ac:dyDescent="0.3">
      <c r="A714" s="5">
        <v>43066</v>
      </c>
      <c r="B714">
        <v>28.75</v>
      </c>
    </row>
    <row r="715" spans="1:2" x14ac:dyDescent="0.3">
      <c r="A715" s="5">
        <v>43067</v>
      </c>
      <c r="B715">
        <v>28.75</v>
      </c>
    </row>
    <row r="716" spans="1:2" x14ac:dyDescent="0.3">
      <c r="A716" s="5">
        <v>43068</v>
      </c>
      <c r="B716">
        <v>28.75</v>
      </c>
    </row>
    <row r="717" spans="1:2" x14ac:dyDescent="0.3">
      <c r="A717" s="5">
        <v>43069</v>
      </c>
      <c r="B717">
        <v>28.75</v>
      </c>
    </row>
    <row r="718" spans="1:2" x14ac:dyDescent="0.3">
      <c r="A718" s="5">
        <v>43070</v>
      </c>
      <c r="B718">
        <v>28.75</v>
      </c>
    </row>
    <row r="719" spans="1:2" x14ac:dyDescent="0.3">
      <c r="A719" s="5">
        <v>43071</v>
      </c>
      <c r="B719">
        <v>28.75</v>
      </c>
    </row>
    <row r="720" spans="1:2" x14ac:dyDescent="0.3">
      <c r="A720" s="5">
        <v>43072</v>
      </c>
      <c r="B720">
        <v>28.75</v>
      </c>
    </row>
    <row r="721" spans="1:2" x14ac:dyDescent="0.3">
      <c r="A721" s="5">
        <v>43073</v>
      </c>
      <c r="B721">
        <v>28.75</v>
      </c>
    </row>
    <row r="722" spans="1:2" x14ac:dyDescent="0.3">
      <c r="A722" s="5">
        <v>43074</v>
      </c>
      <c r="B722">
        <v>28.75</v>
      </c>
    </row>
    <row r="723" spans="1:2" x14ac:dyDescent="0.3">
      <c r="A723" s="5">
        <v>43075</v>
      </c>
      <c r="B723">
        <v>28.75</v>
      </c>
    </row>
    <row r="724" spans="1:2" x14ac:dyDescent="0.3">
      <c r="A724" s="5">
        <v>43076</v>
      </c>
      <c r="B724">
        <v>28.75</v>
      </c>
    </row>
    <row r="725" spans="1:2" x14ac:dyDescent="0.3">
      <c r="A725" s="5">
        <v>43077</v>
      </c>
      <c r="B725">
        <v>28.75</v>
      </c>
    </row>
    <row r="726" spans="1:2" x14ac:dyDescent="0.3">
      <c r="A726" s="5">
        <v>43078</v>
      </c>
      <c r="B726">
        <v>28.75</v>
      </c>
    </row>
    <row r="727" spans="1:2" x14ac:dyDescent="0.3">
      <c r="A727" s="5">
        <v>43079</v>
      </c>
      <c r="B727">
        <v>28.75</v>
      </c>
    </row>
    <row r="728" spans="1:2" x14ac:dyDescent="0.3">
      <c r="A728" s="5">
        <v>43080</v>
      </c>
      <c r="B728">
        <v>28.75</v>
      </c>
    </row>
    <row r="729" spans="1:2" x14ac:dyDescent="0.3">
      <c r="A729" s="5">
        <v>43081</v>
      </c>
      <c r="B729">
        <v>28.75</v>
      </c>
    </row>
    <row r="730" spans="1:2" x14ac:dyDescent="0.3">
      <c r="A730" s="5">
        <v>43082</v>
      </c>
      <c r="B730">
        <v>28.75</v>
      </c>
    </row>
    <row r="731" spans="1:2" x14ac:dyDescent="0.3">
      <c r="A731" s="5">
        <v>43083</v>
      </c>
      <c r="B731">
        <v>28.75</v>
      </c>
    </row>
    <row r="732" spans="1:2" x14ac:dyDescent="0.3">
      <c r="A732" s="5">
        <v>43084</v>
      </c>
      <c r="B732">
        <v>28.75</v>
      </c>
    </row>
    <row r="733" spans="1:2" x14ac:dyDescent="0.3">
      <c r="A733" s="5">
        <v>43085</v>
      </c>
      <c r="B733">
        <v>28.75</v>
      </c>
    </row>
    <row r="734" spans="1:2" x14ac:dyDescent="0.3">
      <c r="A734" s="5">
        <v>43086</v>
      </c>
      <c r="B734">
        <v>28.75</v>
      </c>
    </row>
    <row r="735" spans="1:2" x14ac:dyDescent="0.3">
      <c r="A735" s="5">
        <v>43087</v>
      </c>
      <c r="B735">
        <v>28.75</v>
      </c>
    </row>
    <row r="736" spans="1:2" x14ac:dyDescent="0.3">
      <c r="A736" s="5">
        <v>43088</v>
      </c>
      <c r="B736">
        <v>28.75</v>
      </c>
    </row>
    <row r="737" spans="1:2" x14ac:dyDescent="0.3">
      <c r="A737" s="5">
        <v>43089</v>
      </c>
      <c r="B737">
        <v>28.75</v>
      </c>
    </row>
    <row r="738" spans="1:2" x14ac:dyDescent="0.3">
      <c r="A738" s="5">
        <v>43090</v>
      </c>
      <c r="B738">
        <v>28.75</v>
      </c>
    </row>
    <row r="739" spans="1:2" x14ac:dyDescent="0.3">
      <c r="A739" s="5">
        <v>43091</v>
      </c>
      <c r="B739">
        <v>28.75</v>
      </c>
    </row>
    <row r="740" spans="1:2" x14ac:dyDescent="0.3">
      <c r="A740" s="5">
        <v>43092</v>
      </c>
      <c r="B740">
        <v>28.75</v>
      </c>
    </row>
    <row r="741" spans="1:2" x14ac:dyDescent="0.3">
      <c r="A741" s="5">
        <v>43093</v>
      </c>
      <c r="B741">
        <v>28.75</v>
      </c>
    </row>
    <row r="742" spans="1:2" x14ac:dyDescent="0.3">
      <c r="A742" s="5">
        <v>43094</v>
      </c>
      <c r="B742">
        <v>28.75</v>
      </c>
    </row>
    <row r="743" spans="1:2" x14ac:dyDescent="0.3">
      <c r="A743" s="5">
        <v>43095</v>
      </c>
      <c r="B743">
        <v>28.75</v>
      </c>
    </row>
    <row r="744" spans="1:2" x14ac:dyDescent="0.3">
      <c r="A744" s="5">
        <v>43096</v>
      </c>
      <c r="B744">
        <v>28.75</v>
      </c>
    </row>
    <row r="745" spans="1:2" x14ac:dyDescent="0.3">
      <c r="A745" s="5">
        <v>43097</v>
      </c>
      <c r="B745">
        <v>28.75</v>
      </c>
    </row>
    <row r="746" spans="1:2" x14ac:dyDescent="0.3">
      <c r="A746" s="5">
        <v>43098</v>
      </c>
      <c r="B746">
        <v>28.75</v>
      </c>
    </row>
    <row r="747" spans="1:2" x14ac:dyDescent="0.3">
      <c r="A747" s="5">
        <v>43099</v>
      </c>
      <c r="B747">
        <v>28.75</v>
      </c>
    </row>
    <row r="748" spans="1:2" x14ac:dyDescent="0.3">
      <c r="A748" s="5">
        <v>43100</v>
      </c>
      <c r="B748">
        <v>28.75</v>
      </c>
    </row>
    <row r="749" spans="1:2" x14ac:dyDescent="0.3">
      <c r="A749" s="5">
        <v>43101</v>
      </c>
      <c r="B749">
        <v>28.75</v>
      </c>
    </row>
    <row r="750" spans="1:2" x14ac:dyDescent="0.3">
      <c r="A750" s="5">
        <v>43102</v>
      </c>
      <c r="B750">
        <v>28.75</v>
      </c>
    </row>
    <row r="751" spans="1:2" x14ac:dyDescent="0.3">
      <c r="A751" s="5">
        <v>43103</v>
      </c>
      <c r="B751">
        <v>28.75</v>
      </c>
    </row>
    <row r="752" spans="1:2" x14ac:dyDescent="0.3">
      <c r="A752" s="5">
        <v>43104</v>
      </c>
      <c r="B752">
        <v>28.75</v>
      </c>
    </row>
    <row r="753" spans="1:2" x14ac:dyDescent="0.3">
      <c r="A753" s="5">
        <v>43105</v>
      </c>
      <c r="B753">
        <v>28.75</v>
      </c>
    </row>
    <row r="754" spans="1:2" x14ac:dyDescent="0.3">
      <c r="A754" s="5">
        <v>43106</v>
      </c>
      <c r="B754">
        <v>28.75</v>
      </c>
    </row>
    <row r="755" spans="1:2" x14ac:dyDescent="0.3">
      <c r="A755" s="5">
        <v>43107</v>
      </c>
      <c r="B755">
        <v>28.75</v>
      </c>
    </row>
    <row r="756" spans="1:2" x14ac:dyDescent="0.3">
      <c r="A756" s="5">
        <v>43108</v>
      </c>
      <c r="B756">
        <v>28.75</v>
      </c>
    </row>
    <row r="757" spans="1:2" x14ac:dyDescent="0.3">
      <c r="A757" s="5">
        <v>43109</v>
      </c>
      <c r="B757">
        <v>28.75</v>
      </c>
    </row>
    <row r="758" spans="1:2" x14ac:dyDescent="0.3">
      <c r="A758" s="5">
        <v>43110</v>
      </c>
      <c r="B758">
        <v>28</v>
      </c>
    </row>
    <row r="759" spans="1:2" x14ac:dyDescent="0.3">
      <c r="A759" s="5">
        <v>43111</v>
      </c>
      <c r="B759">
        <v>28</v>
      </c>
    </row>
    <row r="760" spans="1:2" x14ac:dyDescent="0.3">
      <c r="A760" s="5">
        <v>43112</v>
      </c>
      <c r="B760">
        <v>28</v>
      </c>
    </row>
    <row r="761" spans="1:2" x14ac:dyDescent="0.3">
      <c r="A761" s="5">
        <v>43113</v>
      </c>
      <c r="B761">
        <v>28</v>
      </c>
    </row>
    <row r="762" spans="1:2" x14ac:dyDescent="0.3">
      <c r="A762" s="5">
        <v>43114</v>
      </c>
      <c r="B762">
        <v>28</v>
      </c>
    </row>
    <row r="763" spans="1:2" x14ac:dyDescent="0.3">
      <c r="A763" s="5">
        <v>43115</v>
      </c>
      <c r="B763">
        <v>28</v>
      </c>
    </row>
    <row r="764" spans="1:2" x14ac:dyDescent="0.3">
      <c r="A764" s="5">
        <v>43116</v>
      </c>
      <c r="B764">
        <v>28</v>
      </c>
    </row>
    <row r="765" spans="1:2" x14ac:dyDescent="0.3">
      <c r="A765" s="5">
        <v>43117</v>
      </c>
      <c r="B765">
        <v>28</v>
      </c>
    </row>
    <row r="766" spans="1:2" x14ac:dyDescent="0.3">
      <c r="A766" s="5">
        <v>43118</v>
      </c>
      <c r="B766">
        <v>28</v>
      </c>
    </row>
    <row r="767" spans="1:2" x14ac:dyDescent="0.3">
      <c r="A767" s="5">
        <v>43119</v>
      </c>
      <c r="B767">
        <v>28</v>
      </c>
    </row>
    <row r="768" spans="1:2" x14ac:dyDescent="0.3">
      <c r="A768" s="5">
        <v>43120</v>
      </c>
      <c r="B768">
        <v>28</v>
      </c>
    </row>
    <row r="769" spans="1:2" x14ac:dyDescent="0.3">
      <c r="A769" s="5">
        <v>43121</v>
      </c>
      <c r="B769">
        <v>28</v>
      </c>
    </row>
    <row r="770" spans="1:2" x14ac:dyDescent="0.3">
      <c r="A770" s="5">
        <v>43122</v>
      </c>
      <c r="B770">
        <v>28</v>
      </c>
    </row>
    <row r="771" spans="1:2" x14ac:dyDescent="0.3">
      <c r="A771" s="5">
        <v>43123</v>
      </c>
      <c r="B771">
        <v>28</v>
      </c>
    </row>
    <row r="772" spans="1:2" x14ac:dyDescent="0.3">
      <c r="A772" s="5">
        <v>43124</v>
      </c>
      <c r="B772">
        <v>27.25</v>
      </c>
    </row>
    <row r="773" spans="1:2" x14ac:dyDescent="0.3">
      <c r="A773" s="5">
        <v>43125</v>
      </c>
      <c r="B773">
        <v>27.25</v>
      </c>
    </row>
    <row r="774" spans="1:2" x14ac:dyDescent="0.3">
      <c r="A774" s="5">
        <v>43126</v>
      </c>
      <c r="B774">
        <v>27.25</v>
      </c>
    </row>
    <row r="775" spans="1:2" x14ac:dyDescent="0.3">
      <c r="A775" s="5">
        <v>43127</v>
      </c>
      <c r="B775">
        <v>27.25</v>
      </c>
    </row>
    <row r="776" spans="1:2" x14ac:dyDescent="0.3">
      <c r="A776" s="5">
        <v>43128</v>
      </c>
      <c r="B776">
        <v>27.25</v>
      </c>
    </row>
    <row r="777" spans="1:2" x14ac:dyDescent="0.3">
      <c r="A777" s="5">
        <v>43129</v>
      </c>
      <c r="B777">
        <v>27.25</v>
      </c>
    </row>
    <row r="778" spans="1:2" x14ac:dyDescent="0.3">
      <c r="A778" s="5">
        <v>43130</v>
      </c>
      <c r="B778">
        <v>27.25</v>
      </c>
    </row>
    <row r="779" spans="1:2" x14ac:dyDescent="0.3">
      <c r="A779" s="5">
        <v>43131</v>
      </c>
      <c r="B779">
        <v>27.25</v>
      </c>
    </row>
    <row r="780" spans="1:2" x14ac:dyDescent="0.3">
      <c r="A780" s="5">
        <v>43132</v>
      </c>
      <c r="B780">
        <v>27.25</v>
      </c>
    </row>
    <row r="781" spans="1:2" x14ac:dyDescent="0.3">
      <c r="A781" s="5">
        <v>43133</v>
      </c>
      <c r="B781">
        <v>27.25</v>
      </c>
    </row>
    <row r="782" spans="1:2" x14ac:dyDescent="0.3">
      <c r="A782" s="5">
        <v>43134</v>
      </c>
      <c r="B782">
        <v>27.25</v>
      </c>
    </row>
    <row r="783" spans="1:2" x14ac:dyDescent="0.3">
      <c r="A783" s="5">
        <v>43135</v>
      </c>
      <c r="B783">
        <v>27.25</v>
      </c>
    </row>
    <row r="784" spans="1:2" x14ac:dyDescent="0.3">
      <c r="A784" s="5">
        <v>43136</v>
      </c>
      <c r="B784">
        <v>27.25</v>
      </c>
    </row>
    <row r="785" spans="1:2" x14ac:dyDescent="0.3">
      <c r="A785" s="5">
        <v>43137</v>
      </c>
      <c r="B785">
        <v>27.25</v>
      </c>
    </row>
    <row r="786" spans="1:2" x14ac:dyDescent="0.3">
      <c r="A786" s="5">
        <v>43138</v>
      </c>
      <c r="B786">
        <v>27.25</v>
      </c>
    </row>
    <row r="787" spans="1:2" x14ac:dyDescent="0.3">
      <c r="A787" s="5">
        <v>43139</v>
      </c>
      <c r="B787">
        <v>27.25</v>
      </c>
    </row>
    <row r="788" spans="1:2" x14ac:dyDescent="0.3">
      <c r="A788" s="5">
        <v>43140</v>
      </c>
      <c r="B788">
        <v>27.25</v>
      </c>
    </row>
    <row r="789" spans="1:2" x14ac:dyDescent="0.3">
      <c r="A789" s="5">
        <v>43141</v>
      </c>
      <c r="B789">
        <v>27.25</v>
      </c>
    </row>
    <row r="790" spans="1:2" x14ac:dyDescent="0.3">
      <c r="A790" s="5">
        <v>43142</v>
      </c>
      <c r="B790">
        <v>27.25</v>
      </c>
    </row>
    <row r="791" spans="1:2" x14ac:dyDescent="0.3">
      <c r="A791" s="5">
        <v>43143</v>
      </c>
      <c r="B791">
        <v>27.25</v>
      </c>
    </row>
    <row r="792" spans="1:2" x14ac:dyDescent="0.3">
      <c r="A792" s="5">
        <v>43144</v>
      </c>
      <c r="B792">
        <v>27.25</v>
      </c>
    </row>
    <row r="793" spans="1:2" x14ac:dyDescent="0.3">
      <c r="A793" s="5">
        <v>43145</v>
      </c>
      <c r="B793">
        <v>27.25</v>
      </c>
    </row>
    <row r="794" spans="1:2" x14ac:dyDescent="0.3">
      <c r="A794" s="5">
        <v>43146</v>
      </c>
      <c r="B794">
        <v>27.25</v>
      </c>
    </row>
    <row r="795" spans="1:2" x14ac:dyDescent="0.3">
      <c r="A795" s="5">
        <v>43147</v>
      </c>
      <c r="B795">
        <v>27.25</v>
      </c>
    </row>
    <row r="796" spans="1:2" x14ac:dyDescent="0.3">
      <c r="A796" s="5">
        <v>43148</v>
      </c>
      <c r="B796">
        <v>27.25</v>
      </c>
    </row>
    <row r="797" spans="1:2" x14ac:dyDescent="0.3">
      <c r="A797" s="5">
        <v>43149</v>
      </c>
      <c r="B797">
        <v>27.25</v>
      </c>
    </row>
    <row r="798" spans="1:2" x14ac:dyDescent="0.3">
      <c r="A798" s="5">
        <v>43150</v>
      </c>
      <c r="B798">
        <v>27.25</v>
      </c>
    </row>
    <row r="799" spans="1:2" x14ac:dyDescent="0.3">
      <c r="A799" s="5">
        <v>43151</v>
      </c>
      <c r="B799">
        <v>27.25</v>
      </c>
    </row>
    <row r="800" spans="1:2" x14ac:dyDescent="0.3">
      <c r="A800" s="5">
        <v>43152</v>
      </c>
      <c r="B800">
        <v>27.25</v>
      </c>
    </row>
    <row r="801" spans="1:2" x14ac:dyDescent="0.3">
      <c r="A801" s="5">
        <v>43153</v>
      </c>
      <c r="B801">
        <v>27.25</v>
      </c>
    </row>
    <row r="802" spans="1:2" x14ac:dyDescent="0.3">
      <c r="A802" s="5">
        <v>43154</v>
      </c>
      <c r="B802">
        <v>27.25</v>
      </c>
    </row>
    <row r="803" spans="1:2" x14ac:dyDescent="0.3">
      <c r="A803" s="5">
        <v>43155</v>
      </c>
      <c r="B803">
        <v>27.25</v>
      </c>
    </row>
    <row r="804" spans="1:2" x14ac:dyDescent="0.3">
      <c r="A804" s="5">
        <v>43156</v>
      </c>
      <c r="B804">
        <v>27.25</v>
      </c>
    </row>
    <row r="805" spans="1:2" x14ac:dyDescent="0.3">
      <c r="A805" s="5">
        <v>43157</v>
      </c>
      <c r="B805">
        <v>27.25</v>
      </c>
    </row>
    <row r="806" spans="1:2" x14ac:dyDescent="0.3">
      <c r="A806" s="5">
        <v>43158</v>
      </c>
      <c r="B806">
        <v>27.25</v>
      </c>
    </row>
    <row r="807" spans="1:2" x14ac:dyDescent="0.3">
      <c r="A807" s="5">
        <v>43159</v>
      </c>
      <c r="B807">
        <v>27.25</v>
      </c>
    </row>
    <row r="808" spans="1:2" x14ac:dyDescent="0.3">
      <c r="A808" s="5">
        <v>43160</v>
      </c>
      <c r="B808">
        <v>27.25</v>
      </c>
    </row>
    <row r="809" spans="1:2" x14ac:dyDescent="0.3">
      <c r="A809" s="5">
        <v>43161</v>
      </c>
      <c r="B809">
        <v>27.25</v>
      </c>
    </row>
    <row r="810" spans="1:2" x14ac:dyDescent="0.3">
      <c r="A810" s="5">
        <v>43162</v>
      </c>
      <c r="B810">
        <v>27.25</v>
      </c>
    </row>
    <row r="811" spans="1:2" x14ac:dyDescent="0.3">
      <c r="A811" s="5">
        <v>43163</v>
      </c>
      <c r="B811">
        <v>27.25</v>
      </c>
    </row>
    <row r="812" spans="1:2" x14ac:dyDescent="0.3">
      <c r="A812" s="5">
        <v>43164</v>
      </c>
      <c r="B812">
        <v>27.25</v>
      </c>
    </row>
    <row r="813" spans="1:2" x14ac:dyDescent="0.3">
      <c r="A813" s="5">
        <v>43165</v>
      </c>
      <c r="B813">
        <v>27.25</v>
      </c>
    </row>
    <row r="814" spans="1:2" x14ac:dyDescent="0.3">
      <c r="A814" s="5">
        <v>43166</v>
      </c>
      <c r="B814">
        <v>27.25</v>
      </c>
    </row>
    <row r="815" spans="1:2" x14ac:dyDescent="0.3">
      <c r="A815" s="5">
        <v>43167</v>
      </c>
      <c r="B815">
        <v>27.25</v>
      </c>
    </row>
    <row r="816" spans="1:2" x14ac:dyDescent="0.3">
      <c r="A816" s="5">
        <v>43168</v>
      </c>
      <c r="B816">
        <v>27.25</v>
      </c>
    </row>
    <row r="817" spans="1:2" x14ac:dyDescent="0.3">
      <c r="A817" s="5">
        <v>43169</v>
      </c>
      <c r="B817">
        <v>27.25</v>
      </c>
    </row>
    <row r="818" spans="1:2" x14ac:dyDescent="0.3">
      <c r="A818" s="5">
        <v>43170</v>
      </c>
      <c r="B818">
        <v>27.25</v>
      </c>
    </row>
    <row r="819" spans="1:2" x14ac:dyDescent="0.3">
      <c r="A819" s="5">
        <v>43171</v>
      </c>
      <c r="B819">
        <v>27.25</v>
      </c>
    </row>
    <row r="820" spans="1:2" x14ac:dyDescent="0.3">
      <c r="A820" s="5">
        <v>43172</v>
      </c>
      <c r="B820">
        <v>27.25</v>
      </c>
    </row>
    <row r="821" spans="1:2" x14ac:dyDescent="0.3">
      <c r="A821" s="5">
        <v>43173</v>
      </c>
      <c r="B821">
        <v>27.25</v>
      </c>
    </row>
    <row r="822" spans="1:2" x14ac:dyDescent="0.3">
      <c r="A822" s="5">
        <v>43174</v>
      </c>
      <c r="B822">
        <v>27.25</v>
      </c>
    </row>
    <row r="823" spans="1:2" x14ac:dyDescent="0.3">
      <c r="A823" s="5">
        <v>43175</v>
      </c>
      <c r="B823">
        <v>27.25</v>
      </c>
    </row>
    <row r="824" spans="1:2" x14ac:dyDescent="0.3">
      <c r="A824" s="5">
        <v>43176</v>
      </c>
      <c r="B824">
        <v>27.25</v>
      </c>
    </row>
    <row r="825" spans="1:2" x14ac:dyDescent="0.3">
      <c r="A825" s="5">
        <v>43177</v>
      </c>
      <c r="B825">
        <v>27.25</v>
      </c>
    </row>
    <row r="826" spans="1:2" x14ac:dyDescent="0.3">
      <c r="A826" s="5">
        <v>43178</v>
      </c>
      <c r="B826">
        <v>27.25</v>
      </c>
    </row>
    <row r="827" spans="1:2" x14ac:dyDescent="0.3">
      <c r="A827" s="5">
        <v>43179</v>
      </c>
      <c r="B827">
        <v>27.25</v>
      </c>
    </row>
    <row r="828" spans="1:2" x14ac:dyDescent="0.3">
      <c r="A828" s="5">
        <v>43180</v>
      </c>
      <c r="B828">
        <v>27.25</v>
      </c>
    </row>
    <row r="829" spans="1:2" x14ac:dyDescent="0.3">
      <c r="A829" s="5">
        <v>43181</v>
      </c>
      <c r="B829">
        <v>27.25</v>
      </c>
    </row>
    <row r="830" spans="1:2" x14ac:dyDescent="0.3">
      <c r="A830" s="5">
        <v>43182</v>
      </c>
      <c r="B830">
        <v>27.25</v>
      </c>
    </row>
    <row r="831" spans="1:2" x14ac:dyDescent="0.3">
      <c r="A831" s="5">
        <v>43183</v>
      </c>
      <c r="B831">
        <v>27.25</v>
      </c>
    </row>
    <row r="832" spans="1:2" x14ac:dyDescent="0.3">
      <c r="A832" s="5">
        <v>43184</v>
      </c>
      <c r="B832">
        <v>27.25</v>
      </c>
    </row>
    <row r="833" spans="1:2" x14ac:dyDescent="0.3">
      <c r="A833" s="5">
        <v>43185</v>
      </c>
      <c r="B833">
        <v>27.25</v>
      </c>
    </row>
    <row r="834" spans="1:2" x14ac:dyDescent="0.3">
      <c r="A834" s="5">
        <v>43186</v>
      </c>
      <c r="B834">
        <v>27.25</v>
      </c>
    </row>
    <row r="835" spans="1:2" x14ac:dyDescent="0.3">
      <c r="A835" s="5">
        <v>43187</v>
      </c>
      <c r="B835">
        <v>27.25</v>
      </c>
    </row>
    <row r="836" spans="1:2" x14ac:dyDescent="0.3">
      <c r="A836" s="5">
        <v>43188</v>
      </c>
      <c r="B836">
        <v>27.25</v>
      </c>
    </row>
    <row r="837" spans="1:2" x14ac:dyDescent="0.3">
      <c r="A837" s="5">
        <v>43189</v>
      </c>
      <c r="B837">
        <v>27.25</v>
      </c>
    </row>
    <row r="838" spans="1:2" x14ac:dyDescent="0.3">
      <c r="A838" s="5">
        <v>43190</v>
      </c>
      <c r="B838">
        <v>27.25</v>
      </c>
    </row>
    <row r="839" spans="1:2" x14ac:dyDescent="0.3">
      <c r="A839" s="5">
        <v>43191</v>
      </c>
      <c r="B839">
        <v>27.25</v>
      </c>
    </row>
    <row r="840" spans="1:2" x14ac:dyDescent="0.3">
      <c r="A840" s="5">
        <v>43192</v>
      </c>
      <c r="B840">
        <v>27.25</v>
      </c>
    </row>
    <row r="841" spans="1:2" x14ac:dyDescent="0.3">
      <c r="A841" s="5">
        <v>43193</v>
      </c>
      <c r="B841">
        <v>27.25</v>
      </c>
    </row>
    <row r="842" spans="1:2" x14ac:dyDescent="0.3">
      <c r="A842" s="5">
        <v>43194</v>
      </c>
      <c r="B842">
        <v>27.25</v>
      </c>
    </row>
    <row r="843" spans="1:2" x14ac:dyDescent="0.3">
      <c r="A843" s="5">
        <v>43195</v>
      </c>
      <c r="B843">
        <v>27.25</v>
      </c>
    </row>
    <row r="844" spans="1:2" x14ac:dyDescent="0.3">
      <c r="A844" s="5">
        <v>43196</v>
      </c>
      <c r="B844">
        <v>27.25</v>
      </c>
    </row>
    <row r="845" spans="1:2" x14ac:dyDescent="0.3">
      <c r="A845" s="5">
        <v>43197</v>
      </c>
      <c r="B845">
        <v>27.25</v>
      </c>
    </row>
    <row r="846" spans="1:2" x14ac:dyDescent="0.3">
      <c r="A846" s="5">
        <v>43198</v>
      </c>
      <c r="B846">
        <v>27.25</v>
      </c>
    </row>
    <row r="847" spans="1:2" x14ac:dyDescent="0.3">
      <c r="A847" s="5">
        <v>43199</v>
      </c>
      <c r="B847">
        <v>27.25</v>
      </c>
    </row>
    <row r="848" spans="1:2" x14ac:dyDescent="0.3">
      <c r="A848" s="5">
        <v>43200</v>
      </c>
      <c r="B848">
        <v>27.25</v>
      </c>
    </row>
    <row r="849" spans="1:2" x14ac:dyDescent="0.3">
      <c r="A849" s="5">
        <v>43201</v>
      </c>
      <c r="B849">
        <v>27.25</v>
      </c>
    </row>
    <row r="850" spans="1:2" x14ac:dyDescent="0.3">
      <c r="A850" s="5">
        <v>43202</v>
      </c>
      <c r="B850">
        <v>27.25</v>
      </c>
    </row>
    <row r="851" spans="1:2" x14ac:dyDescent="0.3">
      <c r="A851" s="5">
        <v>43203</v>
      </c>
      <c r="B851">
        <v>27.25</v>
      </c>
    </row>
    <row r="852" spans="1:2" x14ac:dyDescent="0.3">
      <c r="A852" s="5">
        <v>43204</v>
      </c>
      <c r="B852">
        <v>27.25</v>
      </c>
    </row>
    <row r="853" spans="1:2" x14ac:dyDescent="0.3">
      <c r="A853" s="5">
        <v>43205</v>
      </c>
      <c r="B853">
        <v>27.25</v>
      </c>
    </row>
    <row r="854" spans="1:2" x14ac:dyDescent="0.3">
      <c r="A854" s="5">
        <v>43206</v>
      </c>
      <c r="B854">
        <v>27.25</v>
      </c>
    </row>
    <row r="855" spans="1:2" x14ac:dyDescent="0.3">
      <c r="A855" s="5">
        <v>43207</v>
      </c>
      <c r="B855">
        <v>27.25</v>
      </c>
    </row>
    <row r="856" spans="1:2" x14ac:dyDescent="0.3">
      <c r="A856" s="5">
        <v>43208</v>
      </c>
      <c r="B856">
        <v>27.25</v>
      </c>
    </row>
    <row r="857" spans="1:2" x14ac:dyDescent="0.3">
      <c r="A857" s="5">
        <v>43209</v>
      </c>
      <c r="B857">
        <v>27.25</v>
      </c>
    </row>
    <row r="858" spans="1:2" x14ac:dyDescent="0.3">
      <c r="A858" s="5">
        <v>43210</v>
      </c>
      <c r="B858">
        <v>27.25</v>
      </c>
    </row>
    <row r="859" spans="1:2" x14ac:dyDescent="0.3">
      <c r="A859" s="5">
        <v>43211</v>
      </c>
      <c r="B859">
        <v>27.25</v>
      </c>
    </row>
    <row r="860" spans="1:2" x14ac:dyDescent="0.3">
      <c r="A860" s="5">
        <v>43212</v>
      </c>
      <c r="B860">
        <v>27.25</v>
      </c>
    </row>
    <row r="861" spans="1:2" x14ac:dyDescent="0.3">
      <c r="A861" s="5">
        <v>43213</v>
      </c>
      <c r="B861">
        <v>27.25</v>
      </c>
    </row>
    <row r="862" spans="1:2" x14ac:dyDescent="0.3">
      <c r="A862" s="5">
        <v>43214</v>
      </c>
      <c r="B862">
        <v>27.25</v>
      </c>
    </row>
    <row r="863" spans="1:2" x14ac:dyDescent="0.3">
      <c r="A863" s="5">
        <v>43215</v>
      </c>
      <c r="B863">
        <v>27.25</v>
      </c>
    </row>
    <row r="864" spans="1:2" x14ac:dyDescent="0.3">
      <c r="A864" s="5">
        <v>43216</v>
      </c>
      <c r="B864">
        <v>27.25</v>
      </c>
    </row>
    <row r="865" spans="1:2" x14ac:dyDescent="0.3">
      <c r="A865" s="5">
        <v>43217</v>
      </c>
      <c r="B865">
        <v>30.25</v>
      </c>
    </row>
    <row r="866" spans="1:2" x14ac:dyDescent="0.3">
      <c r="A866" s="5">
        <v>43218</v>
      </c>
      <c r="B866">
        <v>30.25</v>
      </c>
    </row>
    <row r="867" spans="1:2" x14ac:dyDescent="0.3">
      <c r="A867" s="5">
        <v>43219</v>
      </c>
      <c r="B867">
        <v>30.25</v>
      </c>
    </row>
    <row r="868" spans="1:2" x14ac:dyDescent="0.3">
      <c r="A868" s="5">
        <v>43220</v>
      </c>
      <c r="B868">
        <v>30.25</v>
      </c>
    </row>
    <row r="869" spans="1:2" x14ac:dyDescent="0.3">
      <c r="A869" s="5">
        <v>43221</v>
      </c>
      <c r="B869">
        <v>30.25</v>
      </c>
    </row>
    <row r="870" spans="1:2" x14ac:dyDescent="0.3">
      <c r="A870" s="5">
        <v>43222</v>
      </c>
      <c r="B870">
        <v>30.25</v>
      </c>
    </row>
    <row r="871" spans="1:2" x14ac:dyDescent="0.3">
      <c r="A871" s="5">
        <v>43223</v>
      </c>
      <c r="B871">
        <v>33.25</v>
      </c>
    </row>
    <row r="872" spans="1:2" x14ac:dyDescent="0.3">
      <c r="A872" s="5">
        <v>43224</v>
      </c>
      <c r="B872">
        <v>40</v>
      </c>
    </row>
    <row r="873" spans="1:2" x14ac:dyDescent="0.3">
      <c r="A873" s="5">
        <v>43225</v>
      </c>
      <c r="B873">
        <v>40</v>
      </c>
    </row>
    <row r="874" spans="1:2" x14ac:dyDescent="0.3">
      <c r="A874" s="5">
        <v>43226</v>
      </c>
      <c r="B874">
        <v>40</v>
      </c>
    </row>
    <row r="875" spans="1:2" x14ac:dyDescent="0.3">
      <c r="A875" s="5">
        <v>43227</v>
      </c>
      <c r="B875">
        <v>40</v>
      </c>
    </row>
    <row r="876" spans="1:2" x14ac:dyDescent="0.3">
      <c r="A876" s="5">
        <v>43228</v>
      </c>
      <c r="B876">
        <v>40</v>
      </c>
    </row>
    <row r="877" spans="1:2" x14ac:dyDescent="0.3">
      <c r="A877" s="5">
        <v>43229</v>
      </c>
      <c r="B877">
        <v>40</v>
      </c>
    </row>
    <row r="878" spans="1:2" x14ac:dyDescent="0.3">
      <c r="A878" s="5">
        <v>43230</v>
      </c>
      <c r="B878">
        <v>40</v>
      </c>
    </row>
    <row r="879" spans="1:2" x14ac:dyDescent="0.3">
      <c r="A879" s="5">
        <v>43231</v>
      </c>
      <c r="B879">
        <v>40</v>
      </c>
    </row>
    <row r="880" spans="1:2" x14ac:dyDescent="0.3">
      <c r="A880" s="5">
        <v>43232</v>
      </c>
      <c r="B880">
        <v>40</v>
      </c>
    </row>
    <row r="881" spans="1:2" x14ac:dyDescent="0.3">
      <c r="A881" s="5">
        <v>43233</v>
      </c>
      <c r="B881">
        <v>40</v>
      </c>
    </row>
    <row r="882" spans="1:2" x14ac:dyDescent="0.3">
      <c r="A882" s="5">
        <v>43234</v>
      </c>
      <c r="B882">
        <v>40</v>
      </c>
    </row>
    <row r="883" spans="1:2" x14ac:dyDescent="0.3">
      <c r="A883" s="5">
        <v>43235</v>
      </c>
      <c r="B883">
        <v>40</v>
      </c>
    </row>
    <row r="884" spans="1:2" x14ac:dyDescent="0.3">
      <c r="A884" s="5">
        <v>43236</v>
      </c>
      <c r="B884">
        <v>40</v>
      </c>
    </row>
    <row r="885" spans="1:2" x14ac:dyDescent="0.3">
      <c r="A885" s="5">
        <v>43237</v>
      </c>
      <c r="B885">
        <v>40</v>
      </c>
    </row>
    <row r="886" spans="1:2" x14ac:dyDescent="0.3">
      <c r="A886" s="5">
        <v>43238</v>
      </c>
      <c r="B886">
        <v>40</v>
      </c>
    </row>
    <row r="887" spans="1:2" x14ac:dyDescent="0.3">
      <c r="A887" s="5">
        <v>43239</v>
      </c>
      <c r="B887">
        <v>40</v>
      </c>
    </row>
    <row r="888" spans="1:2" x14ac:dyDescent="0.3">
      <c r="A888" s="5">
        <v>43240</v>
      </c>
      <c r="B888">
        <v>40</v>
      </c>
    </row>
    <row r="889" spans="1:2" x14ac:dyDescent="0.3">
      <c r="A889" s="5">
        <v>43241</v>
      </c>
      <c r="B889">
        <v>40</v>
      </c>
    </row>
    <row r="890" spans="1:2" x14ac:dyDescent="0.3">
      <c r="A890" s="5">
        <v>43242</v>
      </c>
      <c r="B890">
        <v>40</v>
      </c>
    </row>
    <row r="891" spans="1:2" x14ac:dyDescent="0.3">
      <c r="A891" s="5">
        <v>43243</v>
      </c>
      <c r="B891">
        <v>40</v>
      </c>
    </row>
    <row r="892" spans="1:2" x14ac:dyDescent="0.3">
      <c r="A892" s="5">
        <v>43244</v>
      </c>
      <c r="B892">
        <v>40</v>
      </c>
    </row>
    <row r="893" spans="1:2" x14ac:dyDescent="0.3">
      <c r="A893" s="5">
        <v>43245</v>
      </c>
      <c r="B893">
        <v>40</v>
      </c>
    </row>
    <row r="894" spans="1:2" x14ac:dyDescent="0.3">
      <c r="A894" s="5">
        <v>43246</v>
      </c>
      <c r="B894">
        <v>40</v>
      </c>
    </row>
    <row r="895" spans="1:2" x14ac:dyDescent="0.3">
      <c r="A895" s="5">
        <v>43247</v>
      </c>
      <c r="B895">
        <v>40</v>
      </c>
    </row>
    <row r="896" spans="1:2" x14ac:dyDescent="0.3">
      <c r="A896" s="5">
        <v>43248</v>
      </c>
      <c r="B896">
        <v>40</v>
      </c>
    </row>
    <row r="897" spans="1:2" x14ac:dyDescent="0.3">
      <c r="A897" s="5">
        <v>43249</v>
      </c>
      <c r="B897">
        <v>40</v>
      </c>
    </row>
    <row r="898" spans="1:2" x14ac:dyDescent="0.3">
      <c r="A898" s="5">
        <v>43250</v>
      </c>
      <c r="B898">
        <v>40</v>
      </c>
    </row>
    <row r="899" spans="1:2" x14ac:dyDescent="0.3">
      <c r="A899" s="5">
        <v>43251</v>
      </c>
      <c r="B899">
        <v>40</v>
      </c>
    </row>
    <row r="900" spans="1:2" x14ac:dyDescent="0.3">
      <c r="A900" s="5">
        <v>43252</v>
      </c>
      <c r="B900">
        <v>40</v>
      </c>
    </row>
    <row r="901" spans="1:2" x14ac:dyDescent="0.3">
      <c r="A901" s="5">
        <v>43253</v>
      </c>
      <c r="B901">
        <v>40</v>
      </c>
    </row>
    <row r="902" spans="1:2" x14ac:dyDescent="0.3">
      <c r="A902" s="5">
        <v>43254</v>
      </c>
      <c r="B902">
        <v>40</v>
      </c>
    </row>
    <row r="903" spans="1:2" x14ac:dyDescent="0.3">
      <c r="A903" s="5">
        <v>43255</v>
      </c>
      <c r="B903">
        <v>40</v>
      </c>
    </row>
    <row r="904" spans="1:2" x14ac:dyDescent="0.3">
      <c r="A904" s="5">
        <v>43256</v>
      </c>
      <c r="B904">
        <v>40</v>
      </c>
    </row>
    <row r="905" spans="1:2" x14ac:dyDescent="0.3">
      <c r="A905" s="5">
        <v>43257</v>
      </c>
      <c r="B905">
        <v>40</v>
      </c>
    </row>
    <row r="906" spans="1:2" x14ac:dyDescent="0.3">
      <c r="A906" s="5">
        <v>43258</v>
      </c>
      <c r="B906">
        <v>40</v>
      </c>
    </row>
    <row r="907" spans="1:2" x14ac:dyDescent="0.3">
      <c r="A907" s="5">
        <v>43259</v>
      </c>
      <c r="B907">
        <v>40</v>
      </c>
    </row>
    <row r="908" spans="1:2" x14ac:dyDescent="0.3">
      <c r="A908" s="5">
        <v>43260</v>
      </c>
      <c r="B908">
        <v>40</v>
      </c>
    </row>
    <row r="909" spans="1:2" x14ac:dyDescent="0.3">
      <c r="A909" s="5">
        <v>43261</v>
      </c>
      <c r="B909">
        <v>40</v>
      </c>
    </row>
    <row r="910" spans="1:2" x14ac:dyDescent="0.3">
      <c r="A910" s="5">
        <v>43262</v>
      </c>
      <c r="B910">
        <v>40</v>
      </c>
    </row>
    <row r="911" spans="1:2" x14ac:dyDescent="0.3">
      <c r="A911" s="5">
        <v>43263</v>
      </c>
      <c r="B911">
        <v>40</v>
      </c>
    </row>
    <row r="912" spans="1:2" x14ac:dyDescent="0.3">
      <c r="A912" s="5">
        <v>43264</v>
      </c>
      <c r="B912">
        <v>40</v>
      </c>
    </row>
    <row r="913" spans="1:2" x14ac:dyDescent="0.3">
      <c r="A913" s="5">
        <v>43265</v>
      </c>
      <c r="B913">
        <v>40</v>
      </c>
    </row>
    <row r="914" spans="1:2" x14ac:dyDescent="0.3">
      <c r="A914" s="5">
        <v>43266</v>
      </c>
      <c r="B914">
        <v>40</v>
      </c>
    </row>
    <row r="915" spans="1:2" x14ac:dyDescent="0.3">
      <c r="A915" s="5">
        <v>43267</v>
      </c>
      <c r="B915">
        <v>40</v>
      </c>
    </row>
    <row r="916" spans="1:2" x14ac:dyDescent="0.3">
      <c r="A916" s="5">
        <v>43268</v>
      </c>
      <c r="B916">
        <v>40</v>
      </c>
    </row>
    <row r="917" spans="1:2" x14ac:dyDescent="0.3">
      <c r="A917" s="5">
        <v>43269</v>
      </c>
      <c r="B917">
        <v>40</v>
      </c>
    </row>
    <row r="918" spans="1:2" x14ac:dyDescent="0.3">
      <c r="A918" s="5">
        <v>43270</v>
      </c>
      <c r="B918">
        <v>40</v>
      </c>
    </row>
    <row r="919" spans="1:2" x14ac:dyDescent="0.3">
      <c r="A919" s="5">
        <v>43271</v>
      </c>
      <c r="B919">
        <v>40</v>
      </c>
    </row>
    <row r="920" spans="1:2" x14ac:dyDescent="0.3">
      <c r="A920" s="5">
        <v>43272</v>
      </c>
      <c r="B920">
        <v>40</v>
      </c>
    </row>
    <row r="921" spans="1:2" x14ac:dyDescent="0.3">
      <c r="A921" s="5">
        <v>43273</v>
      </c>
      <c r="B921">
        <v>40</v>
      </c>
    </row>
    <row r="922" spans="1:2" x14ac:dyDescent="0.3">
      <c r="A922" s="5">
        <v>43274</v>
      </c>
      <c r="B922">
        <v>40</v>
      </c>
    </row>
    <row r="923" spans="1:2" x14ac:dyDescent="0.3">
      <c r="A923" s="5">
        <v>43275</v>
      </c>
      <c r="B923">
        <v>40</v>
      </c>
    </row>
    <row r="924" spans="1:2" x14ac:dyDescent="0.3">
      <c r="A924" s="5">
        <v>43276</v>
      </c>
      <c r="B924">
        <v>40</v>
      </c>
    </row>
    <row r="925" spans="1:2" x14ac:dyDescent="0.3">
      <c r="A925" s="5">
        <v>43277</v>
      </c>
      <c r="B925">
        <v>40</v>
      </c>
    </row>
    <row r="926" spans="1:2" x14ac:dyDescent="0.3">
      <c r="A926" s="5">
        <v>43278</v>
      </c>
      <c r="B926">
        <v>40</v>
      </c>
    </row>
    <row r="927" spans="1:2" x14ac:dyDescent="0.3">
      <c r="A927" s="5">
        <v>43279</v>
      </c>
      <c r="B927">
        <v>40</v>
      </c>
    </row>
    <row r="928" spans="1:2" x14ac:dyDescent="0.3">
      <c r="A928" s="5">
        <v>43280</v>
      </c>
      <c r="B928">
        <v>40</v>
      </c>
    </row>
    <row r="929" spans="1:2" x14ac:dyDescent="0.3">
      <c r="A929" s="5">
        <v>43281</v>
      </c>
      <c r="B929">
        <v>40</v>
      </c>
    </row>
    <row r="930" spans="1:2" x14ac:dyDescent="0.3">
      <c r="A930" s="5">
        <v>43282</v>
      </c>
      <c r="B930">
        <v>40</v>
      </c>
    </row>
    <row r="931" spans="1:2" x14ac:dyDescent="0.3">
      <c r="A931" s="5">
        <v>43283</v>
      </c>
      <c r="B931">
        <v>40</v>
      </c>
    </row>
    <row r="932" spans="1:2" x14ac:dyDescent="0.3">
      <c r="A932" s="5">
        <v>43284</v>
      </c>
      <c r="B932">
        <v>40</v>
      </c>
    </row>
    <row r="933" spans="1:2" x14ac:dyDescent="0.3">
      <c r="A933" s="5">
        <v>43285</v>
      </c>
      <c r="B933">
        <v>40</v>
      </c>
    </row>
    <row r="934" spans="1:2" x14ac:dyDescent="0.3">
      <c r="A934" s="5">
        <v>43286</v>
      </c>
      <c r="B934">
        <v>40</v>
      </c>
    </row>
    <row r="935" spans="1:2" x14ac:dyDescent="0.3">
      <c r="A935" s="5">
        <v>43287</v>
      </c>
      <c r="B935">
        <v>40</v>
      </c>
    </row>
    <row r="936" spans="1:2" x14ac:dyDescent="0.3">
      <c r="A936" s="5">
        <v>43288</v>
      </c>
      <c r="B936">
        <v>40</v>
      </c>
    </row>
    <row r="937" spans="1:2" x14ac:dyDescent="0.3">
      <c r="A937" s="5">
        <v>43289</v>
      </c>
      <c r="B937">
        <v>40</v>
      </c>
    </row>
    <row r="938" spans="1:2" x14ac:dyDescent="0.3">
      <c r="A938" s="5">
        <v>43290</v>
      </c>
      <c r="B938">
        <v>40</v>
      </c>
    </row>
    <row r="939" spans="1:2" x14ac:dyDescent="0.3">
      <c r="A939" s="5">
        <v>43291</v>
      </c>
      <c r="B939">
        <v>40</v>
      </c>
    </row>
    <row r="940" spans="1:2" x14ac:dyDescent="0.3">
      <c r="A940" s="5">
        <v>43292</v>
      </c>
      <c r="B940">
        <v>40</v>
      </c>
    </row>
    <row r="941" spans="1:2" x14ac:dyDescent="0.3">
      <c r="A941" s="5">
        <v>43293</v>
      </c>
      <c r="B941">
        <v>40</v>
      </c>
    </row>
    <row r="942" spans="1:2" x14ac:dyDescent="0.3">
      <c r="A942" s="5">
        <v>43294</v>
      </c>
      <c r="B942">
        <v>40</v>
      </c>
    </row>
    <row r="943" spans="1:2" x14ac:dyDescent="0.3">
      <c r="A943" s="5">
        <v>43295</v>
      </c>
      <c r="B943">
        <v>40</v>
      </c>
    </row>
    <row r="944" spans="1:2" x14ac:dyDescent="0.3">
      <c r="A944" s="5">
        <v>43296</v>
      </c>
      <c r="B944">
        <v>40</v>
      </c>
    </row>
    <row r="945" spans="1:2" x14ac:dyDescent="0.3">
      <c r="A945" s="5">
        <v>43297</v>
      </c>
      <c r="B945">
        <v>40</v>
      </c>
    </row>
    <row r="946" spans="1:2" x14ac:dyDescent="0.3">
      <c r="A946" s="5">
        <v>43298</v>
      </c>
      <c r="B946">
        <v>40</v>
      </c>
    </row>
    <row r="947" spans="1:2" x14ac:dyDescent="0.3">
      <c r="A947" s="5">
        <v>43299</v>
      </c>
      <c r="B947">
        <v>40</v>
      </c>
    </row>
    <row r="948" spans="1:2" x14ac:dyDescent="0.3">
      <c r="A948" s="5">
        <v>43300</v>
      </c>
      <c r="B948">
        <v>40</v>
      </c>
    </row>
    <row r="949" spans="1:2" x14ac:dyDescent="0.3">
      <c r="A949" s="5">
        <v>43301</v>
      </c>
      <c r="B949">
        <v>40</v>
      </c>
    </row>
    <row r="950" spans="1:2" x14ac:dyDescent="0.3">
      <c r="A950" s="5">
        <v>43302</v>
      </c>
      <c r="B950">
        <v>40</v>
      </c>
    </row>
    <row r="951" spans="1:2" x14ac:dyDescent="0.3">
      <c r="A951" s="5">
        <v>43303</v>
      </c>
      <c r="B951">
        <v>40</v>
      </c>
    </row>
    <row r="952" spans="1:2" x14ac:dyDescent="0.3">
      <c r="A952" s="5">
        <v>43304</v>
      </c>
      <c r="B952">
        <v>40</v>
      </c>
    </row>
    <row r="953" spans="1:2" x14ac:dyDescent="0.3">
      <c r="A953" s="5">
        <v>43305</v>
      </c>
      <c r="B953">
        <v>40</v>
      </c>
    </row>
    <row r="954" spans="1:2" x14ac:dyDescent="0.3">
      <c r="A954" s="5">
        <v>43306</v>
      </c>
      <c r="B954">
        <v>40</v>
      </c>
    </row>
    <row r="955" spans="1:2" x14ac:dyDescent="0.3">
      <c r="A955" s="5">
        <v>43307</v>
      </c>
      <c r="B955">
        <v>40</v>
      </c>
    </row>
    <row r="956" spans="1:2" x14ac:dyDescent="0.3">
      <c r="A956" s="5">
        <v>43308</v>
      </c>
      <c r="B956">
        <v>40</v>
      </c>
    </row>
    <row r="957" spans="1:2" x14ac:dyDescent="0.3">
      <c r="A957" s="5">
        <v>43309</v>
      </c>
      <c r="B957">
        <v>40</v>
      </c>
    </row>
    <row r="958" spans="1:2" x14ac:dyDescent="0.3">
      <c r="A958" s="5">
        <v>43310</v>
      </c>
      <c r="B958">
        <v>40</v>
      </c>
    </row>
    <row r="959" spans="1:2" x14ac:dyDescent="0.3">
      <c r="A959" s="5">
        <v>43311</v>
      </c>
      <c r="B959">
        <v>40</v>
      </c>
    </row>
    <row r="960" spans="1:2" x14ac:dyDescent="0.3">
      <c r="A960" s="5">
        <v>43312</v>
      </c>
      <c r="B960">
        <v>40</v>
      </c>
    </row>
    <row r="961" spans="1:2" x14ac:dyDescent="0.3">
      <c r="A961" s="5">
        <v>43313</v>
      </c>
      <c r="B961">
        <v>40</v>
      </c>
    </row>
    <row r="962" spans="1:2" x14ac:dyDescent="0.3">
      <c r="A962" s="5">
        <v>43314</v>
      </c>
      <c r="B962">
        <v>40</v>
      </c>
    </row>
    <row r="963" spans="1:2" x14ac:dyDescent="0.3">
      <c r="A963" s="5">
        <v>43315</v>
      </c>
      <c r="B963">
        <v>40</v>
      </c>
    </row>
    <row r="964" spans="1:2" x14ac:dyDescent="0.3">
      <c r="A964" s="5">
        <v>43316</v>
      </c>
      <c r="B964">
        <v>40</v>
      </c>
    </row>
    <row r="965" spans="1:2" x14ac:dyDescent="0.3">
      <c r="A965" s="5">
        <v>43317</v>
      </c>
      <c r="B965">
        <v>40</v>
      </c>
    </row>
    <row r="966" spans="1:2" x14ac:dyDescent="0.3">
      <c r="A966" s="5">
        <v>43318</v>
      </c>
      <c r="B966">
        <v>40</v>
      </c>
    </row>
    <row r="967" spans="1:2" x14ac:dyDescent="0.3">
      <c r="A967" s="5">
        <v>43319</v>
      </c>
      <c r="B967">
        <v>40</v>
      </c>
    </row>
    <row r="968" spans="1:2" x14ac:dyDescent="0.3">
      <c r="A968" s="5">
        <v>43320</v>
      </c>
      <c r="B968">
        <v>40</v>
      </c>
    </row>
    <row r="969" spans="1:2" x14ac:dyDescent="0.3">
      <c r="A969" s="5">
        <v>43321</v>
      </c>
      <c r="B969">
        <v>40</v>
      </c>
    </row>
    <row r="970" spans="1:2" x14ac:dyDescent="0.3">
      <c r="A970" s="5">
        <v>43322</v>
      </c>
      <c r="B970">
        <v>40</v>
      </c>
    </row>
    <row r="971" spans="1:2" x14ac:dyDescent="0.3">
      <c r="A971" s="5">
        <v>43323</v>
      </c>
      <c r="B971">
        <v>40</v>
      </c>
    </row>
    <row r="972" spans="1:2" x14ac:dyDescent="0.3">
      <c r="A972" s="5">
        <v>43324</v>
      </c>
      <c r="B972">
        <v>40</v>
      </c>
    </row>
    <row r="973" spans="1:2" x14ac:dyDescent="0.3">
      <c r="A973" s="5">
        <v>43325</v>
      </c>
      <c r="B973">
        <v>45</v>
      </c>
    </row>
    <row r="974" spans="1:2" x14ac:dyDescent="0.3">
      <c r="A974" s="5">
        <v>43326</v>
      </c>
      <c r="B974">
        <v>45</v>
      </c>
    </row>
    <row r="975" spans="1:2" x14ac:dyDescent="0.3">
      <c r="A975" s="5">
        <v>43327</v>
      </c>
      <c r="B975">
        <v>45</v>
      </c>
    </row>
    <row r="976" spans="1:2" x14ac:dyDescent="0.3">
      <c r="A976" s="5">
        <v>43328</v>
      </c>
      <c r="B976">
        <v>45</v>
      </c>
    </row>
    <row r="977" spans="1:2" x14ac:dyDescent="0.3">
      <c r="A977" s="5">
        <v>43329</v>
      </c>
      <c r="B977">
        <v>45</v>
      </c>
    </row>
    <row r="978" spans="1:2" x14ac:dyDescent="0.3">
      <c r="A978" s="5">
        <v>43330</v>
      </c>
      <c r="B978">
        <v>45</v>
      </c>
    </row>
    <row r="979" spans="1:2" x14ac:dyDescent="0.3">
      <c r="A979" s="5">
        <v>43331</v>
      </c>
      <c r="B979">
        <v>45</v>
      </c>
    </row>
    <row r="980" spans="1:2" x14ac:dyDescent="0.3">
      <c r="A980" s="5">
        <v>43332</v>
      </c>
      <c r="B980">
        <v>45</v>
      </c>
    </row>
    <row r="981" spans="1:2" x14ac:dyDescent="0.3">
      <c r="A981" s="5">
        <v>43333</v>
      </c>
      <c r="B981">
        <v>45</v>
      </c>
    </row>
    <row r="982" spans="1:2" x14ac:dyDescent="0.3">
      <c r="A982" s="5">
        <v>43334</v>
      </c>
      <c r="B982">
        <v>45</v>
      </c>
    </row>
    <row r="983" spans="1:2" x14ac:dyDescent="0.3">
      <c r="A983" s="5">
        <v>43335</v>
      </c>
      <c r="B983">
        <v>45</v>
      </c>
    </row>
    <row r="984" spans="1:2" x14ac:dyDescent="0.3">
      <c r="A984" s="5">
        <v>43336</v>
      </c>
      <c r="B984">
        <v>45</v>
      </c>
    </row>
    <row r="985" spans="1:2" x14ac:dyDescent="0.3">
      <c r="A985" s="5">
        <v>43337</v>
      </c>
      <c r="B985">
        <v>45</v>
      </c>
    </row>
    <row r="986" spans="1:2" x14ac:dyDescent="0.3">
      <c r="A986" s="5">
        <v>43338</v>
      </c>
      <c r="B986">
        <v>45</v>
      </c>
    </row>
    <row r="987" spans="1:2" x14ac:dyDescent="0.3">
      <c r="A987" s="5">
        <v>43339</v>
      </c>
      <c r="B987">
        <v>45</v>
      </c>
    </row>
    <row r="988" spans="1:2" x14ac:dyDescent="0.3">
      <c r="A988" s="5">
        <v>43340</v>
      </c>
      <c r="B988">
        <v>45</v>
      </c>
    </row>
    <row r="989" spans="1:2" x14ac:dyDescent="0.3">
      <c r="A989" s="5">
        <v>43341</v>
      </c>
      <c r="B989">
        <v>45</v>
      </c>
    </row>
    <row r="990" spans="1:2" x14ac:dyDescent="0.3">
      <c r="A990" s="5">
        <v>43342</v>
      </c>
      <c r="B990">
        <v>60</v>
      </c>
    </row>
    <row r="991" spans="1:2" x14ac:dyDescent="0.3">
      <c r="A991" s="5">
        <v>43343</v>
      </c>
      <c r="B991">
        <v>60</v>
      </c>
    </row>
    <row r="992" spans="1:2" x14ac:dyDescent="0.3">
      <c r="A992" s="5">
        <v>43344</v>
      </c>
      <c r="B992">
        <v>60</v>
      </c>
    </row>
    <row r="993" spans="1:2" x14ac:dyDescent="0.3">
      <c r="A993" s="5">
        <v>43345</v>
      </c>
      <c r="B993">
        <v>60</v>
      </c>
    </row>
    <row r="994" spans="1:2" x14ac:dyDescent="0.3">
      <c r="A994" s="5">
        <v>43346</v>
      </c>
      <c r="B994">
        <v>60</v>
      </c>
    </row>
    <row r="995" spans="1:2" x14ac:dyDescent="0.3">
      <c r="A995" s="5">
        <v>43347</v>
      </c>
      <c r="B995">
        <v>60</v>
      </c>
    </row>
    <row r="996" spans="1:2" x14ac:dyDescent="0.3">
      <c r="A996" s="5">
        <v>43348</v>
      </c>
      <c r="B996">
        <v>60</v>
      </c>
    </row>
    <row r="997" spans="1:2" x14ac:dyDescent="0.3">
      <c r="A997" s="5">
        <v>43349</v>
      </c>
      <c r="B997">
        <v>60</v>
      </c>
    </row>
    <row r="998" spans="1:2" x14ac:dyDescent="0.3">
      <c r="A998" s="5">
        <v>43350</v>
      </c>
      <c r="B998">
        <v>60</v>
      </c>
    </row>
    <row r="999" spans="1:2" x14ac:dyDescent="0.3">
      <c r="A999" s="5">
        <v>43351</v>
      </c>
      <c r="B999">
        <v>60</v>
      </c>
    </row>
    <row r="1000" spans="1:2" x14ac:dyDescent="0.3">
      <c r="A1000" s="5">
        <v>43352</v>
      </c>
      <c r="B1000">
        <v>60</v>
      </c>
    </row>
    <row r="1001" spans="1:2" x14ac:dyDescent="0.3">
      <c r="A1001" s="5">
        <v>43353</v>
      </c>
      <c r="B1001">
        <v>60</v>
      </c>
    </row>
    <row r="1002" spans="1:2" x14ac:dyDescent="0.3">
      <c r="A1002" s="5">
        <v>43354</v>
      </c>
      <c r="B1002">
        <v>60</v>
      </c>
    </row>
    <row r="1003" spans="1:2" x14ac:dyDescent="0.3">
      <c r="A1003" s="5">
        <v>43355</v>
      </c>
      <c r="B1003">
        <v>60</v>
      </c>
    </row>
    <row r="1004" spans="1:2" x14ac:dyDescent="0.3">
      <c r="A1004" s="5">
        <v>43356</v>
      </c>
      <c r="B1004">
        <v>60</v>
      </c>
    </row>
    <row r="1005" spans="1:2" x14ac:dyDescent="0.3">
      <c r="A1005" s="5">
        <v>43357</v>
      </c>
      <c r="B1005">
        <v>60</v>
      </c>
    </row>
    <row r="1006" spans="1:2" x14ac:dyDescent="0.3">
      <c r="A1006" s="5">
        <v>43358</v>
      </c>
      <c r="B1006">
        <v>60</v>
      </c>
    </row>
    <row r="1007" spans="1:2" x14ac:dyDescent="0.3">
      <c r="A1007" s="5">
        <v>43359</v>
      </c>
      <c r="B1007">
        <v>60</v>
      </c>
    </row>
    <row r="1008" spans="1:2" x14ac:dyDescent="0.3">
      <c r="A1008" s="5">
        <v>43360</v>
      </c>
      <c r="B1008">
        <v>60</v>
      </c>
    </row>
    <row r="1009" spans="1:2" x14ac:dyDescent="0.3">
      <c r="A1009" s="5">
        <v>43361</v>
      </c>
      <c r="B1009">
        <v>60</v>
      </c>
    </row>
    <row r="1010" spans="1:2" x14ac:dyDescent="0.3">
      <c r="A1010" s="5">
        <v>43362</v>
      </c>
      <c r="B1010">
        <v>60</v>
      </c>
    </row>
    <row r="1011" spans="1:2" x14ac:dyDescent="0.3">
      <c r="A1011" s="5">
        <v>43363</v>
      </c>
      <c r="B1011">
        <v>60</v>
      </c>
    </row>
    <row r="1012" spans="1:2" x14ac:dyDescent="0.3">
      <c r="A1012" s="5">
        <v>43364</v>
      </c>
      <c r="B1012">
        <v>60</v>
      </c>
    </row>
    <row r="1013" spans="1:2" x14ac:dyDescent="0.3">
      <c r="A1013" s="5">
        <v>43365</v>
      </c>
      <c r="B1013">
        <v>60</v>
      </c>
    </row>
    <row r="1014" spans="1:2" x14ac:dyDescent="0.3">
      <c r="A1014" s="5">
        <v>43366</v>
      </c>
      <c r="B1014">
        <v>60</v>
      </c>
    </row>
    <row r="1015" spans="1:2" x14ac:dyDescent="0.3">
      <c r="A1015" s="5">
        <v>43367</v>
      </c>
      <c r="B1015">
        <v>60</v>
      </c>
    </row>
    <row r="1016" spans="1:2" x14ac:dyDescent="0.3">
      <c r="A1016" s="5">
        <v>43368</v>
      </c>
      <c r="B1016">
        <v>60</v>
      </c>
    </row>
    <row r="1017" spans="1:2" x14ac:dyDescent="0.3">
      <c r="A1017" s="5">
        <v>43369</v>
      </c>
      <c r="B1017">
        <v>60</v>
      </c>
    </row>
    <row r="1018" spans="1:2" x14ac:dyDescent="0.3">
      <c r="A1018" s="5">
        <v>43370</v>
      </c>
      <c r="B1018">
        <v>60</v>
      </c>
    </row>
    <row r="1019" spans="1:2" x14ac:dyDescent="0.3">
      <c r="A1019" s="5">
        <v>43371</v>
      </c>
      <c r="B1019">
        <v>65</v>
      </c>
    </row>
    <row r="1020" spans="1:2" x14ac:dyDescent="0.3">
      <c r="A1020" s="5">
        <v>43372</v>
      </c>
      <c r="B1020">
        <v>65</v>
      </c>
    </row>
    <row r="1021" spans="1:2" x14ac:dyDescent="0.3">
      <c r="A1021" s="5">
        <v>43373</v>
      </c>
      <c r="B1021">
        <v>65</v>
      </c>
    </row>
    <row r="1022" spans="1:2" x14ac:dyDescent="0.3">
      <c r="A1022" s="5">
        <v>43374</v>
      </c>
      <c r="B1022">
        <v>67.174999999999997</v>
      </c>
    </row>
    <row r="1023" spans="1:2" x14ac:dyDescent="0.3">
      <c r="A1023" s="5">
        <v>43375</v>
      </c>
      <c r="B1023">
        <v>69.465000000000003</v>
      </c>
    </row>
    <row r="1024" spans="1:2" x14ac:dyDescent="0.3">
      <c r="A1024" s="5">
        <v>43376</v>
      </c>
      <c r="B1024">
        <v>71.266999999999996</v>
      </c>
    </row>
    <row r="1025" spans="1:2" x14ac:dyDescent="0.3">
      <c r="A1025" s="5">
        <v>43377</v>
      </c>
      <c r="B1025">
        <v>72.831000000000003</v>
      </c>
    </row>
    <row r="1026" spans="1:2" x14ac:dyDescent="0.3">
      <c r="A1026" s="5">
        <v>43378</v>
      </c>
      <c r="B1026">
        <v>73.313999999999993</v>
      </c>
    </row>
    <row r="1027" spans="1:2" x14ac:dyDescent="0.3">
      <c r="A1027" s="5">
        <v>43379</v>
      </c>
      <c r="B1027">
        <v>73.313999999999993</v>
      </c>
    </row>
    <row r="1028" spans="1:2" x14ac:dyDescent="0.3">
      <c r="A1028" s="5">
        <v>43380</v>
      </c>
      <c r="B1028">
        <v>73.313999999999993</v>
      </c>
    </row>
    <row r="1029" spans="1:2" x14ac:dyDescent="0.3">
      <c r="A1029" s="5">
        <v>43381</v>
      </c>
      <c r="B1029">
        <v>73.524000000000001</v>
      </c>
    </row>
    <row r="1030" spans="1:2" x14ac:dyDescent="0.3">
      <c r="A1030" s="5">
        <v>43382</v>
      </c>
      <c r="B1030">
        <v>72.602000000000004</v>
      </c>
    </row>
    <row r="1031" spans="1:2" x14ac:dyDescent="0.3">
      <c r="A1031" s="5">
        <v>43383</v>
      </c>
      <c r="B1031">
        <v>72.409000000000006</v>
      </c>
    </row>
    <row r="1032" spans="1:2" x14ac:dyDescent="0.3">
      <c r="A1032" s="5">
        <v>43384</v>
      </c>
      <c r="B1032">
        <v>72.727999999999994</v>
      </c>
    </row>
    <row r="1033" spans="1:2" x14ac:dyDescent="0.3">
      <c r="A1033" s="5">
        <v>43385</v>
      </c>
      <c r="B1033">
        <v>71.997</v>
      </c>
    </row>
    <row r="1034" spans="1:2" x14ac:dyDescent="0.3">
      <c r="A1034" s="5">
        <v>43386</v>
      </c>
      <c r="B1034">
        <v>71.997</v>
      </c>
    </row>
    <row r="1035" spans="1:2" x14ac:dyDescent="0.3">
      <c r="A1035" s="5">
        <v>43387</v>
      </c>
      <c r="B1035">
        <v>71.997</v>
      </c>
    </row>
    <row r="1036" spans="1:2" x14ac:dyDescent="0.3">
      <c r="A1036" s="5">
        <v>43388</v>
      </c>
      <c r="B1036">
        <v>71.997</v>
      </c>
    </row>
    <row r="1037" spans="1:2" x14ac:dyDescent="0.3">
      <c r="A1037" s="5">
        <v>43389</v>
      </c>
      <c r="B1037">
        <v>72.197999999999993</v>
      </c>
    </row>
    <row r="1038" spans="1:2" x14ac:dyDescent="0.3">
      <c r="A1038" s="5">
        <v>43390</v>
      </c>
      <c r="B1038">
        <v>72.661000000000001</v>
      </c>
    </row>
    <row r="1039" spans="1:2" x14ac:dyDescent="0.3">
      <c r="A1039" s="5">
        <v>43391</v>
      </c>
      <c r="B1039">
        <v>72.537000000000006</v>
      </c>
    </row>
    <row r="1040" spans="1:2" x14ac:dyDescent="0.3">
      <c r="A1040" s="5">
        <v>43392</v>
      </c>
      <c r="B1040">
        <v>72.881</v>
      </c>
    </row>
    <row r="1041" spans="1:2" x14ac:dyDescent="0.3">
      <c r="A1041" s="5">
        <v>43393</v>
      </c>
      <c r="B1041">
        <v>72.881</v>
      </c>
    </row>
    <row r="1042" spans="1:2" x14ac:dyDescent="0.3">
      <c r="A1042" s="5">
        <v>43394</v>
      </c>
      <c r="B1042">
        <v>72.881</v>
      </c>
    </row>
    <row r="1043" spans="1:2" x14ac:dyDescent="0.3">
      <c r="A1043" s="5">
        <v>43395</v>
      </c>
      <c r="B1043">
        <v>71.728999999999999</v>
      </c>
    </row>
    <row r="1044" spans="1:2" x14ac:dyDescent="0.3">
      <c r="A1044" s="5">
        <v>43396</v>
      </c>
      <c r="B1044">
        <v>71.391999999999996</v>
      </c>
    </row>
    <row r="1045" spans="1:2" x14ac:dyDescent="0.3">
      <c r="A1045" s="5">
        <v>43397</v>
      </c>
      <c r="B1045">
        <v>71.869</v>
      </c>
    </row>
    <row r="1046" spans="1:2" x14ac:dyDescent="0.3">
      <c r="A1046" s="5">
        <v>43398</v>
      </c>
      <c r="B1046">
        <v>71.935000000000002</v>
      </c>
    </row>
    <row r="1047" spans="1:2" x14ac:dyDescent="0.3">
      <c r="A1047" s="5">
        <v>43399</v>
      </c>
      <c r="B1047">
        <v>71.756</v>
      </c>
    </row>
    <row r="1048" spans="1:2" x14ac:dyDescent="0.3">
      <c r="A1048" s="5">
        <v>43400</v>
      </c>
      <c r="B1048">
        <v>71.756</v>
      </c>
    </row>
    <row r="1049" spans="1:2" x14ac:dyDescent="0.3">
      <c r="A1049" s="5">
        <v>43401</v>
      </c>
      <c r="B1049">
        <v>71.756</v>
      </c>
    </row>
    <row r="1050" spans="1:2" x14ac:dyDescent="0.3">
      <c r="A1050" s="5">
        <v>43402</v>
      </c>
      <c r="B1050">
        <v>70.626000000000005</v>
      </c>
    </row>
    <row r="1051" spans="1:2" x14ac:dyDescent="0.3">
      <c r="A1051" s="5">
        <v>43403</v>
      </c>
      <c r="B1051">
        <v>70.048000000000002</v>
      </c>
    </row>
    <row r="1052" spans="1:2" x14ac:dyDescent="0.3">
      <c r="A1052" s="5">
        <v>43404</v>
      </c>
      <c r="B1052">
        <v>68.048000000000002</v>
      </c>
    </row>
    <row r="1053" spans="1:2" x14ac:dyDescent="0.3">
      <c r="A1053" s="5">
        <v>43405</v>
      </c>
      <c r="B1053">
        <v>68.801000000000002</v>
      </c>
    </row>
    <row r="1054" spans="1:2" x14ac:dyDescent="0.3">
      <c r="A1054" s="5">
        <v>43406</v>
      </c>
      <c r="B1054">
        <v>68.519000000000005</v>
      </c>
    </row>
    <row r="1055" spans="1:2" x14ac:dyDescent="0.3">
      <c r="A1055" s="5">
        <v>43407</v>
      </c>
      <c r="B1055">
        <v>68.519000000000005</v>
      </c>
    </row>
    <row r="1056" spans="1:2" x14ac:dyDescent="0.3">
      <c r="A1056" s="5">
        <v>43408</v>
      </c>
      <c r="B1056">
        <v>68.519000000000005</v>
      </c>
    </row>
    <row r="1057" spans="1:2" x14ac:dyDescent="0.3">
      <c r="A1057" s="5">
        <v>43409</v>
      </c>
      <c r="B1057">
        <v>68.197000000000003</v>
      </c>
    </row>
    <row r="1058" spans="1:2" x14ac:dyDescent="0.3">
      <c r="A1058" s="5">
        <v>43410</v>
      </c>
      <c r="B1058">
        <v>68.197000000000003</v>
      </c>
    </row>
    <row r="1059" spans="1:2" x14ac:dyDescent="0.3">
      <c r="A1059" s="5">
        <v>43411</v>
      </c>
      <c r="B1059">
        <v>67.433000000000007</v>
      </c>
    </row>
    <row r="1060" spans="1:2" x14ac:dyDescent="0.3">
      <c r="A1060" s="5">
        <v>43412</v>
      </c>
      <c r="B1060">
        <v>67.132999999999996</v>
      </c>
    </row>
    <row r="1061" spans="1:2" x14ac:dyDescent="0.3">
      <c r="A1061" s="5">
        <v>43413</v>
      </c>
      <c r="B1061">
        <v>66.653999999999996</v>
      </c>
    </row>
    <row r="1062" spans="1:2" x14ac:dyDescent="0.3">
      <c r="A1062" s="5">
        <v>43414</v>
      </c>
      <c r="B1062">
        <v>66.653999999999996</v>
      </c>
    </row>
    <row r="1063" spans="1:2" x14ac:dyDescent="0.3">
      <c r="A1063" s="5">
        <v>43415</v>
      </c>
      <c r="B1063">
        <v>66.653999999999996</v>
      </c>
    </row>
    <row r="1064" spans="1:2" x14ac:dyDescent="0.3">
      <c r="A1064" s="5">
        <v>43416</v>
      </c>
      <c r="B1064">
        <v>65.772000000000006</v>
      </c>
    </row>
    <row r="1065" spans="1:2" x14ac:dyDescent="0.3">
      <c r="A1065" s="5">
        <v>43417</v>
      </c>
      <c r="B1065">
        <v>65.043999999999997</v>
      </c>
    </row>
    <row r="1066" spans="1:2" x14ac:dyDescent="0.3">
      <c r="A1066" s="5">
        <v>43418</v>
      </c>
      <c r="B1066">
        <v>63.290999999999997</v>
      </c>
    </row>
    <row r="1067" spans="1:2" x14ac:dyDescent="0.3">
      <c r="A1067" s="5">
        <v>43419</v>
      </c>
      <c r="B1067">
        <v>62.499000000000002</v>
      </c>
    </row>
    <row r="1068" spans="1:2" x14ac:dyDescent="0.3">
      <c r="A1068" s="5">
        <v>43420</v>
      </c>
      <c r="B1068">
        <v>62.207999999999998</v>
      </c>
    </row>
    <row r="1069" spans="1:2" x14ac:dyDescent="0.3">
      <c r="A1069" s="5">
        <v>43421</v>
      </c>
      <c r="B1069">
        <v>62.207999999999998</v>
      </c>
    </row>
    <row r="1070" spans="1:2" x14ac:dyDescent="0.3">
      <c r="A1070" s="5">
        <v>43422</v>
      </c>
      <c r="B1070">
        <v>62.207999999999998</v>
      </c>
    </row>
    <row r="1071" spans="1:2" x14ac:dyDescent="0.3">
      <c r="A1071" s="5">
        <v>43423</v>
      </c>
      <c r="B1071">
        <v>62.207999999999998</v>
      </c>
    </row>
    <row r="1072" spans="1:2" x14ac:dyDescent="0.3">
      <c r="A1072" s="5">
        <v>43424</v>
      </c>
      <c r="B1072">
        <v>62.118000000000002</v>
      </c>
    </row>
    <row r="1073" spans="1:2" x14ac:dyDescent="0.3">
      <c r="A1073" s="5">
        <v>43425</v>
      </c>
      <c r="B1073">
        <v>61.954000000000001</v>
      </c>
    </row>
    <row r="1074" spans="1:2" x14ac:dyDescent="0.3">
      <c r="A1074" s="5">
        <v>43426</v>
      </c>
      <c r="B1074">
        <v>61.698999999999998</v>
      </c>
    </row>
    <row r="1075" spans="1:2" x14ac:dyDescent="0.3">
      <c r="A1075" s="5">
        <v>43427</v>
      </c>
      <c r="B1075">
        <v>61.405000000000001</v>
      </c>
    </row>
    <row r="1076" spans="1:2" x14ac:dyDescent="0.3">
      <c r="A1076" s="5">
        <v>43428</v>
      </c>
      <c r="B1076">
        <v>61.405000000000001</v>
      </c>
    </row>
    <row r="1077" spans="1:2" x14ac:dyDescent="0.3">
      <c r="A1077" s="5">
        <v>43429</v>
      </c>
      <c r="B1077">
        <v>61.405000000000001</v>
      </c>
    </row>
    <row r="1078" spans="1:2" x14ac:dyDescent="0.3">
      <c r="A1078" s="5">
        <v>43430</v>
      </c>
      <c r="B1078">
        <v>61.237000000000002</v>
      </c>
    </row>
    <row r="1079" spans="1:2" x14ac:dyDescent="0.3">
      <c r="A1079" s="5">
        <v>43431</v>
      </c>
      <c r="B1079">
        <v>61.247999999999998</v>
      </c>
    </row>
    <row r="1080" spans="1:2" x14ac:dyDescent="0.3">
      <c r="A1080" s="5">
        <v>43432</v>
      </c>
      <c r="B1080">
        <v>61.198</v>
      </c>
    </row>
    <row r="1081" spans="1:2" x14ac:dyDescent="0.3">
      <c r="A1081" s="5">
        <v>43433</v>
      </c>
      <c r="B1081">
        <v>60.753</v>
      </c>
    </row>
    <row r="1082" spans="1:2" x14ac:dyDescent="0.3">
      <c r="A1082" s="5">
        <v>43434</v>
      </c>
      <c r="B1082">
        <v>60.753</v>
      </c>
    </row>
    <row r="1083" spans="1:2" x14ac:dyDescent="0.3">
      <c r="A1083" s="5">
        <v>43435</v>
      </c>
      <c r="B1083">
        <v>60.753</v>
      </c>
    </row>
    <row r="1084" spans="1:2" x14ac:dyDescent="0.3">
      <c r="A1084" s="5">
        <v>43436</v>
      </c>
      <c r="B1084">
        <v>60.753</v>
      </c>
    </row>
    <row r="1085" spans="1:2" x14ac:dyDescent="0.3">
      <c r="A1085" s="5">
        <v>43437</v>
      </c>
      <c r="B1085">
        <v>60.277999999999999</v>
      </c>
    </row>
    <row r="1086" spans="1:2" x14ac:dyDescent="0.3">
      <c r="A1086" s="5">
        <v>43438</v>
      </c>
      <c r="B1086">
        <v>60.003</v>
      </c>
    </row>
    <row r="1087" spans="1:2" x14ac:dyDescent="0.3">
      <c r="A1087" s="5">
        <v>43439</v>
      </c>
      <c r="B1087">
        <v>59.101999999999997</v>
      </c>
    </row>
    <row r="1088" spans="1:2" x14ac:dyDescent="0.3">
      <c r="A1088" s="5">
        <v>43440</v>
      </c>
      <c r="B1088">
        <v>59.009</v>
      </c>
    </row>
    <row r="1089" spans="1:2" x14ac:dyDescent="0.3">
      <c r="A1089" s="5">
        <v>43441</v>
      </c>
      <c r="B1089">
        <v>59.16</v>
      </c>
    </row>
    <row r="1090" spans="1:2" x14ac:dyDescent="0.3">
      <c r="A1090" s="5">
        <v>43442</v>
      </c>
      <c r="B1090">
        <v>59.16</v>
      </c>
    </row>
    <row r="1091" spans="1:2" x14ac:dyDescent="0.3">
      <c r="A1091" s="5">
        <v>43443</v>
      </c>
      <c r="B1091">
        <v>59.16</v>
      </c>
    </row>
    <row r="1092" spans="1:2" x14ac:dyDescent="0.3">
      <c r="A1092" s="5">
        <v>43444</v>
      </c>
      <c r="B1092">
        <v>59.225999999999999</v>
      </c>
    </row>
    <row r="1093" spans="1:2" x14ac:dyDescent="0.3">
      <c r="A1093" s="5">
        <v>43445</v>
      </c>
      <c r="B1093">
        <v>58.97</v>
      </c>
    </row>
    <row r="1094" spans="1:2" x14ac:dyDescent="0.3">
      <c r="A1094" s="5">
        <v>43446</v>
      </c>
      <c r="B1094">
        <v>59.133000000000003</v>
      </c>
    </row>
    <row r="1095" spans="1:2" x14ac:dyDescent="0.3">
      <c r="A1095" s="5">
        <v>43447</v>
      </c>
      <c r="B1095">
        <v>59.164000000000001</v>
      </c>
    </row>
    <row r="1096" spans="1:2" x14ac:dyDescent="0.3">
      <c r="A1096" s="5">
        <v>43448</v>
      </c>
      <c r="B1096">
        <v>59.076999999999998</v>
      </c>
    </row>
    <row r="1097" spans="1:2" x14ac:dyDescent="0.3">
      <c r="A1097" s="5">
        <v>43449</v>
      </c>
      <c r="B1097">
        <v>59.076999999999998</v>
      </c>
    </row>
    <row r="1098" spans="1:2" x14ac:dyDescent="0.3">
      <c r="A1098" s="5">
        <v>43450</v>
      </c>
      <c r="B1098">
        <v>59.076999999999998</v>
      </c>
    </row>
    <row r="1099" spans="1:2" x14ac:dyDescent="0.3">
      <c r="A1099" s="5">
        <v>43451</v>
      </c>
      <c r="B1099">
        <v>59.411000000000001</v>
      </c>
    </row>
    <row r="1100" spans="1:2" x14ac:dyDescent="0.3">
      <c r="A1100" s="5">
        <v>43452</v>
      </c>
      <c r="B1100">
        <v>59.441000000000003</v>
      </c>
    </row>
    <row r="1101" spans="1:2" x14ac:dyDescent="0.3">
      <c r="A1101" s="5">
        <v>43453</v>
      </c>
      <c r="B1101">
        <v>59.45</v>
      </c>
    </row>
    <row r="1102" spans="1:2" x14ac:dyDescent="0.3">
      <c r="A1102" s="5">
        <v>43454</v>
      </c>
      <c r="B1102">
        <v>59.582000000000001</v>
      </c>
    </row>
    <row r="1103" spans="1:2" x14ac:dyDescent="0.3">
      <c r="A1103" s="5">
        <v>43455</v>
      </c>
      <c r="B1103">
        <v>59.383000000000003</v>
      </c>
    </row>
    <row r="1104" spans="1:2" x14ac:dyDescent="0.3">
      <c r="A1104" s="5">
        <v>43456</v>
      </c>
      <c r="B1104">
        <v>59.383000000000003</v>
      </c>
    </row>
    <row r="1105" spans="1:2" x14ac:dyDescent="0.3">
      <c r="A1105" s="5">
        <v>43457</v>
      </c>
      <c r="B1105">
        <v>59.383000000000003</v>
      </c>
    </row>
    <row r="1106" spans="1:2" x14ac:dyDescent="0.3">
      <c r="A1106" s="5">
        <v>43458</v>
      </c>
      <c r="B1106">
        <v>59.383000000000003</v>
      </c>
    </row>
    <row r="1107" spans="1:2" x14ac:dyDescent="0.3">
      <c r="A1107" s="5">
        <v>43459</v>
      </c>
      <c r="B1107">
        <v>59.383000000000003</v>
      </c>
    </row>
    <row r="1108" spans="1:2" x14ac:dyDescent="0.3">
      <c r="A1108" s="5">
        <v>43460</v>
      </c>
      <c r="B1108">
        <v>59.356000000000002</v>
      </c>
    </row>
    <row r="1109" spans="1:2" x14ac:dyDescent="0.3">
      <c r="A1109" s="5">
        <v>43461</v>
      </c>
      <c r="B1109">
        <v>59.393999999999998</v>
      </c>
    </row>
    <row r="1110" spans="1:2" x14ac:dyDescent="0.3">
      <c r="A1110" s="5">
        <v>43462</v>
      </c>
      <c r="B1110">
        <v>59.252000000000002</v>
      </c>
    </row>
    <row r="1111" spans="1:2" x14ac:dyDescent="0.3">
      <c r="A1111" s="5">
        <v>43463</v>
      </c>
      <c r="B1111">
        <v>59.252000000000002</v>
      </c>
    </row>
    <row r="1112" spans="1:2" x14ac:dyDescent="0.3">
      <c r="A1112" s="5">
        <v>43464</v>
      </c>
      <c r="B1112">
        <v>59.252000000000002</v>
      </c>
    </row>
    <row r="1113" spans="1:2" x14ac:dyDescent="0.3">
      <c r="A1113" s="5">
        <v>43465</v>
      </c>
      <c r="B1113">
        <v>59.252000000000002</v>
      </c>
    </row>
    <row r="1114" spans="1:2" x14ac:dyDescent="0.3">
      <c r="A1114" s="5">
        <v>43466</v>
      </c>
      <c r="B1114">
        <v>59.252000000000002</v>
      </c>
    </row>
    <row r="1115" spans="1:2" x14ac:dyDescent="0.3">
      <c r="A1115" s="5">
        <v>43467</v>
      </c>
      <c r="B1115">
        <v>59.252000000000002</v>
      </c>
    </row>
    <row r="1116" spans="1:2" x14ac:dyDescent="0.3">
      <c r="A1116" s="5">
        <v>43468</v>
      </c>
      <c r="B1116">
        <v>59.252000000000002</v>
      </c>
    </row>
    <row r="1117" spans="1:2" x14ac:dyDescent="0.3">
      <c r="A1117" s="5">
        <v>43469</v>
      </c>
      <c r="B1117">
        <v>59.286999999999999</v>
      </c>
    </row>
    <row r="1118" spans="1:2" x14ac:dyDescent="0.3">
      <c r="A1118" s="5">
        <v>43470</v>
      </c>
      <c r="B1118">
        <v>59.286999999999999</v>
      </c>
    </row>
    <row r="1119" spans="1:2" x14ac:dyDescent="0.3">
      <c r="A1119" s="5">
        <v>43471</v>
      </c>
      <c r="B1119">
        <v>59.286999999999999</v>
      </c>
    </row>
    <row r="1120" spans="1:2" x14ac:dyDescent="0.3">
      <c r="A1120" s="5">
        <v>43472</v>
      </c>
      <c r="B1120">
        <v>58.963999999999999</v>
      </c>
    </row>
    <row r="1121" spans="1:2" x14ac:dyDescent="0.3">
      <c r="A1121" s="5">
        <v>43473</v>
      </c>
      <c r="B1121">
        <v>58.8</v>
      </c>
    </row>
    <row r="1122" spans="1:2" x14ac:dyDescent="0.3">
      <c r="A1122" s="5">
        <v>43474</v>
      </c>
      <c r="B1122">
        <v>58.781999999999996</v>
      </c>
    </row>
    <row r="1123" spans="1:2" x14ac:dyDescent="0.3">
      <c r="A1123" s="5">
        <v>43475</v>
      </c>
      <c r="B1123">
        <v>58.459000000000003</v>
      </c>
    </row>
    <row r="1124" spans="1:2" x14ac:dyDescent="0.3">
      <c r="A1124" s="5">
        <v>43476</v>
      </c>
      <c r="B1124">
        <v>58.106999999999999</v>
      </c>
    </row>
    <row r="1125" spans="1:2" x14ac:dyDescent="0.3">
      <c r="A1125" s="5">
        <v>43477</v>
      </c>
      <c r="B1125">
        <v>58.106999999999999</v>
      </c>
    </row>
    <row r="1126" spans="1:2" x14ac:dyDescent="0.3">
      <c r="A1126" s="5">
        <v>43478</v>
      </c>
      <c r="B1126">
        <v>58.106999999999999</v>
      </c>
    </row>
    <row r="1127" spans="1:2" x14ac:dyDescent="0.3">
      <c r="A1127" s="5">
        <v>43479</v>
      </c>
      <c r="B1127">
        <v>57.801000000000002</v>
      </c>
    </row>
    <row r="1128" spans="1:2" x14ac:dyDescent="0.3">
      <c r="A1128" s="5">
        <v>43480</v>
      </c>
      <c r="B1128">
        <v>57.61</v>
      </c>
    </row>
    <row r="1129" spans="1:2" x14ac:dyDescent="0.3">
      <c r="A1129" s="5">
        <v>43481</v>
      </c>
      <c r="B1129">
        <v>57.542000000000002</v>
      </c>
    </row>
    <row r="1130" spans="1:2" x14ac:dyDescent="0.3">
      <c r="A1130" s="5">
        <v>43482</v>
      </c>
      <c r="B1130">
        <v>57.316000000000003</v>
      </c>
    </row>
    <row r="1131" spans="1:2" x14ac:dyDescent="0.3">
      <c r="A1131" s="5">
        <v>43483</v>
      </c>
      <c r="B1131">
        <v>57.253</v>
      </c>
    </row>
    <row r="1132" spans="1:2" x14ac:dyDescent="0.3">
      <c r="A1132" s="5">
        <v>43484</v>
      </c>
      <c r="B1132">
        <v>57.253</v>
      </c>
    </row>
    <row r="1133" spans="1:2" x14ac:dyDescent="0.3">
      <c r="A1133" s="5">
        <v>43485</v>
      </c>
      <c r="B1133">
        <v>57.253</v>
      </c>
    </row>
    <row r="1134" spans="1:2" x14ac:dyDescent="0.3">
      <c r="A1134" s="5">
        <v>43486</v>
      </c>
      <c r="B1134">
        <v>57.134</v>
      </c>
    </row>
    <row r="1135" spans="1:2" x14ac:dyDescent="0.3">
      <c r="A1135" s="5">
        <v>43487</v>
      </c>
      <c r="B1135">
        <v>56.942</v>
      </c>
    </row>
    <row r="1136" spans="1:2" x14ac:dyDescent="0.3">
      <c r="A1136" s="5">
        <v>43488</v>
      </c>
      <c r="B1136">
        <v>56.872</v>
      </c>
    </row>
    <row r="1137" spans="1:2" x14ac:dyDescent="0.3">
      <c r="A1137" s="5">
        <v>43489</v>
      </c>
      <c r="B1137">
        <v>56.697000000000003</v>
      </c>
    </row>
    <row r="1138" spans="1:2" x14ac:dyDescent="0.3">
      <c r="A1138" s="5">
        <v>43490</v>
      </c>
      <c r="B1138">
        <v>56.597999999999999</v>
      </c>
    </row>
    <row r="1139" spans="1:2" x14ac:dyDescent="0.3">
      <c r="A1139" s="5">
        <v>43491</v>
      </c>
      <c r="B1139">
        <v>56.597999999999999</v>
      </c>
    </row>
    <row r="1140" spans="1:2" x14ac:dyDescent="0.3">
      <c r="A1140" s="5">
        <v>43492</v>
      </c>
      <c r="B1140">
        <v>56.597999999999999</v>
      </c>
    </row>
    <row r="1141" spans="1:2" x14ac:dyDescent="0.3">
      <c r="A1141" s="5">
        <v>43493</v>
      </c>
      <c r="B1141">
        <v>56.314</v>
      </c>
    </row>
    <row r="1142" spans="1:2" x14ac:dyDescent="0.3">
      <c r="A1142" s="5">
        <v>43494</v>
      </c>
      <c r="B1142">
        <v>55.639000000000003</v>
      </c>
    </row>
    <row r="1143" spans="1:2" x14ac:dyDescent="0.3">
      <c r="A1143" s="5">
        <v>43495</v>
      </c>
      <c r="B1143">
        <v>54.889000000000003</v>
      </c>
    </row>
    <row r="1144" spans="1:2" x14ac:dyDescent="0.3">
      <c r="A1144" s="5">
        <v>43496</v>
      </c>
      <c r="B1144">
        <v>53.686999999999998</v>
      </c>
    </row>
    <row r="1145" spans="1:2" x14ac:dyDescent="0.3">
      <c r="A1145" s="5">
        <v>43497</v>
      </c>
      <c r="B1145">
        <v>52.441000000000003</v>
      </c>
    </row>
    <row r="1146" spans="1:2" x14ac:dyDescent="0.3">
      <c r="A1146" s="5">
        <v>43498</v>
      </c>
      <c r="B1146">
        <v>52.441000000000003</v>
      </c>
    </row>
    <row r="1147" spans="1:2" x14ac:dyDescent="0.3">
      <c r="A1147" s="5">
        <v>43499</v>
      </c>
      <c r="B1147">
        <v>52.441000000000003</v>
      </c>
    </row>
    <row r="1148" spans="1:2" x14ac:dyDescent="0.3">
      <c r="A1148" s="5">
        <v>43500</v>
      </c>
      <c r="B1148">
        <v>51.304000000000002</v>
      </c>
    </row>
    <row r="1149" spans="1:2" x14ac:dyDescent="0.3">
      <c r="A1149" s="5">
        <v>43501</v>
      </c>
      <c r="B1149">
        <v>50.02</v>
      </c>
    </row>
    <row r="1150" spans="1:2" x14ac:dyDescent="0.3">
      <c r="A1150" s="5">
        <v>43502</v>
      </c>
      <c r="B1150">
        <v>48.823999999999998</v>
      </c>
    </row>
    <row r="1151" spans="1:2" x14ac:dyDescent="0.3">
      <c r="A1151" s="5">
        <v>43503</v>
      </c>
      <c r="B1151">
        <v>47.55</v>
      </c>
    </row>
    <row r="1152" spans="1:2" x14ac:dyDescent="0.3">
      <c r="A1152" s="5">
        <v>43504</v>
      </c>
      <c r="B1152">
        <v>46.243000000000002</v>
      </c>
    </row>
    <row r="1153" spans="1:2" x14ac:dyDescent="0.3">
      <c r="A1153" s="5">
        <v>43505</v>
      </c>
      <c r="B1153">
        <v>46.243000000000002</v>
      </c>
    </row>
    <row r="1154" spans="1:2" x14ac:dyDescent="0.3">
      <c r="A1154" s="5">
        <v>43506</v>
      </c>
      <c r="B1154">
        <v>46.243000000000002</v>
      </c>
    </row>
    <row r="1155" spans="1:2" x14ac:dyDescent="0.3">
      <c r="A1155" s="5">
        <v>43507</v>
      </c>
      <c r="B1155">
        <v>45.155000000000001</v>
      </c>
    </row>
    <row r="1156" spans="1:2" x14ac:dyDescent="0.3">
      <c r="A1156" s="5">
        <v>43508</v>
      </c>
      <c r="B1156">
        <v>44.356000000000002</v>
      </c>
    </row>
    <row r="1157" spans="1:2" x14ac:dyDescent="0.3">
      <c r="A1157" s="5">
        <v>43509</v>
      </c>
      <c r="B1157">
        <v>43.970999999999997</v>
      </c>
    </row>
    <row r="1158" spans="1:2" x14ac:dyDescent="0.3">
      <c r="A1158" s="5">
        <v>43510</v>
      </c>
      <c r="B1158">
        <v>43.936999999999998</v>
      </c>
    </row>
    <row r="1159" spans="1:2" x14ac:dyDescent="0.3">
      <c r="A1159" s="5">
        <v>43511</v>
      </c>
      <c r="B1159">
        <v>44.213999999999999</v>
      </c>
    </row>
    <row r="1160" spans="1:2" x14ac:dyDescent="0.3">
      <c r="A1160" s="5">
        <v>43512</v>
      </c>
      <c r="B1160">
        <v>44.213999999999999</v>
      </c>
    </row>
    <row r="1161" spans="1:2" x14ac:dyDescent="0.3">
      <c r="A1161" s="5">
        <v>43513</v>
      </c>
      <c r="B1161">
        <v>44.213999999999999</v>
      </c>
    </row>
    <row r="1162" spans="1:2" x14ac:dyDescent="0.3">
      <c r="A1162" s="5">
        <v>43514</v>
      </c>
      <c r="B1162">
        <v>44.311999999999998</v>
      </c>
    </row>
    <row r="1163" spans="1:2" x14ac:dyDescent="0.3">
      <c r="A1163" s="5">
        <v>43515</v>
      </c>
      <c r="B1163">
        <v>44.485999999999997</v>
      </c>
    </row>
    <row r="1164" spans="1:2" x14ac:dyDescent="0.3">
      <c r="A1164" s="5">
        <v>43516</v>
      </c>
      <c r="B1164">
        <v>46.014000000000003</v>
      </c>
    </row>
    <row r="1165" spans="1:2" x14ac:dyDescent="0.3">
      <c r="A1165" s="5">
        <v>43517</v>
      </c>
      <c r="B1165">
        <v>49.026000000000003</v>
      </c>
    </row>
    <row r="1166" spans="1:2" x14ac:dyDescent="0.3">
      <c r="A1166" s="5">
        <v>43518</v>
      </c>
      <c r="B1166">
        <v>49.521000000000001</v>
      </c>
    </row>
    <row r="1167" spans="1:2" x14ac:dyDescent="0.3">
      <c r="A1167" s="5">
        <v>43519</v>
      </c>
      <c r="B1167">
        <v>49.521000000000001</v>
      </c>
    </row>
    <row r="1168" spans="1:2" x14ac:dyDescent="0.3">
      <c r="A1168" s="5">
        <v>43520</v>
      </c>
      <c r="B1168">
        <v>49.521000000000001</v>
      </c>
    </row>
    <row r="1169" spans="1:2" x14ac:dyDescent="0.3">
      <c r="A1169" s="5">
        <v>43521</v>
      </c>
      <c r="B1169">
        <v>49.829000000000001</v>
      </c>
    </row>
    <row r="1170" spans="1:2" x14ac:dyDescent="0.3">
      <c r="A1170" s="5">
        <v>43522</v>
      </c>
      <c r="B1170">
        <v>50.064999999999998</v>
      </c>
    </row>
    <row r="1171" spans="1:2" x14ac:dyDescent="0.3">
      <c r="A1171" s="5">
        <v>43523</v>
      </c>
      <c r="B1171">
        <v>49.981999999999999</v>
      </c>
    </row>
    <row r="1172" spans="1:2" x14ac:dyDescent="0.3">
      <c r="A1172" s="5">
        <v>43524</v>
      </c>
      <c r="B1172">
        <v>50.127000000000002</v>
      </c>
    </row>
    <row r="1173" spans="1:2" x14ac:dyDescent="0.3">
      <c r="A1173" s="5">
        <v>43525</v>
      </c>
      <c r="B1173">
        <v>50.219000000000001</v>
      </c>
    </row>
    <row r="1174" spans="1:2" x14ac:dyDescent="0.3">
      <c r="A1174" s="5">
        <v>43526</v>
      </c>
      <c r="B1174">
        <v>50.219000000000001</v>
      </c>
    </row>
    <row r="1175" spans="1:2" x14ac:dyDescent="0.3">
      <c r="A1175" s="5">
        <v>43527</v>
      </c>
      <c r="B1175">
        <v>50.219000000000001</v>
      </c>
    </row>
    <row r="1176" spans="1:2" x14ac:dyDescent="0.3">
      <c r="A1176" s="5">
        <v>43528</v>
      </c>
      <c r="B1176">
        <v>50.219000000000001</v>
      </c>
    </row>
    <row r="1177" spans="1:2" x14ac:dyDescent="0.3">
      <c r="A1177" s="5">
        <v>43529</v>
      </c>
      <c r="B1177">
        <v>50.219000000000001</v>
      </c>
    </row>
    <row r="1178" spans="1:2" x14ac:dyDescent="0.3">
      <c r="A1178" s="5">
        <v>43530</v>
      </c>
      <c r="B1178">
        <v>50.551000000000002</v>
      </c>
    </row>
    <row r="1179" spans="1:2" x14ac:dyDescent="0.3">
      <c r="A1179" s="5">
        <v>43531</v>
      </c>
      <c r="B1179">
        <v>51.862000000000002</v>
      </c>
    </row>
    <row r="1180" spans="1:2" x14ac:dyDescent="0.3">
      <c r="A1180" s="5">
        <v>43532</v>
      </c>
      <c r="B1180">
        <v>57.893999999999998</v>
      </c>
    </row>
    <row r="1181" spans="1:2" x14ac:dyDescent="0.3">
      <c r="A1181" s="5">
        <v>43533</v>
      </c>
      <c r="B1181">
        <v>57.893999999999998</v>
      </c>
    </row>
    <row r="1182" spans="1:2" x14ac:dyDescent="0.3">
      <c r="A1182" s="5">
        <v>43534</v>
      </c>
      <c r="B1182">
        <v>57.893999999999998</v>
      </c>
    </row>
    <row r="1183" spans="1:2" x14ac:dyDescent="0.3">
      <c r="A1183" s="5">
        <v>43535</v>
      </c>
      <c r="B1183">
        <v>59.863</v>
      </c>
    </row>
    <row r="1184" spans="1:2" x14ac:dyDescent="0.3">
      <c r="A1184" s="5">
        <v>43536</v>
      </c>
      <c r="B1184">
        <v>62.119</v>
      </c>
    </row>
    <row r="1185" spans="1:2" x14ac:dyDescent="0.3">
      <c r="A1185" s="5">
        <v>43537</v>
      </c>
      <c r="B1185">
        <v>63.328000000000003</v>
      </c>
    </row>
    <row r="1186" spans="1:2" x14ac:dyDescent="0.3">
      <c r="A1186" s="5">
        <v>43538</v>
      </c>
      <c r="B1186">
        <v>63.664000000000001</v>
      </c>
    </row>
    <row r="1187" spans="1:2" x14ac:dyDescent="0.3">
      <c r="A1187" s="5">
        <v>43539</v>
      </c>
      <c r="B1187">
        <v>63.744</v>
      </c>
    </row>
    <row r="1188" spans="1:2" x14ac:dyDescent="0.3">
      <c r="A1188" s="5">
        <v>43540</v>
      </c>
      <c r="B1188">
        <v>63.744</v>
      </c>
    </row>
    <row r="1189" spans="1:2" x14ac:dyDescent="0.3">
      <c r="A1189" s="5">
        <v>43541</v>
      </c>
      <c r="B1189">
        <v>63.744</v>
      </c>
    </row>
    <row r="1190" spans="1:2" x14ac:dyDescent="0.3">
      <c r="A1190" s="5">
        <v>43542</v>
      </c>
      <c r="B1190">
        <v>63.707000000000001</v>
      </c>
    </row>
    <row r="1191" spans="1:2" x14ac:dyDescent="0.3">
      <c r="A1191" s="5">
        <v>43543</v>
      </c>
      <c r="B1191">
        <v>63.872999999999998</v>
      </c>
    </row>
    <row r="1192" spans="1:2" x14ac:dyDescent="0.3">
      <c r="A1192" s="5">
        <v>43544</v>
      </c>
      <c r="B1192">
        <v>64.885000000000005</v>
      </c>
    </row>
    <row r="1193" spans="1:2" x14ac:dyDescent="0.3">
      <c r="A1193" s="5">
        <v>43545</v>
      </c>
      <c r="B1193">
        <v>65.757999999999996</v>
      </c>
    </row>
    <row r="1194" spans="1:2" x14ac:dyDescent="0.3">
      <c r="A1194" s="5">
        <v>43546</v>
      </c>
      <c r="B1194">
        <v>66.655000000000001</v>
      </c>
    </row>
    <row r="1195" spans="1:2" x14ac:dyDescent="0.3">
      <c r="A1195" s="5">
        <v>43547</v>
      </c>
      <c r="B1195">
        <v>66.655000000000001</v>
      </c>
    </row>
    <row r="1196" spans="1:2" x14ac:dyDescent="0.3">
      <c r="A1196" s="5">
        <v>43548</v>
      </c>
      <c r="B1196">
        <v>66.655000000000001</v>
      </c>
    </row>
    <row r="1197" spans="1:2" x14ac:dyDescent="0.3">
      <c r="A1197" s="5">
        <v>43549</v>
      </c>
      <c r="B1197">
        <v>66.826999999999998</v>
      </c>
    </row>
    <row r="1198" spans="1:2" x14ac:dyDescent="0.3">
      <c r="A1198" s="5">
        <v>43550</v>
      </c>
      <c r="B1198">
        <v>66.924999999999997</v>
      </c>
    </row>
    <row r="1199" spans="1:2" x14ac:dyDescent="0.3">
      <c r="A1199" s="5">
        <v>43551</v>
      </c>
      <c r="B1199">
        <v>67.757999999999996</v>
      </c>
    </row>
    <row r="1200" spans="1:2" x14ac:dyDescent="0.3">
      <c r="A1200" s="5">
        <v>43552</v>
      </c>
      <c r="B1200">
        <v>68.349000000000004</v>
      </c>
    </row>
    <row r="1201" spans="1:2" x14ac:dyDescent="0.3">
      <c r="A1201" s="5">
        <v>43553</v>
      </c>
      <c r="B1201">
        <v>68.155000000000001</v>
      </c>
    </row>
    <row r="1202" spans="1:2" x14ac:dyDescent="0.3">
      <c r="A1202" s="5">
        <v>43554</v>
      </c>
      <c r="B1202">
        <v>68.155000000000001</v>
      </c>
    </row>
    <row r="1203" spans="1:2" x14ac:dyDescent="0.3">
      <c r="A1203" s="5">
        <v>43555</v>
      </c>
      <c r="B1203">
        <v>68.155000000000001</v>
      </c>
    </row>
    <row r="1204" spans="1:2" x14ac:dyDescent="0.3">
      <c r="A1204" s="5">
        <v>43556</v>
      </c>
      <c r="B1204">
        <v>68.149000000000001</v>
      </c>
    </row>
    <row r="1205" spans="1:2" x14ac:dyDescent="0.3">
      <c r="A1205" s="5">
        <v>43557</v>
      </c>
      <c r="B1205">
        <v>68.149000000000001</v>
      </c>
    </row>
    <row r="1206" spans="1:2" x14ac:dyDescent="0.3">
      <c r="A1206" s="5">
        <v>43558</v>
      </c>
      <c r="B1206">
        <v>67.980999999999995</v>
      </c>
    </row>
    <row r="1207" spans="1:2" x14ac:dyDescent="0.3">
      <c r="A1207" s="5">
        <v>43559</v>
      </c>
      <c r="B1207">
        <v>67.691000000000003</v>
      </c>
    </row>
    <row r="1208" spans="1:2" x14ac:dyDescent="0.3">
      <c r="A1208" s="5">
        <v>43560</v>
      </c>
      <c r="B1208">
        <v>67.379000000000005</v>
      </c>
    </row>
    <row r="1209" spans="1:2" x14ac:dyDescent="0.3">
      <c r="A1209" s="5">
        <v>43561</v>
      </c>
      <c r="B1209">
        <v>67.379000000000005</v>
      </c>
    </row>
    <row r="1210" spans="1:2" x14ac:dyDescent="0.3">
      <c r="A1210" s="5">
        <v>43562</v>
      </c>
      <c r="B1210">
        <v>67.379000000000005</v>
      </c>
    </row>
    <row r="1211" spans="1:2" x14ac:dyDescent="0.3">
      <c r="A1211" s="5">
        <v>43563</v>
      </c>
      <c r="B1211">
        <v>67.171999999999997</v>
      </c>
    </row>
    <row r="1212" spans="1:2" x14ac:dyDescent="0.3">
      <c r="A1212" s="5">
        <v>43564</v>
      </c>
      <c r="B1212">
        <v>66.936999999999998</v>
      </c>
    </row>
    <row r="1213" spans="1:2" x14ac:dyDescent="0.3">
      <c r="A1213" s="5">
        <v>43565</v>
      </c>
      <c r="B1213">
        <v>66.754999999999995</v>
      </c>
    </row>
    <row r="1214" spans="1:2" x14ac:dyDescent="0.3">
      <c r="A1214" s="5">
        <v>43566</v>
      </c>
      <c r="B1214">
        <v>66.813000000000002</v>
      </c>
    </row>
    <row r="1215" spans="1:2" x14ac:dyDescent="0.3">
      <c r="A1215" s="5">
        <v>43567</v>
      </c>
      <c r="B1215">
        <v>66.86</v>
      </c>
    </row>
    <row r="1216" spans="1:2" x14ac:dyDescent="0.3">
      <c r="A1216" s="5">
        <v>43568</v>
      </c>
      <c r="B1216">
        <v>66.86</v>
      </c>
    </row>
    <row r="1217" spans="1:2" x14ac:dyDescent="0.3">
      <c r="A1217" s="5">
        <v>43569</v>
      </c>
      <c r="B1217">
        <v>66.86</v>
      </c>
    </row>
    <row r="1218" spans="1:2" x14ac:dyDescent="0.3">
      <c r="A1218" s="5">
        <v>43570</v>
      </c>
      <c r="B1218">
        <v>66.852000000000004</v>
      </c>
    </row>
    <row r="1219" spans="1:2" x14ac:dyDescent="0.3">
      <c r="A1219" s="5">
        <v>43571</v>
      </c>
      <c r="B1219">
        <v>66.792000000000002</v>
      </c>
    </row>
    <row r="1220" spans="1:2" x14ac:dyDescent="0.3">
      <c r="A1220" s="5">
        <v>43572</v>
      </c>
      <c r="B1220">
        <v>67.12</v>
      </c>
    </row>
    <row r="1221" spans="1:2" x14ac:dyDescent="0.3">
      <c r="A1221" s="5">
        <v>43573</v>
      </c>
      <c r="B1221">
        <v>67.12</v>
      </c>
    </row>
    <row r="1222" spans="1:2" x14ac:dyDescent="0.3">
      <c r="A1222" s="5">
        <v>43574</v>
      </c>
      <c r="B1222">
        <v>67.12</v>
      </c>
    </row>
    <row r="1223" spans="1:2" x14ac:dyDescent="0.3">
      <c r="A1223" s="5">
        <v>43575</v>
      </c>
      <c r="B1223">
        <v>67.12</v>
      </c>
    </row>
    <row r="1224" spans="1:2" x14ac:dyDescent="0.3">
      <c r="A1224" s="5">
        <v>43576</v>
      </c>
      <c r="B1224">
        <v>67.12</v>
      </c>
    </row>
    <row r="1225" spans="1:2" x14ac:dyDescent="0.3">
      <c r="A1225" s="5">
        <v>43577</v>
      </c>
      <c r="B1225">
        <v>67.872</v>
      </c>
    </row>
    <row r="1226" spans="1:2" x14ac:dyDescent="0.3">
      <c r="A1226" s="5">
        <v>43578</v>
      </c>
      <c r="B1226">
        <v>67.891000000000005</v>
      </c>
    </row>
    <row r="1227" spans="1:2" x14ac:dyDescent="0.3">
      <c r="A1227" s="5">
        <v>43579</v>
      </c>
      <c r="B1227">
        <v>68.366</v>
      </c>
    </row>
    <row r="1228" spans="1:2" x14ac:dyDescent="0.3">
      <c r="A1228" s="5">
        <v>43580</v>
      </c>
      <c r="B1228">
        <v>71.039000000000001</v>
      </c>
    </row>
    <row r="1229" spans="1:2" x14ac:dyDescent="0.3">
      <c r="A1229" s="5">
        <v>43581</v>
      </c>
      <c r="B1229">
        <v>71.867999999999995</v>
      </c>
    </row>
    <row r="1230" spans="1:2" x14ac:dyDescent="0.3">
      <c r="A1230" s="5">
        <v>43582</v>
      </c>
      <c r="B1230">
        <v>71.867999999999995</v>
      </c>
    </row>
    <row r="1231" spans="1:2" x14ac:dyDescent="0.3">
      <c r="A1231" s="5">
        <v>43583</v>
      </c>
      <c r="B1231">
        <v>71.867999999999995</v>
      </c>
    </row>
    <row r="1232" spans="1:2" x14ac:dyDescent="0.3">
      <c r="A1232" s="5">
        <v>43584</v>
      </c>
      <c r="B1232">
        <v>73.191000000000003</v>
      </c>
    </row>
    <row r="1233" spans="1:2" x14ac:dyDescent="0.3">
      <c r="A1233" s="5">
        <v>43585</v>
      </c>
      <c r="B1233">
        <v>73.930000000000007</v>
      </c>
    </row>
    <row r="1234" spans="1:2" x14ac:dyDescent="0.3">
      <c r="A1234" s="5">
        <v>43586</v>
      </c>
      <c r="B1234">
        <v>73.930000000000007</v>
      </c>
    </row>
    <row r="1235" spans="1:2" x14ac:dyDescent="0.3">
      <c r="A1235" s="5">
        <v>43587</v>
      </c>
      <c r="B1235">
        <v>74.069000000000003</v>
      </c>
    </row>
    <row r="1236" spans="1:2" x14ac:dyDescent="0.3">
      <c r="A1236" s="5">
        <v>43588</v>
      </c>
      <c r="B1236">
        <v>73.766000000000005</v>
      </c>
    </row>
    <row r="1237" spans="1:2" x14ac:dyDescent="0.3">
      <c r="A1237" s="5">
        <v>43589</v>
      </c>
      <c r="B1237">
        <v>73.766000000000005</v>
      </c>
    </row>
    <row r="1238" spans="1:2" x14ac:dyDescent="0.3">
      <c r="A1238" s="5">
        <v>43590</v>
      </c>
      <c r="B1238">
        <v>73.766000000000005</v>
      </c>
    </row>
    <row r="1239" spans="1:2" x14ac:dyDescent="0.3">
      <c r="A1239" s="5">
        <v>43591</v>
      </c>
      <c r="B1239">
        <v>73.53</v>
      </c>
    </row>
    <row r="1240" spans="1:2" x14ac:dyDescent="0.3">
      <c r="A1240" s="5">
        <v>43592</v>
      </c>
      <c r="B1240">
        <v>73.242000000000004</v>
      </c>
    </row>
    <row r="1241" spans="1:2" x14ac:dyDescent="0.3">
      <c r="A1241" s="5">
        <v>43593</v>
      </c>
      <c r="B1241">
        <v>72.875</v>
      </c>
    </row>
    <row r="1242" spans="1:2" x14ac:dyDescent="0.3">
      <c r="A1242" s="5">
        <v>43594</v>
      </c>
      <c r="B1242">
        <v>72.480999999999995</v>
      </c>
    </row>
    <row r="1243" spans="1:2" x14ac:dyDescent="0.3">
      <c r="A1243" s="5">
        <v>43595</v>
      </c>
      <c r="B1243">
        <v>72.052999999999997</v>
      </c>
    </row>
    <row r="1244" spans="1:2" x14ac:dyDescent="0.3">
      <c r="A1244" s="5">
        <v>43596</v>
      </c>
      <c r="B1244">
        <v>72.052999999999997</v>
      </c>
    </row>
    <row r="1245" spans="1:2" x14ac:dyDescent="0.3">
      <c r="A1245" s="5">
        <v>43597</v>
      </c>
      <c r="B1245">
        <v>72.052999999999997</v>
      </c>
    </row>
    <row r="1246" spans="1:2" x14ac:dyDescent="0.3">
      <c r="A1246" s="5">
        <v>43598</v>
      </c>
      <c r="B1246">
        <v>71.742999999999995</v>
      </c>
    </row>
    <row r="1247" spans="1:2" x14ac:dyDescent="0.3">
      <c r="A1247" s="5">
        <v>43599</v>
      </c>
      <c r="B1247">
        <v>71.626999999999995</v>
      </c>
    </row>
    <row r="1248" spans="1:2" x14ac:dyDescent="0.3">
      <c r="A1248" s="5">
        <v>43600</v>
      </c>
      <c r="B1248">
        <v>71.602000000000004</v>
      </c>
    </row>
    <row r="1249" spans="1:2" x14ac:dyDescent="0.3">
      <c r="A1249" s="5">
        <v>43601</v>
      </c>
      <c r="B1249">
        <v>71.570999999999998</v>
      </c>
    </row>
    <row r="1250" spans="1:2" x14ac:dyDescent="0.3">
      <c r="A1250" s="5">
        <v>43602</v>
      </c>
      <c r="B1250">
        <v>71.475999999999999</v>
      </c>
    </row>
    <row r="1251" spans="1:2" x14ac:dyDescent="0.3">
      <c r="A1251" s="5">
        <v>43603</v>
      </c>
      <c r="B1251">
        <v>71.475999999999999</v>
      </c>
    </row>
    <row r="1252" spans="1:2" x14ac:dyDescent="0.3">
      <c r="A1252" s="5">
        <v>43604</v>
      </c>
      <c r="B1252">
        <v>71.475999999999999</v>
      </c>
    </row>
    <row r="1253" spans="1:2" x14ac:dyDescent="0.3">
      <c r="A1253" s="5">
        <v>43605</v>
      </c>
      <c r="B1253">
        <v>71.441000000000003</v>
      </c>
    </row>
    <row r="1254" spans="1:2" x14ac:dyDescent="0.3">
      <c r="A1254" s="5">
        <v>43606</v>
      </c>
      <c r="B1254">
        <v>71.218000000000004</v>
      </c>
    </row>
    <row r="1255" spans="1:2" x14ac:dyDescent="0.3">
      <c r="A1255" s="5">
        <v>43607</v>
      </c>
      <c r="B1255">
        <v>70.984999999999999</v>
      </c>
    </row>
    <row r="1256" spans="1:2" x14ac:dyDescent="0.3">
      <c r="A1256" s="5">
        <v>43608</v>
      </c>
      <c r="B1256">
        <v>70.891999999999996</v>
      </c>
    </row>
    <row r="1257" spans="1:2" x14ac:dyDescent="0.3">
      <c r="A1257" s="5">
        <v>43609</v>
      </c>
      <c r="B1257">
        <v>70.903999999999996</v>
      </c>
    </row>
    <row r="1258" spans="1:2" x14ac:dyDescent="0.3">
      <c r="A1258" s="5">
        <v>43610</v>
      </c>
      <c r="B1258">
        <v>70.903999999999996</v>
      </c>
    </row>
    <row r="1259" spans="1:2" x14ac:dyDescent="0.3">
      <c r="A1259" s="5">
        <v>43611</v>
      </c>
      <c r="B1259">
        <v>70.903999999999996</v>
      </c>
    </row>
    <row r="1260" spans="1:2" x14ac:dyDescent="0.3">
      <c r="A1260" s="5">
        <v>43612</v>
      </c>
      <c r="B1260">
        <v>70.822999999999993</v>
      </c>
    </row>
    <row r="1261" spans="1:2" x14ac:dyDescent="0.3">
      <c r="A1261" s="5">
        <v>43613</v>
      </c>
      <c r="B1261">
        <v>70.793000000000006</v>
      </c>
    </row>
    <row r="1262" spans="1:2" x14ac:dyDescent="0.3">
      <c r="A1262" s="5">
        <v>43614</v>
      </c>
      <c r="B1262">
        <v>70.747</v>
      </c>
    </row>
    <row r="1263" spans="1:2" x14ac:dyDescent="0.3">
      <c r="A1263" s="5">
        <v>43615</v>
      </c>
      <c r="B1263">
        <v>70.751999999999995</v>
      </c>
    </row>
    <row r="1264" spans="1:2" x14ac:dyDescent="0.3">
      <c r="A1264" s="5">
        <v>43616</v>
      </c>
      <c r="B1264">
        <v>70.73</v>
      </c>
    </row>
    <row r="1265" spans="1:2" x14ac:dyDescent="0.3">
      <c r="A1265" s="5">
        <v>43617</v>
      </c>
      <c r="B1265">
        <v>70.73</v>
      </c>
    </row>
    <row r="1266" spans="1:2" x14ac:dyDescent="0.3">
      <c r="A1266" s="5">
        <v>43618</v>
      </c>
      <c r="B1266">
        <v>70.73</v>
      </c>
    </row>
    <row r="1267" spans="1:2" x14ac:dyDescent="0.3">
      <c r="A1267" s="5">
        <v>43619</v>
      </c>
      <c r="B1267">
        <v>70.691000000000003</v>
      </c>
    </row>
    <row r="1268" spans="1:2" x14ac:dyDescent="0.3">
      <c r="A1268" s="5">
        <v>43620</v>
      </c>
      <c r="B1268">
        <v>70.531999999999996</v>
      </c>
    </row>
    <row r="1269" spans="1:2" x14ac:dyDescent="0.3">
      <c r="A1269" s="5">
        <v>43621</v>
      </c>
      <c r="B1269">
        <v>70.275000000000006</v>
      </c>
    </row>
    <row r="1270" spans="1:2" x14ac:dyDescent="0.3">
      <c r="A1270" s="5">
        <v>43622</v>
      </c>
      <c r="B1270">
        <v>69.966999999999999</v>
      </c>
    </row>
    <row r="1271" spans="1:2" x14ac:dyDescent="0.3">
      <c r="A1271" s="5">
        <v>43623</v>
      </c>
      <c r="B1271">
        <v>69.61</v>
      </c>
    </row>
    <row r="1272" spans="1:2" x14ac:dyDescent="0.3">
      <c r="A1272" s="5">
        <v>43624</v>
      </c>
      <c r="B1272">
        <v>69.61</v>
      </c>
    </row>
    <row r="1273" spans="1:2" x14ac:dyDescent="0.3">
      <c r="A1273" s="5">
        <v>43625</v>
      </c>
      <c r="B1273">
        <v>69.61</v>
      </c>
    </row>
    <row r="1274" spans="1:2" x14ac:dyDescent="0.3">
      <c r="A1274" s="5">
        <v>43626</v>
      </c>
      <c r="B1274">
        <v>69.241</v>
      </c>
    </row>
    <row r="1275" spans="1:2" x14ac:dyDescent="0.3">
      <c r="A1275" s="5">
        <v>43627</v>
      </c>
      <c r="B1275">
        <v>68.888999999999996</v>
      </c>
    </row>
    <row r="1276" spans="1:2" x14ac:dyDescent="0.3">
      <c r="A1276" s="5">
        <v>43628</v>
      </c>
      <c r="B1276">
        <v>67.977000000000004</v>
      </c>
    </row>
    <row r="1277" spans="1:2" x14ac:dyDescent="0.3">
      <c r="A1277" s="5">
        <v>43629</v>
      </c>
      <c r="B1277">
        <v>67.313000000000002</v>
      </c>
    </row>
    <row r="1278" spans="1:2" x14ac:dyDescent="0.3">
      <c r="A1278" s="5">
        <v>43630</v>
      </c>
      <c r="B1278">
        <v>66.662999999999997</v>
      </c>
    </row>
    <row r="1279" spans="1:2" x14ac:dyDescent="0.3">
      <c r="A1279" s="5">
        <v>43631</v>
      </c>
      <c r="B1279">
        <v>66.662999999999997</v>
      </c>
    </row>
    <row r="1280" spans="1:2" x14ac:dyDescent="0.3">
      <c r="A1280" s="5">
        <v>43632</v>
      </c>
      <c r="B1280">
        <v>66.662999999999997</v>
      </c>
    </row>
    <row r="1281" spans="1:2" x14ac:dyDescent="0.3">
      <c r="A1281" s="5">
        <v>43633</v>
      </c>
      <c r="B1281">
        <v>66.662999999999997</v>
      </c>
    </row>
    <row r="1282" spans="1:2" x14ac:dyDescent="0.3">
      <c r="A1282" s="5">
        <v>43634</v>
      </c>
      <c r="B1282">
        <v>66.105000000000004</v>
      </c>
    </row>
    <row r="1283" spans="1:2" x14ac:dyDescent="0.3">
      <c r="A1283" s="5">
        <v>43635</v>
      </c>
      <c r="B1283">
        <v>65.441000000000003</v>
      </c>
    </row>
    <row r="1284" spans="1:2" x14ac:dyDescent="0.3">
      <c r="A1284" s="5">
        <v>43636</v>
      </c>
      <c r="B1284">
        <v>65.441000000000003</v>
      </c>
    </row>
    <row r="1285" spans="1:2" x14ac:dyDescent="0.3">
      <c r="A1285" s="5">
        <v>43637</v>
      </c>
      <c r="B1285">
        <v>64.616</v>
      </c>
    </row>
    <row r="1286" spans="1:2" x14ac:dyDescent="0.3">
      <c r="A1286" s="5">
        <v>43638</v>
      </c>
      <c r="B1286">
        <v>64.616</v>
      </c>
    </row>
    <row r="1287" spans="1:2" x14ac:dyDescent="0.3">
      <c r="A1287" s="5">
        <v>43639</v>
      </c>
      <c r="B1287">
        <v>64.616</v>
      </c>
    </row>
    <row r="1288" spans="1:2" x14ac:dyDescent="0.3">
      <c r="A1288" s="5">
        <v>43640</v>
      </c>
      <c r="B1288">
        <v>63.838999999999999</v>
      </c>
    </row>
    <row r="1289" spans="1:2" x14ac:dyDescent="0.3">
      <c r="A1289" s="5">
        <v>43641</v>
      </c>
      <c r="B1289">
        <v>63.024999999999999</v>
      </c>
    </row>
    <row r="1290" spans="1:2" x14ac:dyDescent="0.3">
      <c r="A1290" s="5">
        <v>43642</v>
      </c>
      <c r="B1290">
        <v>62.603999999999999</v>
      </c>
    </row>
    <row r="1291" spans="1:2" x14ac:dyDescent="0.3">
      <c r="A1291" s="5">
        <v>43643</v>
      </c>
      <c r="B1291">
        <v>62.594999999999999</v>
      </c>
    </row>
    <row r="1292" spans="1:2" x14ac:dyDescent="0.3">
      <c r="A1292" s="5">
        <v>43644</v>
      </c>
      <c r="B1292">
        <v>62.688000000000002</v>
      </c>
    </row>
    <row r="1293" spans="1:2" x14ac:dyDescent="0.3">
      <c r="A1293" s="5">
        <v>43645</v>
      </c>
      <c r="B1293">
        <v>62.688000000000002</v>
      </c>
    </row>
    <row r="1294" spans="1:2" x14ac:dyDescent="0.3">
      <c r="A1294" s="5">
        <v>43646</v>
      </c>
      <c r="B1294">
        <v>62.688000000000002</v>
      </c>
    </row>
    <row r="1295" spans="1:2" x14ac:dyDescent="0.3">
      <c r="A1295" s="5">
        <v>43647</v>
      </c>
      <c r="B1295">
        <v>62.08</v>
      </c>
    </row>
    <row r="1296" spans="1:2" x14ac:dyDescent="0.3">
      <c r="A1296" s="5">
        <v>43648</v>
      </c>
      <c r="B1296">
        <v>61.378</v>
      </c>
    </row>
    <row r="1297" spans="1:2" x14ac:dyDescent="0.3">
      <c r="A1297" s="5">
        <v>43649</v>
      </c>
      <c r="B1297">
        <v>60.795000000000002</v>
      </c>
    </row>
    <row r="1298" spans="1:2" x14ac:dyDescent="0.3">
      <c r="A1298" s="5">
        <v>43650</v>
      </c>
      <c r="B1298">
        <v>60.338999999999999</v>
      </c>
    </row>
    <row r="1299" spans="1:2" x14ac:dyDescent="0.3">
      <c r="A1299" s="5">
        <v>43651</v>
      </c>
      <c r="B1299">
        <v>59.895000000000003</v>
      </c>
    </row>
    <row r="1300" spans="1:2" x14ac:dyDescent="0.3">
      <c r="A1300" s="5">
        <v>43652</v>
      </c>
      <c r="B1300">
        <v>59.895000000000003</v>
      </c>
    </row>
    <row r="1301" spans="1:2" x14ac:dyDescent="0.3">
      <c r="A1301" s="5">
        <v>43653</v>
      </c>
      <c r="B1301">
        <v>59.895000000000003</v>
      </c>
    </row>
    <row r="1302" spans="1:2" x14ac:dyDescent="0.3">
      <c r="A1302" s="5">
        <v>43654</v>
      </c>
      <c r="B1302">
        <v>59.895000000000003</v>
      </c>
    </row>
    <row r="1303" spans="1:2" x14ac:dyDescent="0.3">
      <c r="A1303" s="5">
        <v>43655</v>
      </c>
      <c r="B1303">
        <v>59.895000000000003</v>
      </c>
    </row>
    <row r="1304" spans="1:2" x14ac:dyDescent="0.3">
      <c r="A1304" s="5">
        <v>43656</v>
      </c>
      <c r="B1304">
        <v>59.484000000000002</v>
      </c>
    </row>
    <row r="1305" spans="1:2" x14ac:dyDescent="0.3">
      <c r="A1305" s="5">
        <v>43657</v>
      </c>
      <c r="B1305">
        <v>59.161000000000001</v>
      </c>
    </row>
    <row r="1306" spans="1:2" x14ac:dyDescent="0.3">
      <c r="A1306" s="5">
        <v>43658</v>
      </c>
      <c r="B1306">
        <v>59.011000000000003</v>
      </c>
    </row>
    <row r="1307" spans="1:2" x14ac:dyDescent="0.3">
      <c r="A1307" s="5">
        <v>43659</v>
      </c>
      <c r="B1307">
        <v>59.011000000000003</v>
      </c>
    </row>
    <row r="1308" spans="1:2" x14ac:dyDescent="0.3">
      <c r="A1308" s="5">
        <v>43660</v>
      </c>
      <c r="B1308">
        <v>59.011000000000003</v>
      </c>
    </row>
    <row r="1309" spans="1:2" x14ac:dyDescent="0.3">
      <c r="A1309" s="5">
        <v>43661</v>
      </c>
      <c r="B1309">
        <v>58.832999999999998</v>
      </c>
    </row>
    <row r="1310" spans="1:2" x14ac:dyDescent="0.3">
      <c r="A1310" s="5">
        <v>43662</v>
      </c>
      <c r="B1310">
        <v>58.8</v>
      </c>
    </row>
    <row r="1311" spans="1:2" x14ac:dyDescent="0.3">
      <c r="A1311" s="5">
        <v>43663</v>
      </c>
      <c r="B1311">
        <v>58.738</v>
      </c>
    </row>
    <row r="1312" spans="1:2" x14ac:dyDescent="0.3">
      <c r="A1312" s="5">
        <v>43664</v>
      </c>
      <c r="B1312">
        <v>58.723999999999997</v>
      </c>
    </row>
    <row r="1313" spans="1:2" x14ac:dyDescent="0.3">
      <c r="A1313" s="5">
        <v>43665</v>
      </c>
      <c r="B1313">
        <v>58.707999999999998</v>
      </c>
    </row>
    <row r="1314" spans="1:2" x14ac:dyDescent="0.3">
      <c r="A1314" s="5">
        <v>43666</v>
      </c>
      <c r="B1314">
        <v>58.707999999999998</v>
      </c>
    </row>
    <row r="1315" spans="1:2" x14ac:dyDescent="0.3">
      <c r="A1315" s="5">
        <v>43667</v>
      </c>
      <c r="B1315">
        <v>58.707999999999998</v>
      </c>
    </row>
    <row r="1316" spans="1:2" x14ac:dyDescent="0.3">
      <c r="A1316" s="5">
        <v>43668</v>
      </c>
      <c r="B1316">
        <v>58.777000000000001</v>
      </c>
    </row>
    <row r="1317" spans="1:2" x14ac:dyDescent="0.3">
      <c r="A1317" s="5">
        <v>43669</v>
      </c>
      <c r="B1317">
        <v>58.91</v>
      </c>
    </row>
    <row r="1318" spans="1:2" x14ac:dyDescent="0.3">
      <c r="A1318" s="5">
        <v>43670</v>
      </c>
      <c r="B1318">
        <v>59.009</v>
      </c>
    </row>
    <row r="1319" spans="1:2" x14ac:dyDescent="0.3">
      <c r="A1319" s="5">
        <v>43671</v>
      </c>
      <c r="B1319">
        <v>59.231999999999999</v>
      </c>
    </row>
    <row r="1320" spans="1:2" x14ac:dyDescent="0.3">
      <c r="A1320" s="5">
        <v>43672</v>
      </c>
      <c r="B1320">
        <v>59.587000000000003</v>
      </c>
    </row>
    <row r="1321" spans="1:2" x14ac:dyDescent="0.3">
      <c r="A1321" s="5">
        <v>43673</v>
      </c>
      <c r="B1321">
        <v>59.587000000000003</v>
      </c>
    </row>
    <row r="1322" spans="1:2" x14ac:dyDescent="0.3">
      <c r="A1322" s="5">
        <v>43674</v>
      </c>
      <c r="B1322">
        <v>59.587000000000003</v>
      </c>
    </row>
    <row r="1323" spans="1:2" x14ac:dyDescent="0.3">
      <c r="A1323" s="5">
        <v>43675</v>
      </c>
      <c r="B1323">
        <v>59.994</v>
      </c>
    </row>
    <row r="1324" spans="1:2" x14ac:dyDescent="0.3">
      <c r="A1324" s="5">
        <v>43676</v>
      </c>
      <c r="B1324">
        <v>60.271999999999998</v>
      </c>
    </row>
    <row r="1325" spans="1:2" x14ac:dyDescent="0.3">
      <c r="A1325" s="5">
        <v>43677</v>
      </c>
      <c r="B1325">
        <v>60.396000000000001</v>
      </c>
    </row>
    <row r="1326" spans="1:2" x14ac:dyDescent="0.3">
      <c r="A1326" s="5">
        <v>43678</v>
      </c>
      <c r="B1326">
        <v>60.648000000000003</v>
      </c>
    </row>
    <row r="1327" spans="1:2" x14ac:dyDescent="0.3">
      <c r="A1327" s="5">
        <v>43679</v>
      </c>
      <c r="B1327">
        <v>61.009</v>
      </c>
    </row>
    <row r="1328" spans="1:2" x14ac:dyDescent="0.3">
      <c r="A1328" s="5">
        <v>43680</v>
      </c>
      <c r="B1328">
        <v>61.009</v>
      </c>
    </row>
    <row r="1329" spans="1:2" x14ac:dyDescent="0.3">
      <c r="A1329" s="5">
        <v>43681</v>
      </c>
      <c r="B1329">
        <v>61.009</v>
      </c>
    </row>
    <row r="1330" spans="1:2" x14ac:dyDescent="0.3">
      <c r="A1330" s="5">
        <v>43682</v>
      </c>
      <c r="B1330">
        <v>61.588999999999999</v>
      </c>
    </row>
    <row r="1331" spans="1:2" x14ac:dyDescent="0.3">
      <c r="A1331" s="5">
        <v>43683</v>
      </c>
      <c r="B1331">
        <v>62.28</v>
      </c>
    </row>
    <row r="1332" spans="1:2" x14ac:dyDescent="0.3">
      <c r="A1332" s="5">
        <v>43684</v>
      </c>
      <c r="B1332">
        <v>62.93</v>
      </c>
    </row>
    <row r="1333" spans="1:2" x14ac:dyDescent="0.3">
      <c r="A1333" s="5">
        <v>43685</v>
      </c>
      <c r="B1333">
        <v>63.383000000000003</v>
      </c>
    </row>
    <row r="1334" spans="1:2" x14ac:dyDescent="0.3">
      <c r="A1334" s="5">
        <v>43686</v>
      </c>
      <c r="B1334">
        <v>63.706000000000003</v>
      </c>
    </row>
    <row r="1335" spans="1:2" x14ac:dyDescent="0.3">
      <c r="A1335" s="5">
        <v>43687</v>
      </c>
      <c r="B1335">
        <v>63.706000000000003</v>
      </c>
    </row>
    <row r="1336" spans="1:2" x14ac:dyDescent="0.3">
      <c r="A1336" s="5">
        <v>43688</v>
      </c>
      <c r="B1336">
        <v>63.706000000000003</v>
      </c>
    </row>
    <row r="1337" spans="1:2" x14ac:dyDescent="0.3">
      <c r="A1337" s="5">
        <v>43689</v>
      </c>
      <c r="B1337">
        <v>74.781999999999996</v>
      </c>
    </row>
    <row r="1338" spans="1:2" x14ac:dyDescent="0.3">
      <c r="A1338" s="5">
        <v>43690</v>
      </c>
      <c r="B1338">
        <v>74.853999999999999</v>
      </c>
    </row>
    <row r="1339" spans="1:2" x14ac:dyDescent="0.3">
      <c r="A1339" s="5">
        <v>43691</v>
      </c>
      <c r="B1339">
        <v>74.929000000000002</v>
      </c>
    </row>
    <row r="1340" spans="1:2" x14ac:dyDescent="0.3">
      <c r="A1340" s="5">
        <v>43692</v>
      </c>
      <c r="B1340">
        <v>74.959999999999994</v>
      </c>
    </row>
    <row r="1341" spans="1:2" x14ac:dyDescent="0.3">
      <c r="A1341" s="5">
        <v>43693</v>
      </c>
      <c r="B1341">
        <v>74.971999999999994</v>
      </c>
    </row>
    <row r="1342" spans="1:2" x14ac:dyDescent="0.3">
      <c r="A1342" s="5">
        <v>43694</v>
      </c>
      <c r="B1342">
        <v>74.971999999999994</v>
      </c>
    </row>
    <row r="1343" spans="1:2" x14ac:dyDescent="0.3">
      <c r="A1343" s="5">
        <v>43695</v>
      </c>
      <c r="B1343">
        <v>74.971999999999994</v>
      </c>
    </row>
    <row r="1344" spans="1:2" x14ac:dyDescent="0.3">
      <c r="A1344" s="5">
        <v>43696</v>
      </c>
      <c r="B1344">
        <v>74.971999999999994</v>
      </c>
    </row>
    <row r="1345" spans="1:2" x14ac:dyDescent="0.3">
      <c r="A1345" s="5">
        <v>43697</v>
      </c>
      <c r="B1345">
        <v>74.963999999999999</v>
      </c>
    </row>
    <row r="1346" spans="1:2" x14ac:dyDescent="0.3">
      <c r="A1346" s="5">
        <v>43698</v>
      </c>
      <c r="B1346">
        <v>74.977000000000004</v>
      </c>
    </row>
    <row r="1347" spans="1:2" x14ac:dyDescent="0.3">
      <c r="A1347" s="5">
        <v>43699</v>
      </c>
      <c r="B1347">
        <v>74.978999999999999</v>
      </c>
    </row>
    <row r="1348" spans="1:2" x14ac:dyDescent="0.3">
      <c r="A1348" s="5">
        <v>43700</v>
      </c>
      <c r="B1348">
        <v>74.983999999999995</v>
      </c>
    </row>
    <row r="1349" spans="1:2" x14ac:dyDescent="0.3">
      <c r="A1349" s="5">
        <v>43701</v>
      </c>
      <c r="B1349">
        <v>74.983999999999995</v>
      </c>
    </row>
    <row r="1350" spans="1:2" x14ac:dyDescent="0.3">
      <c r="A1350" s="5">
        <v>43702</v>
      </c>
      <c r="B1350">
        <v>74.983999999999995</v>
      </c>
    </row>
    <row r="1351" spans="1:2" x14ac:dyDescent="0.3">
      <c r="A1351" s="5">
        <v>43703</v>
      </c>
      <c r="B1351">
        <v>74.986999999999995</v>
      </c>
    </row>
    <row r="1352" spans="1:2" x14ac:dyDescent="0.3">
      <c r="A1352" s="5">
        <v>43704</v>
      </c>
      <c r="B1352">
        <v>74.988</v>
      </c>
    </row>
    <row r="1353" spans="1:2" x14ac:dyDescent="0.3">
      <c r="A1353" s="5">
        <v>43705</v>
      </c>
      <c r="B1353">
        <v>74.983000000000004</v>
      </c>
    </row>
    <row r="1354" spans="1:2" x14ac:dyDescent="0.3">
      <c r="A1354" s="5">
        <v>43706</v>
      </c>
      <c r="B1354">
        <v>78.206999999999994</v>
      </c>
    </row>
    <row r="1355" spans="1:2" x14ac:dyDescent="0.3">
      <c r="A1355" s="5">
        <v>43707</v>
      </c>
      <c r="B1355">
        <v>83.263999999999996</v>
      </c>
    </row>
    <row r="1356" spans="1:2" x14ac:dyDescent="0.3">
      <c r="A1356" s="5">
        <v>43708</v>
      </c>
      <c r="B1356">
        <v>83.263999999999996</v>
      </c>
    </row>
    <row r="1357" spans="1:2" x14ac:dyDescent="0.3">
      <c r="A1357" s="5">
        <v>43709</v>
      </c>
      <c r="B1357">
        <v>83.263999999999996</v>
      </c>
    </row>
    <row r="1358" spans="1:2" x14ac:dyDescent="0.3">
      <c r="A1358" s="5">
        <v>43710</v>
      </c>
      <c r="B1358">
        <v>85.275000000000006</v>
      </c>
    </row>
    <row r="1359" spans="1:2" x14ac:dyDescent="0.3">
      <c r="A1359" s="5">
        <v>43711</v>
      </c>
      <c r="B1359">
        <v>85.731999999999999</v>
      </c>
    </row>
    <row r="1360" spans="1:2" x14ac:dyDescent="0.3">
      <c r="A1360" s="5">
        <v>43712</v>
      </c>
      <c r="B1360">
        <v>85.798000000000002</v>
      </c>
    </row>
    <row r="1361" spans="1:2" x14ac:dyDescent="0.3">
      <c r="A1361" s="5">
        <v>43713</v>
      </c>
      <c r="B1361">
        <v>85.801000000000002</v>
      </c>
    </row>
    <row r="1362" spans="1:2" x14ac:dyDescent="0.3">
      <c r="A1362" s="5">
        <v>43714</v>
      </c>
      <c r="B1362">
        <v>85.828000000000003</v>
      </c>
    </row>
    <row r="1363" spans="1:2" x14ac:dyDescent="0.3">
      <c r="A1363" s="5">
        <v>43715</v>
      </c>
      <c r="B1363">
        <v>85.828000000000003</v>
      </c>
    </row>
    <row r="1364" spans="1:2" x14ac:dyDescent="0.3">
      <c r="A1364" s="5">
        <v>43716</v>
      </c>
      <c r="B1364">
        <v>85.828000000000003</v>
      </c>
    </row>
    <row r="1365" spans="1:2" x14ac:dyDescent="0.3">
      <c r="A1365" s="5">
        <v>43717</v>
      </c>
      <c r="B1365">
        <v>85.983000000000004</v>
      </c>
    </row>
    <row r="1366" spans="1:2" x14ac:dyDescent="0.3">
      <c r="A1366" s="5">
        <v>43718</v>
      </c>
      <c r="B1366">
        <v>85.991</v>
      </c>
    </row>
    <row r="1367" spans="1:2" x14ac:dyDescent="0.3">
      <c r="A1367" s="5">
        <v>43719</v>
      </c>
      <c r="B1367">
        <v>85.986999999999995</v>
      </c>
    </row>
    <row r="1368" spans="1:2" x14ac:dyDescent="0.3">
      <c r="A1368" s="5">
        <v>43720</v>
      </c>
      <c r="B1368">
        <v>85.991</v>
      </c>
    </row>
    <row r="1369" spans="1:2" x14ac:dyDescent="0.3">
      <c r="A1369" s="5">
        <v>43721</v>
      </c>
      <c r="B1369">
        <v>84.149000000000001</v>
      </c>
    </row>
    <row r="1370" spans="1:2" x14ac:dyDescent="0.3">
      <c r="A1370" s="5">
        <v>43722</v>
      </c>
      <c r="B1370">
        <v>84.149000000000001</v>
      </c>
    </row>
    <row r="1371" spans="1:2" x14ac:dyDescent="0.3">
      <c r="A1371" s="5">
        <v>43723</v>
      </c>
      <c r="B1371">
        <v>84.149000000000001</v>
      </c>
    </row>
    <row r="1372" spans="1:2" x14ac:dyDescent="0.3">
      <c r="A1372" s="5">
        <v>43724</v>
      </c>
      <c r="B1372">
        <v>84.010999999999996</v>
      </c>
    </row>
    <row r="1373" spans="1:2" x14ac:dyDescent="0.3">
      <c r="A1373" s="5">
        <v>43725</v>
      </c>
      <c r="B1373">
        <v>83.46</v>
      </c>
    </row>
    <row r="1374" spans="1:2" x14ac:dyDescent="0.3">
      <c r="A1374" s="5">
        <v>43726</v>
      </c>
      <c r="B1374">
        <v>83.204999999999998</v>
      </c>
    </row>
    <row r="1375" spans="1:2" x14ac:dyDescent="0.3">
      <c r="A1375" s="5">
        <v>43727</v>
      </c>
      <c r="B1375">
        <v>82.787999999999997</v>
      </c>
    </row>
    <row r="1376" spans="1:2" x14ac:dyDescent="0.3">
      <c r="A1376" s="5">
        <v>43728</v>
      </c>
      <c r="B1376">
        <v>82.245000000000005</v>
      </c>
    </row>
    <row r="1377" spans="1:2" x14ac:dyDescent="0.3">
      <c r="A1377" s="5">
        <v>43729</v>
      </c>
      <c r="B1377">
        <v>82.245000000000005</v>
      </c>
    </row>
    <row r="1378" spans="1:2" x14ac:dyDescent="0.3">
      <c r="A1378" s="5">
        <v>43730</v>
      </c>
      <c r="B1378">
        <v>82.245000000000005</v>
      </c>
    </row>
    <row r="1379" spans="1:2" x14ac:dyDescent="0.3">
      <c r="A1379" s="5">
        <v>43731</v>
      </c>
      <c r="B1379">
        <v>81.781000000000006</v>
      </c>
    </row>
    <row r="1380" spans="1:2" x14ac:dyDescent="0.3">
      <c r="A1380" s="5">
        <v>43732</v>
      </c>
      <c r="B1380">
        <v>81.319000000000003</v>
      </c>
    </row>
    <row r="1381" spans="1:2" x14ac:dyDescent="0.3">
      <c r="A1381" s="5">
        <v>43733</v>
      </c>
      <c r="B1381">
        <v>80.828000000000003</v>
      </c>
    </row>
    <row r="1382" spans="1:2" x14ac:dyDescent="0.3">
      <c r="A1382" s="5">
        <v>43734</v>
      </c>
      <c r="B1382">
        <v>79.994</v>
      </c>
    </row>
    <row r="1383" spans="1:2" x14ac:dyDescent="0.3">
      <c r="A1383" s="5">
        <v>43735</v>
      </c>
      <c r="B1383">
        <v>79.206999999999994</v>
      </c>
    </row>
    <row r="1384" spans="1:2" x14ac:dyDescent="0.3">
      <c r="A1384" s="5">
        <v>43736</v>
      </c>
      <c r="B1384">
        <v>79.206999999999994</v>
      </c>
    </row>
    <row r="1385" spans="1:2" x14ac:dyDescent="0.3">
      <c r="A1385" s="5">
        <v>43737</v>
      </c>
      <c r="B1385">
        <v>79.206999999999994</v>
      </c>
    </row>
    <row r="1386" spans="1:2" x14ac:dyDescent="0.3">
      <c r="A1386" s="5">
        <v>43738</v>
      </c>
      <c r="B1386">
        <v>78.372</v>
      </c>
    </row>
    <row r="1387" spans="1:2" x14ac:dyDescent="0.3">
      <c r="A1387" s="5">
        <v>43739</v>
      </c>
      <c r="B1387">
        <v>77.710999999999999</v>
      </c>
    </row>
    <row r="1388" spans="1:2" x14ac:dyDescent="0.3">
      <c r="A1388" s="5">
        <v>43740</v>
      </c>
      <c r="B1388">
        <v>76.986000000000004</v>
      </c>
    </row>
    <row r="1389" spans="1:2" x14ac:dyDescent="0.3">
      <c r="A1389" s="5">
        <v>43741</v>
      </c>
      <c r="B1389">
        <v>75.978999999999999</v>
      </c>
    </row>
    <row r="1390" spans="1:2" x14ac:dyDescent="0.3">
      <c r="A1390" s="5">
        <v>43742</v>
      </c>
      <c r="B1390">
        <v>74.98</v>
      </c>
    </row>
    <row r="1391" spans="1:2" x14ac:dyDescent="0.3">
      <c r="A1391" s="5">
        <v>43743</v>
      </c>
      <c r="B1391">
        <v>74.98</v>
      </c>
    </row>
    <row r="1392" spans="1:2" x14ac:dyDescent="0.3">
      <c r="A1392" s="5">
        <v>43744</v>
      </c>
      <c r="B1392">
        <v>74.98</v>
      </c>
    </row>
    <row r="1393" spans="1:2" x14ac:dyDescent="0.3">
      <c r="A1393" s="5">
        <v>43745</v>
      </c>
      <c r="B1393">
        <v>72.968999999999994</v>
      </c>
    </row>
    <row r="1394" spans="1:2" x14ac:dyDescent="0.3">
      <c r="A1394" s="5">
        <v>43746</v>
      </c>
      <c r="B1394">
        <v>71.915000000000006</v>
      </c>
    </row>
    <row r="1395" spans="1:2" x14ac:dyDescent="0.3">
      <c r="A1395" s="5">
        <v>43747</v>
      </c>
      <c r="B1395">
        <v>70.984999999999999</v>
      </c>
    </row>
    <row r="1396" spans="1:2" x14ac:dyDescent="0.3">
      <c r="A1396" s="5">
        <v>43748</v>
      </c>
      <c r="B1396">
        <v>69.486000000000004</v>
      </c>
    </row>
    <row r="1397" spans="1:2" x14ac:dyDescent="0.3">
      <c r="A1397" s="5">
        <v>43749</v>
      </c>
      <c r="B1397">
        <v>68.022000000000006</v>
      </c>
    </row>
    <row r="1398" spans="1:2" x14ac:dyDescent="0.3">
      <c r="A1398" s="5">
        <v>43750</v>
      </c>
      <c r="B1398">
        <v>68.022000000000006</v>
      </c>
    </row>
    <row r="1399" spans="1:2" x14ac:dyDescent="0.3">
      <c r="A1399" s="5">
        <v>43751</v>
      </c>
      <c r="B1399">
        <v>68.022000000000006</v>
      </c>
    </row>
    <row r="1400" spans="1:2" x14ac:dyDescent="0.3">
      <c r="A1400" s="5">
        <v>43752</v>
      </c>
      <c r="B1400">
        <v>68.022000000000006</v>
      </c>
    </row>
    <row r="1401" spans="1:2" x14ac:dyDescent="0.3">
      <c r="A1401" s="5">
        <v>43753</v>
      </c>
      <c r="B1401">
        <v>68.003</v>
      </c>
    </row>
    <row r="1402" spans="1:2" x14ac:dyDescent="0.3">
      <c r="A1402" s="5">
        <v>43754</v>
      </c>
      <c r="B1402">
        <v>68.001999999999995</v>
      </c>
    </row>
    <row r="1403" spans="1:2" x14ac:dyDescent="0.3">
      <c r="A1403" s="5">
        <v>43755</v>
      </c>
      <c r="B1403">
        <v>68.001999999999995</v>
      </c>
    </row>
    <row r="1404" spans="1:2" x14ac:dyDescent="0.3">
      <c r="A1404" s="5">
        <v>43756</v>
      </c>
      <c r="B1404">
        <v>68.001999999999995</v>
      </c>
    </row>
    <row r="1405" spans="1:2" x14ac:dyDescent="0.3">
      <c r="A1405" s="5">
        <v>43757</v>
      </c>
      <c r="B1405">
        <v>68.001999999999995</v>
      </c>
    </row>
    <row r="1406" spans="1:2" x14ac:dyDescent="0.3">
      <c r="A1406" s="5">
        <v>43758</v>
      </c>
      <c r="B1406">
        <v>68.001999999999995</v>
      </c>
    </row>
    <row r="1407" spans="1:2" x14ac:dyDescent="0.3">
      <c r="A1407" s="5">
        <v>43759</v>
      </c>
      <c r="B1407">
        <v>68.003</v>
      </c>
    </row>
    <row r="1408" spans="1:2" x14ac:dyDescent="0.3">
      <c r="A1408" s="5">
        <v>43760</v>
      </c>
      <c r="B1408">
        <v>68.003</v>
      </c>
    </row>
    <row r="1409" spans="1:2" x14ac:dyDescent="0.3">
      <c r="A1409" s="5">
        <v>43761</v>
      </c>
      <c r="B1409">
        <v>68.003</v>
      </c>
    </row>
    <row r="1410" spans="1:2" x14ac:dyDescent="0.3">
      <c r="A1410" s="5">
        <v>43762</v>
      </c>
      <c r="B1410">
        <v>68.003</v>
      </c>
    </row>
    <row r="1411" spans="1:2" x14ac:dyDescent="0.3">
      <c r="A1411" s="5">
        <v>43763</v>
      </c>
      <c r="B1411">
        <v>68.003</v>
      </c>
    </row>
    <row r="1412" spans="1:2" x14ac:dyDescent="0.3">
      <c r="A1412" s="5">
        <v>43764</v>
      </c>
      <c r="B1412">
        <v>68.003</v>
      </c>
    </row>
    <row r="1413" spans="1:2" x14ac:dyDescent="0.3">
      <c r="A1413" s="5">
        <v>43765</v>
      </c>
      <c r="B1413">
        <v>68.003</v>
      </c>
    </row>
    <row r="1414" spans="1:2" x14ac:dyDescent="0.3">
      <c r="A1414" s="5">
        <v>43766</v>
      </c>
      <c r="B1414">
        <v>68.003</v>
      </c>
    </row>
    <row r="1415" spans="1:2" x14ac:dyDescent="0.3">
      <c r="A1415" s="5">
        <v>43767</v>
      </c>
      <c r="B1415">
        <v>68.003</v>
      </c>
    </row>
    <row r="1416" spans="1:2" x14ac:dyDescent="0.3">
      <c r="A1416" s="5">
        <v>43768</v>
      </c>
      <c r="B1416">
        <v>68.001999999999995</v>
      </c>
    </row>
    <row r="1417" spans="1:2" x14ac:dyDescent="0.3">
      <c r="A1417" s="5">
        <v>43769</v>
      </c>
      <c r="B1417">
        <v>68.001999999999995</v>
      </c>
    </row>
    <row r="1418" spans="1:2" x14ac:dyDescent="0.3">
      <c r="A1418" s="5">
        <v>43770</v>
      </c>
      <c r="B1418">
        <v>67.033000000000001</v>
      </c>
    </row>
    <row r="1419" spans="1:2" x14ac:dyDescent="0.3">
      <c r="A1419" s="5">
        <v>43771</v>
      </c>
      <c r="B1419">
        <v>67.033000000000001</v>
      </c>
    </row>
    <row r="1420" spans="1:2" x14ac:dyDescent="0.3">
      <c r="A1420" s="5">
        <v>43772</v>
      </c>
      <c r="B1420">
        <v>67.033000000000001</v>
      </c>
    </row>
    <row r="1421" spans="1:2" x14ac:dyDescent="0.3">
      <c r="A1421" s="5">
        <v>43773</v>
      </c>
      <c r="B1421">
        <v>65.933999999999997</v>
      </c>
    </row>
    <row r="1422" spans="1:2" x14ac:dyDescent="0.3">
      <c r="A1422" s="5">
        <v>43774</v>
      </c>
      <c r="B1422">
        <v>64.941999999999993</v>
      </c>
    </row>
    <row r="1423" spans="1:2" x14ac:dyDescent="0.3">
      <c r="A1423" s="5">
        <v>43775</v>
      </c>
      <c r="B1423">
        <v>64.941999999999993</v>
      </c>
    </row>
    <row r="1424" spans="1:2" x14ac:dyDescent="0.3">
      <c r="A1424" s="5">
        <v>43776</v>
      </c>
      <c r="B1424">
        <v>64.013000000000005</v>
      </c>
    </row>
    <row r="1425" spans="1:2" x14ac:dyDescent="0.3">
      <c r="A1425" s="5">
        <v>43777</v>
      </c>
      <c r="B1425">
        <v>63.209000000000003</v>
      </c>
    </row>
    <row r="1426" spans="1:2" x14ac:dyDescent="0.3">
      <c r="A1426" s="5">
        <v>43778</v>
      </c>
      <c r="B1426">
        <v>63.209000000000003</v>
      </c>
    </row>
    <row r="1427" spans="1:2" x14ac:dyDescent="0.3">
      <c r="A1427" s="5">
        <v>43779</v>
      </c>
      <c r="B1427">
        <v>63.209000000000003</v>
      </c>
    </row>
    <row r="1428" spans="1:2" x14ac:dyDescent="0.3">
      <c r="A1428" s="5">
        <v>43780</v>
      </c>
      <c r="B1428">
        <v>63.046999999999997</v>
      </c>
    </row>
    <row r="1429" spans="1:2" x14ac:dyDescent="0.3">
      <c r="A1429" s="5">
        <v>43781</v>
      </c>
      <c r="B1429">
        <v>63.009</v>
      </c>
    </row>
    <row r="1430" spans="1:2" x14ac:dyDescent="0.3">
      <c r="A1430" s="5">
        <v>43782</v>
      </c>
      <c r="B1430">
        <v>63.006</v>
      </c>
    </row>
    <row r="1431" spans="1:2" x14ac:dyDescent="0.3">
      <c r="A1431" s="5">
        <v>43783</v>
      </c>
      <c r="B1431">
        <v>63.003999999999998</v>
      </c>
    </row>
    <row r="1432" spans="1:2" x14ac:dyDescent="0.3">
      <c r="A1432" s="5">
        <v>43784</v>
      </c>
      <c r="B1432">
        <v>63.003</v>
      </c>
    </row>
    <row r="1433" spans="1:2" x14ac:dyDescent="0.3">
      <c r="A1433" s="5">
        <v>43785</v>
      </c>
      <c r="B1433">
        <v>63.003</v>
      </c>
    </row>
    <row r="1434" spans="1:2" x14ac:dyDescent="0.3">
      <c r="A1434" s="5">
        <v>43786</v>
      </c>
      <c r="B1434">
        <v>63.003</v>
      </c>
    </row>
    <row r="1435" spans="1:2" x14ac:dyDescent="0.3">
      <c r="A1435" s="5">
        <v>43787</v>
      </c>
      <c r="B1435">
        <v>63.003</v>
      </c>
    </row>
    <row r="1436" spans="1:2" x14ac:dyDescent="0.3">
      <c r="A1436" s="5">
        <v>43788</v>
      </c>
      <c r="B1436">
        <v>63.002000000000002</v>
      </c>
    </row>
    <row r="1437" spans="1:2" x14ac:dyDescent="0.3">
      <c r="A1437" s="5">
        <v>43789</v>
      </c>
      <c r="B1437">
        <v>63.003</v>
      </c>
    </row>
    <row r="1438" spans="1:2" x14ac:dyDescent="0.3">
      <c r="A1438" s="5">
        <v>43790</v>
      </c>
      <c r="B1438">
        <v>63.002000000000002</v>
      </c>
    </row>
    <row r="1439" spans="1:2" x14ac:dyDescent="0.3">
      <c r="A1439" s="5">
        <v>43791</v>
      </c>
      <c r="B1439">
        <v>63.003</v>
      </c>
    </row>
    <row r="1440" spans="1:2" x14ac:dyDescent="0.3">
      <c r="A1440" s="5">
        <v>43792</v>
      </c>
      <c r="B1440">
        <v>63.003</v>
      </c>
    </row>
    <row r="1441" spans="1:2" x14ac:dyDescent="0.3">
      <c r="A1441" s="5">
        <v>43793</v>
      </c>
      <c r="B1441">
        <v>63.003</v>
      </c>
    </row>
    <row r="1442" spans="1:2" x14ac:dyDescent="0.3">
      <c r="A1442" s="5">
        <v>43794</v>
      </c>
      <c r="B1442">
        <v>63.003</v>
      </c>
    </row>
    <row r="1443" spans="1:2" x14ac:dyDescent="0.3">
      <c r="A1443" s="5">
        <v>43795</v>
      </c>
      <c r="B1443">
        <v>63.003</v>
      </c>
    </row>
    <row r="1444" spans="1:2" x14ac:dyDescent="0.3">
      <c r="A1444" s="5">
        <v>43796</v>
      </c>
      <c r="B1444">
        <v>63.003</v>
      </c>
    </row>
    <row r="1445" spans="1:2" x14ac:dyDescent="0.3">
      <c r="A1445" s="5">
        <v>43797</v>
      </c>
      <c r="B1445">
        <v>63.002000000000002</v>
      </c>
    </row>
    <row r="1446" spans="1:2" x14ac:dyDescent="0.3">
      <c r="A1446" s="5">
        <v>43798</v>
      </c>
      <c r="B1446">
        <v>63.002000000000002</v>
      </c>
    </row>
    <row r="1447" spans="1:2" x14ac:dyDescent="0.3">
      <c r="A1447" s="5">
        <v>43799</v>
      </c>
      <c r="B1447">
        <v>63.002000000000002</v>
      </c>
    </row>
    <row r="1448" spans="1:2" x14ac:dyDescent="0.3">
      <c r="A1448" s="5">
        <v>43800</v>
      </c>
      <c r="B1448">
        <v>63.002000000000002</v>
      </c>
    </row>
    <row r="1449" spans="1:2" x14ac:dyDescent="0.3">
      <c r="A1449" s="5">
        <v>43801</v>
      </c>
      <c r="B1449">
        <v>63.002000000000002</v>
      </c>
    </row>
    <row r="1450" spans="1:2" x14ac:dyDescent="0.3">
      <c r="A1450" s="5">
        <v>43802</v>
      </c>
      <c r="B1450">
        <v>63</v>
      </c>
    </row>
    <row r="1451" spans="1:2" x14ac:dyDescent="0.3">
      <c r="A1451" s="5">
        <v>43803</v>
      </c>
      <c r="B1451">
        <v>63</v>
      </c>
    </row>
    <row r="1452" spans="1:2" x14ac:dyDescent="0.3">
      <c r="A1452" s="5">
        <v>43804</v>
      </c>
      <c r="B1452">
        <v>63</v>
      </c>
    </row>
    <row r="1453" spans="1:2" x14ac:dyDescent="0.3">
      <c r="A1453" s="5">
        <v>43805</v>
      </c>
      <c r="B1453">
        <v>63</v>
      </c>
    </row>
    <row r="1454" spans="1:2" x14ac:dyDescent="0.3">
      <c r="A1454" s="5">
        <v>43806</v>
      </c>
      <c r="B1454">
        <v>63</v>
      </c>
    </row>
    <row r="1455" spans="1:2" x14ac:dyDescent="0.3">
      <c r="A1455" s="5">
        <v>43807</v>
      </c>
      <c r="B1455">
        <v>63</v>
      </c>
    </row>
    <row r="1456" spans="1:2" x14ac:dyDescent="0.3">
      <c r="A1456" s="5">
        <v>43808</v>
      </c>
      <c r="B1456">
        <v>63</v>
      </c>
    </row>
    <row r="1457" spans="1:2" x14ac:dyDescent="0.3">
      <c r="A1457" s="5">
        <v>43809</v>
      </c>
      <c r="B1457">
        <v>63</v>
      </c>
    </row>
    <row r="1458" spans="1:2" x14ac:dyDescent="0.3">
      <c r="A1458" s="5">
        <v>43810</v>
      </c>
      <c r="B1458">
        <v>63</v>
      </c>
    </row>
    <row r="1459" spans="1:2" x14ac:dyDescent="0.3">
      <c r="A1459" s="5">
        <v>43811</v>
      </c>
      <c r="B1459">
        <v>63</v>
      </c>
    </row>
    <row r="1460" spans="1:2" x14ac:dyDescent="0.3">
      <c r="A1460" s="5">
        <v>43812</v>
      </c>
      <c r="B1460">
        <v>63</v>
      </c>
    </row>
    <row r="1461" spans="1:2" x14ac:dyDescent="0.3">
      <c r="A1461" s="5">
        <v>43813</v>
      </c>
      <c r="B1461">
        <v>63</v>
      </c>
    </row>
    <row r="1462" spans="1:2" x14ac:dyDescent="0.3">
      <c r="A1462" s="5">
        <v>43814</v>
      </c>
      <c r="B1462">
        <v>63</v>
      </c>
    </row>
    <row r="1463" spans="1:2" x14ac:dyDescent="0.3">
      <c r="A1463" s="5">
        <v>43815</v>
      </c>
      <c r="B1463">
        <v>63</v>
      </c>
    </row>
    <row r="1464" spans="1:2" x14ac:dyDescent="0.3">
      <c r="A1464" s="5">
        <v>43816</v>
      </c>
      <c r="B1464">
        <v>63</v>
      </c>
    </row>
    <row r="1465" spans="1:2" x14ac:dyDescent="0.3">
      <c r="A1465" s="5">
        <v>43817</v>
      </c>
      <c r="B1465">
        <v>63</v>
      </c>
    </row>
    <row r="1466" spans="1:2" x14ac:dyDescent="0.3">
      <c r="A1466" s="5">
        <v>43818</v>
      </c>
      <c r="B1466">
        <v>63</v>
      </c>
    </row>
    <row r="1467" spans="1:2" x14ac:dyDescent="0.3">
      <c r="A1467" s="5">
        <v>43819</v>
      </c>
      <c r="B1467">
        <v>58</v>
      </c>
    </row>
    <row r="1468" spans="1:2" x14ac:dyDescent="0.3">
      <c r="A1468" s="5">
        <v>43820</v>
      </c>
      <c r="B1468">
        <v>58</v>
      </c>
    </row>
    <row r="1469" spans="1:2" x14ac:dyDescent="0.3">
      <c r="A1469" s="5">
        <v>43821</v>
      </c>
      <c r="B1469">
        <v>58</v>
      </c>
    </row>
    <row r="1470" spans="1:2" x14ac:dyDescent="0.3">
      <c r="A1470" s="5">
        <v>43822</v>
      </c>
      <c r="B1470">
        <v>58</v>
      </c>
    </row>
    <row r="1471" spans="1:2" x14ac:dyDescent="0.3">
      <c r="A1471" s="5">
        <v>43823</v>
      </c>
      <c r="B1471">
        <v>58</v>
      </c>
    </row>
    <row r="1472" spans="1:2" x14ac:dyDescent="0.3">
      <c r="A1472" s="5">
        <v>43824</v>
      </c>
      <c r="B1472">
        <v>58</v>
      </c>
    </row>
    <row r="1473" spans="1:2" x14ac:dyDescent="0.3">
      <c r="A1473" s="5">
        <v>43825</v>
      </c>
      <c r="B1473">
        <v>58</v>
      </c>
    </row>
    <row r="1474" spans="1:2" x14ac:dyDescent="0.3">
      <c r="A1474" s="5">
        <v>43826</v>
      </c>
      <c r="B1474">
        <v>55</v>
      </c>
    </row>
    <row r="1475" spans="1:2" x14ac:dyDescent="0.3">
      <c r="A1475" s="5">
        <v>43827</v>
      </c>
      <c r="B1475">
        <v>55</v>
      </c>
    </row>
    <row r="1476" spans="1:2" x14ac:dyDescent="0.3">
      <c r="A1476" s="5">
        <v>43828</v>
      </c>
      <c r="B1476">
        <v>55</v>
      </c>
    </row>
    <row r="1477" spans="1:2" x14ac:dyDescent="0.3">
      <c r="A1477" s="5">
        <v>43829</v>
      </c>
      <c r="B1477">
        <v>55</v>
      </c>
    </row>
    <row r="1478" spans="1:2" x14ac:dyDescent="0.3">
      <c r="A1478" s="5">
        <v>43830</v>
      </c>
      <c r="B1478">
        <v>55</v>
      </c>
    </row>
    <row r="1479" spans="1:2" x14ac:dyDescent="0.3">
      <c r="A1479" s="5">
        <v>43831</v>
      </c>
      <c r="B1479">
        <v>55</v>
      </c>
    </row>
    <row r="1480" spans="1:2" x14ac:dyDescent="0.3">
      <c r="A1480" s="5">
        <v>43832</v>
      </c>
      <c r="B1480">
        <v>55</v>
      </c>
    </row>
    <row r="1481" spans="1:2" x14ac:dyDescent="0.3">
      <c r="A1481" s="5">
        <v>43833</v>
      </c>
      <c r="B1481">
        <v>55</v>
      </c>
    </row>
    <row r="1482" spans="1:2" x14ac:dyDescent="0.3">
      <c r="A1482" s="5">
        <v>43834</v>
      </c>
      <c r="B1482">
        <v>55</v>
      </c>
    </row>
    <row r="1483" spans="1:2" x14ac:dyDescent="0.3">
      <c r="A1483" s="5">
        <v>43835</v>
      </c>
      <c r="B1483">
        <v>55</v>
      </c>
    </row>
    <row r="1484" spans="1:2" x14ac:dyDescent="0.3">
      <c r="A1484" s="5">
        <v>43836</v>
      </c>
      <c r="B1484">
        <v>55</v>
      </c>
    </row>
    <row r="1485" spans="1:2" x14ac:dyDescent="0.3">
      <c r="A1485" s="5">
        <v>43837</v>
      </c>
      <c r="B1485">
        <v>55</v>
      </c>
    </row>
    <row r="1486" spans="1:2" x14ac:dyDescent="0.3">
      <c r="A1486" s="5">
        <v>43838</v>
      </c>
      <c r="B1486">
        <v>55</v>
      </c>
    </row>
    <row r="1487" spans="1:2" x14ac:dyDescent="0.3">
      <c r="A1487" s="5">
        <v>43839</v>
      </c>
      <c r="B1487">
        <v>55</v>
      </c>
    </row>
    <row r="1488" spans="1:2" x14ac:dyDescent="0.3">
      <c r="A1488" s="5">
        <v>43840</v>
      </c>
      <c r="B1488">
        <v>52</v>
      </c>
    </row>
    <row r="1489" spans="1:2" x14ac:dyDescent="0.3">
      <c r="A1489" s="5">
        <v>43841</v>
      </c>
      <c r="B1489">
        <v>52</v>
      </c>
    </row>
    <row r="1490" spans="1:2" x14ac:dyDescent="0.3">
      <c r="A1490" s="5">
        <v>43842</v>
      </c>
      <c r="B1490">
        <v>52</v>
      </c>
    </row>
    <row r="1491" spans="1:2" x14ac:dyDescent="0.3">
      <c r="A1491" s="5">
        <v>43843</v>
      </c>
      <c r="B1491">
        <v>52</v>
      </c>
    </row>
    <row r="1492" spans="1:2" x14ac:dyDescent="0.3">
      <c r="A1492" s="5">
        <v>43844</v>
      </c>
      <c r="B1492">
        <v>52</v>
      </c>
    </row>
    <row r="1493" spans="1:2" x14ac:dyDescent="0.3">
      <c r="A1493" s="5">
        <v>43845</v>
      </c>
      <c r="B1493">
        <v>52</v>
      </c>
    </row>
    <row r="1494" spans="1:2" x14ac:dyDescent="0.3">
      <c r="A1494" s="5">
        <v>43846</v>
      </c>
      <c r="B1494">
        <v>52</v>
      </c>
    </row>
    <row r="1495" spans="1:2" x14ac:dyDescent="0.3">
      <c r="A1495" s="5">
        <v>43847</v>
      </c>
      <c r="B1495">
        <v>50</v>
      </c>
    </row>
    <row r="1496" spans="1:2" x14ac:dyDescent="0.3">
      <c r="A1496" s="5">
        <v>43848</v>
      </c>
      <c r="B1496">
        <v>50</v>
      </c>
    </row>
    <row r="1497" spans="1:2" x14ac:dyDescent="0.3">
      <c r="A1497" s="5">
        <v>43849</v>
      </c>
      <c r="B1497">
        <v>50</v>
      </c>
    </row>
    <row r="1498" spans="1:2" x14ac:dyDescent="0.3">
      <c r="A1498" s="5">
        <v>43850</v>
      </c>
      <c r="B1498">
        <v>50</v>
      </c>
    </row>
    <row r="1499" spans="1:2" x14ac:dyDescent="0.3">
      <c r="A1499" s="5">
        <v>43851</v>
      </c>
      <c r="B1499">
        <v>50</v>
      </c>
    </row>
    <row r="1500" spans="1:2" x14ac:dyDescent="0.3">
      <c r="A1500" s="5">
        <v>43852</v>
      </c>
      <c r="B1500">
        <v>50</v>
      </c>
    </row>
    <row r="1501" spans="1:2" x14ac:dyDescent="0.3">
      <c r="A1501" s="5">
        <v>43853</v>
      </c>
      <c r="B1501">
        <v>50</v>
      </c>
    </row>
    <row r="1502" spans="1:2" x14ac:dyDescent="0.3">
      <c r="A1502" s="5">
        <v>43854</v>
      </c>
      <c r="B1502">
        <v>50</v>
      </c>
    </row>
    <row r="1503" spans="1:2" x14ac:dyDescent="0.3">
      <c r="A1503" s="5">
        <v>43855</v>
      </c>
      <c r="B1503">
        <v>50</v>
      </c>
    </row>
    <row r="1504" spans="1:2" x14ac:dyDescent="0.3">
      <c r="A1504" s="5">
        <v>43856</v>
      </c>
      <c r="B1504">
        <v>50</v>
      </c>
    </row>
    <row r="1505" spans="1:2" x14ac:dyDescent="0.3">
      <c r="A1505" s="5">
        <v>43857</v>
      </c>
      <c r="B1505">
        <v>50</v>
      </c>
    </row>
    <row r="1506" spans="1:2" x14ac:dyDescent="0.3">
      <c r="A1506" s="5">
        <v>43858</v>
      </c>
      <c r="B1506">
        <v>50</v>
      </c>
    </row>
    <row r="1507" spans="1:2" x14ac:dyDescent="0.3">
      <c r="A1507" s="5">
        <v>43859</v>
      </c>
      <c r="B1507">
        <v>50</v>
      </c>
    </row>
    <row r="1508" spans="1:2" x14ac:dyDescent="0.3">
      <c r="A1508" s="5">
        <v>43860</v>
      </c>
      <c r="B1508">
        <v>50</v>
      </c>
    </row>
    <row r="1509" spans="1:2" x14ac:dyDescent="0.3">
      <c r="A1509" s="5">
        <v>43861</v>
      </c>
      <c r="B1509">
        <v>50</v>
      </c>
    </row>
    <row r="1510" spans="1:2" x14ac:dyDescent="0.3">
      <c r="A1510" s="5">
        <v>43862</v>
      </c>
      <c r="B1510">
        <v>50</v>
      </c>
    </row>
    <row r="1511" spans="1:2" x14ac:dyDescent="0.3">
      <c r="A1511" s="5">
        <v>43863</v>
      </c>
      <c r="B1511">
        <v>50</v>
      </c>
    </row>
    <row r="1512" spans="1:2" x14ac:dyDescent="0.3">
      <c r="A1512" s="5">
        <v>43864</v>
      </c>
      <c r="B1512">
        <v>50</v>
      </c>
    </row>
    <row r="1513" spans="1:2" x14ac:dyDescent="0.3">
      <c r="A1513" s="5">
        <v>43865</v>
      </c>
      <c r="B1513">
        <v>48</v>
      </c>
    </row>
    <row r="1514" spans="1:2" x14ac:dyDescent="0.3">
      <c r="A1514" s="5">
        <v>43866</v>
      </c>
      <c r="B1514">
        <v>48</v>
      </c>
    </row>
    <row r="1515" spans="1:2" x14ac:dyDescent="0.3">
      <c r="A1515" s="5">
        <v>43867</v>
      </c>
      <c r="B1515">
        <v>48</v>
      </c>
    </row>
    <row r="1516" spans="1:2" x14ac:dyDescent="0.3">
      <c r="A1516" s="5">
        <v>43868</v>
      </c>
      <c r="B1516">
        <v>48</v>
      </c>
    </row>
    <row r="1517" spans="1:2" x14ac:dyDescent="0.3">
      <c r="A1517" s="5">
        <v>43869</v>
      </c>
      <c r="B1517">
        <v>48</v>
      </c>
    </row>
    <row r="1518" spans="1:2" x14ac:dyDescent="0.3">
      <c r="A1518" s="5">
        <v>43870</v>
      </c>
      <c r="B1518">
        <v>48</v>
      </c>
    </row>
    <row r="1519" spans="1:2" x14ac:dyDescent="0.3">
      <c r="A1519" s="5">
        <v>43871</v>
      </c>
      <c r="B1519">
        <v>48</v>
      </c>
    </row>
    <row r="1520" spans="1:2" x14ac:dyDescent="0.3">
      <c r="A1520" s="5">
        <v>43872</v>
      </c>
      <c r="B1520">
        <v>48</v>
      </c>
    </row>
    <row r="1521" spans="1:2" x14ac:dyDescent="0.3">
      <c r="A1521" s="5">
        <v>43873</v>
      </c>
      <c r="B1521">
        <v>48</v>
      </c>
    </row>
    <row r="1522" spans="1:2" x14ac:dyDescent="0.3">
      <c r="A1522" s="5">
        <v>43874</v>
      </c>
      <c r="B1522">
        <v>48</v>
      </c>
    </row>
    <row r="1523" spans="1:2" x14ac:dyDescent="0.3">
      <c r="A1523" s="5">
        <v>43875</v>
      </c>
      <c r="B1523">
        <v>48</v>
      </c>
    </row>
    <row r="1524" spans="1:2" x14ac:dyDescent="0.3">
      <c r="A1524" s="5">
        <v>43876</v>
      </c>
      <c r="B1524">
        <v>48</v>
      </c>
    </row>
    <row r="1525" spans="1:2" x14ac:dyDescent="0.3">
      <c r="A1525" s="5">
        <v>43877</v>
      </c>
      <c r="B1525">
        <v>48</v>
      </c>
    </row>
    <row r="1526" spans="1:2" x14ac:dyDescent="0.3">
      <c r="A1526" s="5">
        <v>43878</v>
      </c>
      <c r="B1526">
        <v>48</v>
      </c>
    </row>
    <row r="1527" spans="1:2" x14ac:dyDescent="0.3">
      <c r="A1527" s="5">
        <v>43879</v>
      </c>
      <c r="B1527">
        <v>44</v>
      </c>
    </row>
    <row r="1528" spans="1:2" x14ac:dyDescent="0.3">
      <c r="A1528" s="5">
        <v>43880</v>
      </c>
      <c r="B1528">
        <v>44</v>
      </c>
    </row>
    <row r="1529" spans="1:2" x14ac:dyDescent="0.3">
      <c r="A1529" s="5">
        <v>43881</v>
      </c>
      <c r="B1529">
        <v>40</v>
      </c>
    </row>
    <row r="1530" spans="1:2" x14ac:dyDescent="0.3">
      <c r="A1530" s="5">
        <v>43882</v>
      </c>
      <c r="B1530">
        <v>40</v>
      </c>
    </row>
    <row r="1531" spans="1:2" x14ac:dyDescent="0.3">
      <c r="A1531" s="5">
        <v>43883</v>
      </c>
      <c r="B1531">
        <v>40</v>
      </c>
    </row>
    <row r="1532" spans="1:2" x14ac:dyDescent="0.3">
      <c r="A1532" s="5">
        <v>43884</v>
      </c>
      <c r="B1532">
        <v>40</v>
      </c>
    </row>
    <row r="1533" spans="1:2" x14ac:dyDescent="0.3">
      <c r="A1533" s="5">
        <v>43885</v>
      </c>
      <c r="B1533">
        <v>40</v>
      </c>
    </row>
    <row r="1534" spans="1:2" x14ac:dyDescent="0.3">
      <c r="A1534" s="5">
        <v>43886</v>
      </c>
      <c r="B1534">
        <v>40</v>
      </c>
    </row>
    <row r="1535" spans="1:2" x14ac:dyDescent="0.3">
      <c r="A1535" s="5">
        <v>43887</v>
      </c>
      <c r="B1535">
        <v>40</v>
      </c>
    </row>
    <row r="1536" spans="1:2" x14ac:dyDescent="0.3">
      <c r="A1536" s="5">
        <v>43888</v>
      </c>
      <c r="B1536">
        <v>40</v>
      </c>
    </row>
    <row r="1537" spans="1:2" x14ac:dyDescent="0.3">
      <c r="A1537" s="5">
        <v>43889</v>
      </c>
      <c r="B1537">
        <v>40</v>
      </c>
    </row>
    <row r="1538" spans="1:2" x14ac:dyDescent="0.3">
      <c r="A1538" s="5">
        <v>43890</v>
      </c>
      <c r="B1538">
        <v>40</v>
      </c>
    </row>
    <row r="1539" spans="1:2" x14ac:dyDescent="0.3">
      <c r="A1539" s="5">
        <v>43891</v>
      </c>
      <c r="B1539">
        <v>40</v>
      </c>
    </row>
    <row r="1540" spans="1:2" x14ac:dyDescent="0.3">
      <c r="A1540" s="5">
        <v>43892</v>
      </c>
      <c r="B1540">
        <v>40</v>
      </c>
    </row>
    <row r="1541" spans="1:2" x14ac:dyDescent="0.3">
      <c r="A1541" s="5">
        <v>43893</v>
      </c>
      <c r="B1541">
        <v>40</v>
      </c>
    </row>
    <row r="1542" spans="1:2" x14ac:dyDescent="0.3">
      <c r="A1542" s="5">
        <v>43894</v>
      </c>
      <c r="B1542">
        <v>40</v>
      </c>
    </row>
    <row r="1543" spans="1:2" x14ac:dyDescent="0.3">
      <c r="A1543" s="5">
        <v>43895</v>
      </c>
      <c r="B1543">
        <v>40</v>
      </c>
    </row>
    <row r="1544" spans="1:2" x14ac:dyDescent="0.3">
      <c r="A1544" s="5">
        <v>43896</v>
      </c>
      <c r="B1544">
        <v>40</v>
      </c>
    </row>
    <row r="1545" spans="1:2" x14ac:dyDescent="0.3">
      <c r="A1545" s="5">
        <v>43897</v>
      </c>
      <c r="B1545">
        <v>40</v>
      </c>
    </row>
    <row r="1546" spans="1:2" x14ac:dyDescent="0.3">
      <c r="A1546" s="5">
        <v>43898</v>
      </c>
      <c r="B1546">
        <v>40</v>
      </c>
    </row>
    <row r="1547" spans="1:2" x14ac:dyDescent="0.3">
      <c r="A1547" s="5">
        <v>43899</v>
      </c>
      <c r="B1547">
        <v>40</v>
      </c>
    </row>
    <row r="1548" spans="1:2" x14ac:dyDescent="0.3">
      <c r="A1548" s="5">
        <v>43900</v>
      </c>
      <c r="B1548">
        <v>38</v>
      </c>
    </row>
    <row r="1549" spans="1:2" x14ac:dyDescent="0.3">
      <c r="A1549" s="5">
        <v>43901</v>
      </c>
      <c r="B1549">
        <v>38</v>
      </c>
    </row>
    <row r="1550" spans="1:2" x14ac:dyDescent="0.3">
      <c r="A1550" s="5">
        <v>43902</v>
      </c>
      <c r="B1550">
        <v>38</v>
      </c>
    </row>
    <row r="1551" spans="1:2" x14ac:dyDescent="0.3">
      <c r="A1551" s="5">
        <v>43903</v>
      </c>
      <c r="B1551">
        <v>38</v>
      </c>
    </row>
    <row r="1552" spans="1:2" x14ac:dyDescent="0.3">
      <c r="A1552" s="5">
        <v>43904</v>
      </c>
      <c r="B1552">
        <v>38</v>
      </c>
    </row>
    <row r="1553" spans="1:2" x14ac:dyDescent="0.3">
      <c r="A1553" s="5">
        <v>43905</v>
      </c>
      <c r="B1553">
        <v>38</v>
      </c>
    </row>
    <row r="1554" spans="1:2" x14ac:dyDescent="0.3">
      <c r="A1554" s="5">
        <v>43906</v>
      </c>
      <c r="B1554">
        <v>38</v>
      </c>
    </row>
    <row r="1555" spans="1:2" x14ac:dyDescent="0.3">
      <c r="A1555" s="5">
        <v>43907</v>
      </c>
      <c r="B1555">
        <v>38</v>
      </c>
    </row>
    <row r="1556" spans="1:2" x14ac:dyDescent="0.3">
      <c r="A1556" s="5">
        <v>43908</v>
      </c>
      <c r="B1556">
        <v>38</v>
      </c>
    </row>
    <row r="1557" spans="1:2" x14ac:dyDescent="0.3">
      <c r="A1557" s="5">
        <v>43909</v>
      </c>
      <c r="B1557">
        <v>38</v>
      </c>
    </row>
    <row r="1558" spans="1:2" x14ac:dyDescent="0.3">
      <c r="A1558" s="5">
        <v>43910</v>
      </c>
      <c r="B1558">
        <v>38</v>
      </c>
    </row>
    <row r="1559" spans="1:2" x14ac:dyDescent="0.3">
      <c r="A1559" s="5">
        <v>43911</v>
      </c>
      <c r="B1559">
        <v>38</v>
      </c>
    </row>
    <row r="1560" spans="1:2" x14ac:dyDescent="0.3">
      <c r="A1560" s="5">
        <v>43912</v>
      </c>
      <c r="B1560">
        <v>38</v>
      </c>
    </row>
    <row r="1561" spans="1:2" x14ac:dyDescent="0.3">
      <c r="A1561" s="5">
        <v>43913</v>
      </c>
      <c r="B1561">
        <v>38</v>
      </c>
    </row>
    <row r="1562" spans="1:2" x14ac:dyDescent="0.3">
      <c r="A1562" s="5">
        <v>43914</v>
      </c>
      <c r="B1562">
        <v>38</v>
      </c>
    </row>
    <row r="1563" spans="1:2" x14ac:dyDescent="0.3">
      <c r="A1563" s="5">
        <v>43915</v>
      </c>
      <c r="B1563">
        <v>38</v>
      </c>
    </row>
    <row r="1564" spans="1:2" x14ac:dyDescent="0.3">
      <c r="A1564" s="5">
        <v>43916</v>
      </c>
      <c r="B1564">
        <v>38</v>
      </c>
    </row>
    <row r="1565" spans="1:2" x14ac:dyDescent="0.3">
      <c r="A1565" s="5">
        <v>43917</v>
      </c>
      <c r="B1565">
        <v>38</v>
      </c>
    </row>
    <row r="1566" spans="1:2" x14ac:dyDescent="0.3">
      <c r="A1566" s="5">
        <v>43918</v>
      </c>
      <c r="B1566">
        <v>38</v>
      </c>
    </row>
    <row r="1567" spans="1:2" x14ac:dyDescent="0.3">
      <c r="A1567" s="5">
        <v>43919</v>
      </c>
      <c r="B1567">
        <v>38</v>
      </c>
    </row>
    <row r="1568" spans="1:2" x14ac:dyDescent="0.3">
      <c r="A1568" s="5">
        <v>43920</v>
      </c>
      <c r="B1568">
        <v>38</v>
      </c>
    </row>
    <row r="1569" spans="1:2" x14ac:dyDescent="0.3">
      <c r="A1569" s="5">
        <v>43921</v>
      </c>
      <c r="B1569">
        <v>38</v>
      </c>
    </row>
    <row r="1570" spans="1:2" x14ac:dyDescent="0.3">
      <c r="A1570" s="5">
        <v>43922</v>
      </c>
      <c r="B1570">
        <v>38</v>
      </c>
    </row>
    <row r="1571" spans="1:2" x14ac:dyDescent="0.3">
      <c r="A1571" s="5">
        <v>43923</v>
      </c>
      <c r="B1571">
        <v>38</v>
      </c>
    </row>
    <row r="1572" spans="1:2" x14ac:dyDescent="0.3">
      <c r="A1572" s="5">
        <v>43924</v>
      </c>
      <c r="B1572">
        <v>38</v>
      </c>
    </row>
    <row r="1573" spans="1:2" x14ac:dyDescent="0.3">
      <c r="A1573" s="5">
        <v>43925</v>
      </c>
      <c r="B1573">
        <v>38</v>
      </c>
    </row>
    <row r="1574" spans="1:2" x14ac:dyDescent="0.3">
      <c r="A1574" s="5">
        <v>43926</v>
      </c>
      <c r="B1574">
        <v>38</v>
      </c>
    </row>
    <row r="1575" spans="1:2" x14ac:dyDescent="0.3">
      <c r="A1575" s="5">
        <v>43927</v>
      </c>
      <c r="B1575">
        <v>38</v>
      </c>
    </row>
    <row r="1576" spans="1:2" x14ac:dyDescent="0.3">
      <c r="A1576" s="5">
        <v>43928</v>
      </c>
      <c r="B1576">
        <v>38</v>
      </c>
    </row>
    <row r="1577" spans="1:2" x14ac:dyDescent="0.3">
      <c r="A1577" s="5">
        <v>43929</v>
      </c>
      <c r="B1577">
        <v>38</v>
      </c>
    </row>
    <row r="1578" spans="1:2" x14ac:dyDescent="0.3">
      <c r="A1578" s="5">
        <v>43930</v>
      </c>
      <c r="B1578">
        <v>38</v>
      </c>
    </row>
    <row r="1579" spans="1:2" x14ac:dyDescent="0.3">
      <c r="A1579" s="5">
        <v>43931</v>
      </c>
      <c r="B1579">
        <v>38</v>
      </c>
    </row>
    <row r="1580" spans="1:2" x14ac:dyDescent="0.3">
      <c r="A1580" s="5">
        <v>43932</v>
      </c>
      <c r="B1580">
        <v>38</v>
      </c>
    </row>
    <row r="1581" spans="1:2" x14ac:dyDescent="0.3">
      <c r="A1581" s="5">
        <v>43933</v>
      </c>
      <c r="B1581">
        <v>38</v>
      </c>
    </row>
    <row r="1582" spans="1:2" x14ac:dyDescent="0.3">
      <c r="A1582" s="5">
        <v>43934</v>
      </c>
      <c r="B1582">
        <v>38</v>
      </c>
    </row>
    <row r="1583" spans="1:2" x14ac:dyDescent="0.3">
      <c r="A1583" s="5">
        <v>43935</v>
      </c>
      <c r="B1583">
        <v>38</v>
      </c>
    </row>
    <row r="1584" spans="1:2" x14ac:dyDescent="0.3">
      <c r="A1584" s="5">
        <v>43936</v>
      </c>
      <c r="B1584">
        <v>38</v>
      </c>
    </row>
    <row r="1585" spans="1:2" x14ac:dyDescent="0.3">
      <c r="A1585" s="5">
        <v>43937</v>
      </c>
      <c r="B1585">
        <v>38</v>
      </c>
    </row>
    <row r="1586" spans="1:2" x14ac:dyDescent="0.3">
      <c r="A1586" s="5">
        <v>43938</v>
      </c>
      <c r="B1586">
        <v>38</v>
      </c>
    </row>
    <row r="1587" spans="1:2" x14ac:dyDescent="0.3">
      <c r="A1587" s="5">
        <v>43939</v>
      </c>
      <c r="B1587">
        <v>38</v>
      </c>
    </row>
    <row r="1588" spans="1:2" x14ac:dyDescent="0.3">
      <c r="A1588" s="5">
        <v>43940</v>
      </c>
      <c r="B1588">
        <v>38</v>
      </c>
    </row>
    <row r="1589" spans="1:2" x14ac:dyDescent="0.3">
      <c r="A1589" s="5">
        <v>43941</v>
      </c>
      <c r="B1589">
        <v>38</v>
      </c>
    </row>
    <row r="1590" spans="1:2" x14ac:dyDescent="0.3">
      <c r="A1590" s="5">
        <v>43942</v>
      </c>
      <c r="B1590">
        <v>38</v>
      </c>
    </row>
    <row r="1591" spans="1:2" x14ac:dyDescent="0.3">
      <c r="A1591" s="5">
        <v>43943</v>
      </c>
      <c r="B1591">
        <v>38</v>
      </c>
    </row>
    <row r="1592" spans="1:2" x14ac:dyDescent="0.3">
      <c r="A1592" s="5">
        <v>43944</v>
      </c>
      <c r="B1592">
        <v>38</v>
      </c>
    </row>
    <row r="1593" spans="1:2" x14ac:dyDescent="0.3">
      <c r="A1593" s="5">
        <v>43945</v>
      </c>
      <c r="B1593">
        <v>38</v>
      </c>
    </row>
    <row r="1594" spans="1:2" x14ac:dyDescent="0.3">
      <c r="A1594" s="5">
        <v>43946</v>
      </c>
      <c r="B1594">
        <v>38</v>
      </c>
    </row>
    <row r="1595" spans="1:2" x14ac:dyDescent="0.3">
      <c r="A1595" s="5">
        <v>43947</v>
      </c>
      <c r="B1595">
        <v>38</v>
      </c>
    </row>
    <row r="1596" spans="1:2" x14ac:dyDescent="0.3">
      <c r="A1596" s="5">
        <v>43948</v>
      </c>
      <c r="B1596">
        <v>38</v>
      </c>
    </row>
    <row r="1597" spans="1:2" x14ac:dyDescent="0.3">
      <c r="A1597" s="5">
        <v>43949</v>
      </c>
      <c r="B1597">
        <v>38</v>
      </c>
    </row>
    <row r="1598" spans="1:2" x14ac:dyDescent="0.3">
      <c r="A1598" s="5">
        <v>43950</v>
      </c>
      <c r="B1598">
        <v>38</v>
      </c>
    </row>
    <row r="1599" spans="1:2" x14ac:dyDescent="0.3">
      <c r="A1599" s="5">
        <v>43951</v>
      </c>
      <c r="B1599">
        <v>38</v>
      </c>
    </row>
    <row r="1600" spans="1:2" x14ac:dyDescent="0.3">
      <c r="A1600" s="5">
        <v>43952</v>
      </c>
      <c r="B1600">
        <v>38</v>
      </c>
    </row>
    <row r="1601" spans="1:2" x14ac:dyDescent="0.3">
      <c r="A1601" s="5">
        <v>43953</v>
      </c>
      <c r="B1601">
        <v>38</v>
      </c>
    </row>
    <row r="1602" spans="1:2" x14ac:dyDescent="0.3">
      <c r="A1602" s="5">
        <v>43954</v>
      </c>
      <c r="B1602">
        <v>38</v>
      </c>
    </row>
    <row r="1603" spans="1:2" x14ac:dyDescent="0.3">
      <c r="A1603" s="5">
        <v>43955</v>
      </c>
      <c r="B1603">
        <v>38</v>
      </c>
    </row>
    <row r="1604" spans="1:2" x14ac:dyDescent="0.3">
      <c r="A1604" s="5">
        <v>43956</v>
      </c>
      <c r="B1604">
        <v>38</v>
      </c>
    </row>
    <row r="1605" spans="1:2" x14ac:dyDescent="0.3">
      <c r="A1605" s="5">
        <v>43957</v>
      </c>
      <c r="B1605">
        <v>38</v>
      </c>
    </row>
    <row r="1606" spans="1:2" x14ac:dyDescent="0.3">
      <c r="A1606" s="5">
        <v>43958</v>
      </c>
      <c r="B1606">
        <v>38</v>
      </c>
    </row>
    <row r="1607" spans="1:2" x14ac:dyDescent="0.3">
      <c r="A1607" s="5">
        <v>43959</v>
      </c>
      <c r="B1607">
        <v>38</v>
      </c>
    </row>
    <row r="1608" spans="1:2" x14ac:dyDescent="0.3">
      <c r="A1608" s="5">
        <v>43960</v>
      </c>
      <c r="B1608">
        <v>38</v>
      </c>
    </row>
    <row r="1609" spans="1:2" x14ac:dyDescent="0.3">
      <c r="A1609" s="5">
        <v>43961</v>
      </c>
      <c r="B1609">
        <v>38</v>
      </c>
    </row>
    <row r="1610" spans="1:2" x14ac:dyDescent="0.3">
      <c r="A1610" s="5">
        <v>43962</v>
      </c>
      <c r="B1610">
        <v>38</v>
      </c>
    </row>
    <row r="1611" spans="1:2" x14ac:dyDescent="0.3">
      <c r="A1611" s="5">
        <v>43963</v>
      </c>
      <c r="B1611">
        <v>38</v>
      </c>
    </row>
    <row r="1612" spans="1:2" x14ac:dyDescent="0.3">
      <c r="A1612" s="5">
        <v>43964</v>
      </c>
      <c r="B1612">
        <v>38</v>
      </c>
    </row>
    <row r="1613" spans="1:2" x14ac:dyDescent="0.3">
      <c r="A1613" s="5">
        <v>43965</v>
      </c>
      <c r="B1613">
        <v>38</v>
      </c>
    </row>
    <row r="1614" spans="1:2" x14ac:dyDescent="0.3">
      <c r="A1614" s="5">
        <v>43966</v>
      </c>
      <c r="B1614">
        <v>38</v>
      </c>
    </row>
    <row r="1615" spans="1:2" x14ac:dyDescent="0.3">
      <c r="A1615" s="5">
        <v>43967</v>
      </c>
      <c r="B1615">
        <v>38</v>
      </c>
    </row>
    <row r="1616" spans="1:2" x14ac:dyDescent="0.3">
      <c r="A1616" s="5">
        <v>43968</v>
      </c>
      <c r="B1616">
        <v>38</v>
      </c>
    </row>
    <row r="1617" spans="1:2" x14ac:dyDescent="0.3">
      <c r="A1617" s="5">
        <v>43969</v>
      </c>
      <c r="B1617">
        <v>38</v>
      </c>
    </row>
    <row r="1618" spans="1:2" x14ac:dyDescent="0.3">
      <c r="A1618" s="5">
        <v>43970</v>
      </c>
      <c r="B1618">
        <v>38</v>
      </c>
    </row>
    <row r="1619" spans="1:2" x14ac:dyDescent="0.3">
      <c r="A1619" s="5">
        <v>43971</v>
      </c>
      <c r="B1619">
        <v>38</v>
      </c>
    </row>
    <row r="1620" spans="1:2" x14ac:dyDescent="0.3">
      <c r="A1620" s="5">
        <v>43972</v>
      </c>
      <c r="B1620">
        <v>38</v>
      </c>
    </row>
    <row r="1621" spans="1:2" x14ac:dyDescent="0.3">
      <c r="A1621" s="5">
        <v>43973</v>
      </c>
      <c r="B1621">
        <v>38</v>
      </c>
    </row>
    <row r="1622" spans="1:2" x14ac:dyDescent="0.3">
      <c r="A1622" s="5">
        <v>43974</v>
      </c>
      <c r="B1622">
        <v>38</v>
      </c>
    </row>
    <row r="1623" spans="1:2" x14ac:dyDescent="0.3">
      <c r="A1623" s="5">
        <v>43975</v>
      </c>
      <c r="B1623">
        <v>38</v>
      </c>
    </row>
    <row r="1624" spans="1:2" x14ac:dyDescent="0.3">
      <c r="A1624" s="5">
        <v>43976</v>
      </c>
      <c r="B1624">
        <v>38</v>
      </c>
    </row>
    <row r="1625" spans="1:2" x14ac:dyDescent="0.3">
      <c r="A1625" s="5">
        <v>43977</v>
      </c>
      <c r="B1625">
        <v>38</v>
      </c>
    </row>
    <row r="1626" spans="1:2" x14ac:dyDescent="0.3">
      <c r="A1626" s="5">
        <v>43978</v>
      </c>
      <c r="B1626">
        <v>38</v>
      </c>
    </row>
    <row r="1627" spans="1:2" x14ac:dyDescent="0.3">
      <c r="A1627" s="5">
        <v>43979</v>
      </c>
      <c r="B1627">
        <v>38</v>
      </c>
    </row>
    <row r="1628" spans="1:2" x14ac:dyDescent="0.3">
      <c r="A1628" s="5">
        <v>43980</v>
      </c>
      <c r="B1628">
        <v>38</v>
      </c>
    </row>
    <row r="1629" spans="1:2" x14ac:dyDescent="0.3">
      <c r="A1629" s="5">
        <v>43981</v>
      </c>
      <c r="B1629">
        <v>38</v>
      </c>
    </row>
    <row r="1630" spans="1:2" x14ac:dyDescent="0.3">
      <c r="A1630" s="5">
        <v>43982</v>
      </c>
      <c r="B1630">
        <v>38</v>
      </c>
    </row>
    <row r="1631" spans="1:2" x14ac:dyDescent="0.3">
      <c r="A1631" s="5">
        <v>43983</v>
      </c>
      <c r="B1631">
        <v>38</v>
      </c>
    </row>
    <row r="1632" spans="1:2" x14ac:dyDescent="0.3">
      <c r="A1632" s="5">
        <v>43984</v>
      </c>
      <c r="B1632">
        <v>38</v>
      </c>
    </row>
    <row r="1633" spans="1:2" x14ac:dyDescent="0.3">
      <c r="A1633" s="5">
        <v>43985</v>
      </c>
      <c r="B1633">
        <v>38</v>
      </c>
    </row>
    <row r="1634" spans="1:2" x14ac:dyDescent="0.3">
      <c r="A1634" s="5">
        <v>43986</v>
      </c>
      <c r="B1634">
        <v>38</v>
      </c>
    </row>
    <row r="1635" spans="1:2" x14ac:dyDescent="0.3">
      <c r="A1635" s="5">
        <v>43987</v>
      </c>
      <c r="B1635">
        <v>38</v>
      </c>
    </row>
    <row r="1636" spans="1:2" x14ac:dyDescent="0.3">
      <c r="A1636" s="5">
        <v>43988</v>
      </c>
      <c r="B1636">
        <v>38</v>
      </c>
    </row>
    <row r="1637" spans="1:2" x14ac:dyDescent="0.3">
      <c r="A1637" s="5">
        <v>43989</v>
      </c>
      <c r="B1637">
        <v>38</v>
      </c>
    </row>
    <row r="1638" spans="1:2" x14ac:dyDescent="0.3">
      <c r="A1638" s="5">
        <v>43990</v>
      </c>
      <c r="B1638">
        <v>38</v>
      </c>
    </row>
    <row r="1639" spans="1:2" x14ac:dyDescent="0.3">
      <c r="A1639" s="5">
        <v>43991</v>
      </c>
      <c r="B1639">
        <v>38</v>
      </c>
    </row>
    <row r="1640" spans="1:2" x14ac:dyDescent="0.3">
      <c r="A1640" s="5">
        <v>43992</v>
      </c>
      <c r="B1640">
        <v>38</v>
      </c>
    </row>
    <row r="1641" spans="1:2" x14ac:dyDescent="0.3">
      <c r="A1641" s="5">
        <v>43993</v>
      </c>
      <c r="B1641">
        <v>38</v>
      </c>
    </row>
    <row r="1642" spans="1:2" x14ac:dyDescent="0.3">
      <c r="A1642" s="5">
        <v>43994</v>
      </c>
      <c r="B1642">
        <v>38</v>
      </c>
    </row>
    <row r="1643" spans="1:2" x14ac:dyDescent="0.3">
      <c r="A1643" s="5">
        <v>43995</v>
      </c>
      <c r="B1643">
        <v>38</v>
      </c>
    </row>
    <row r="1644" spans="1:2" x14ac:dyDescent="0.3">
      <c r="A1644" s="5">
        <v>43996</v>
      </c>
      <c r="B1644">
        <v>38</v>
      </c>
    </row>
    <row r="1645" spans="1:2" x14ac:dyDescent="0.3">
      <c r="A1645" s="5">
        <v>43997</v>
      </c>
      <c r="B1645">
        <v>38</v>
      </c>
    </row>
    <row r="1646" spans="1:2" x14ac:dyDescent="0.3">
      <c r="A1646" s="5">
        <v>43998</v>
      </c>
      <c r="B1646">
        <v>38</v>
      </c>
    </row>
    <row r="1647" spans="1:2" x14ac:dyDescent="0.3">
      <c r="A1647" s="5">
        <v>43999</v>
      </c>
      <c r="B1647">
        <v>38</v>
      </c>
    </row>
    <row r="1648" spans="1:2" x14ac:dyDescent="0.3">
      <c r="A1648" s="5">
        <v>44000</v>
      </c>
      <c r="B1648">
        <v>38</v>
      </c>
    </row>
    <row r="1649" spans="1:2" x14ac:dyDescent="0.3">
      <c r="A1649" s="5">
        <v>44001</v>
      </c>
      <c r="B1649">
        <v>38</v>
      </c>
    </row>
    <row r="1650" spans="1:2" x14ac:dyDescent="0.3">
      <c r="A1650" s="5">
        <v>44002</v>
      </c>
      <c r="B1650">
        <v>38</v>
      </c>
    </row>
    <row r="1651" spans="1:2" x14ac:dyDescent="0.3">
      <c r="A1651" s="5">
        <v>44003</v>
      </c>
      <c r="B1651">
        <v>38</v>
      </c>
    </row>
    <row r="1652" spans="1:2" x14ac:dyDescent="0.3">
      <c r="A1652" s="5">
        <v>44004</v>
      </c>
      <c r="B1652">
        <v>38</v>
      </c>
    </row>
    <row r="1653" spans="1:2" x14ac:dyDescent="0.3">
      <c r="A1653" s="5">
        <v>44005</v>
      </c>
      <c r="B1653">
        <v>38</v>
      </c>
    </row>
    <row r="1654" spans="1:2" x14ac:dyDescent="0.3">
      <c r="A1654" s="5">
        <v>44006</v>
      </c>
      <c r="B1654">
        <v>38</v>
      </c>
    </row>
    <row r="1655" spans="1:2" x14ac:dyDescent="0.3">
      <c r="A1655" s="5">
        <v>44007</v>
      </c>
      <c r="B1655">
        <v>38</v>
      </c>
    </row>
    <row r="1656" spans="1:2" x14ac:dyDescent="0.3">
      <c r="A1656" s="5">
        <v>44008</v>
      </c>
      <c r="B1656">
        <v>38</v>
      </c>
    </row>
    <row r="1657" spans="1:2" x14ac:dyDescent="0.3">
      <c r="A1657" s="5">
        <v>44009</v>
      </c>
      <c r="B1657">
        <v>38</v>
      </c>
    </row>
    <row r="1658" spans="1:2" x14ac:dyDescent="0.3">
      <c r="A1658" s="5">
        <v>44010</v>
      </c>
      <c r="B1658">
        <v>38</v>
      </c>
    </row>
    <row r="1659" spans="1:2" x14ac:dyDescent="0.3">
      <c r="A1659" s="5">
        <v>44011</v>
      </c>
      <c r="B1659">
        <v>38</v>
      </c>
    </row>
    <row r="1660" spans="1:2" x14ac:dyDescent="0.3">
      <c r="A1660" s="5">
        <v>44012</v>
      </c>
      <c r="B1660">
        <v>38</v>
      </c>
    </row>
    <row r="1661" spans="1:2" x14ac:dyDescent="0.3">
      <c r="A1661" s="5">
        <v>44013</v>
      </c>
      <c r="B1661">
        <v>38</v>
      </c>
    </row>
    <row r="1662" spans="1:2" x14ac:dyDescent="0.3">
      <c r="A1662" s="5">
        <v>44014</v>
      </c>
      <c r="B1662">
        <v>38</v>
      </c>
    </row>
    <row r="1663" spans="1:2" x14ac:dyDescent="0.3">
      <c r="A1663" s="5">
        <v>44015</v>
      </c>
      <c r="B1663">
        <v>38</v>
      </c>
    </row>
    <row r="1664" spans="1:2" x14ac:dyDescent="0.3">
      <c r="A1664" s="5">
        <v>44016</v>
      </c>
      <c r="B1664">
        <v>38</v>
      </c>
    </row>
    <row r="1665" spans="1:2" x14ac:dyDescent="0.3">
      <c r="A1665" s="5">
        <v>44017</v>
      </c>
      <c r="B1665">
        <v>38</v>
      </c>
    </row>
    <row r="1666" spans="1:2" x14ac:dyDescent="0.3">
      <c r="A1666" s="5">
        <v>44018</v>
      </c>
      <c r="B1666">
        <v>38</v>
      </c>
    </row>
    <row r="1667" spans="1:2" x14ac:dyDescent="0.3">
      <c r="A1667" s="5">
        <v>44019</v>
      </c>
      <c r="B1667">
        <v>38</v>
      </c>
    </row>
    <row r="1668" spans="1:2" x14ac:dyDescent="0.3">
      <c r="A1668" s="5">
        <v>44020</v>
      </c>
      <c r="B1668">
        <v>38</v>
      </c>
    </row>
    <row r="1669" spans="1:2" x14ac:dyDescent="0.3">
      <c r="A1669" s="5">
        <v>44021</v>
      </c>
      <c r="B1669">
        <v>38</v>
      </c>
    </row>
    <row r="1670" spans="1:2" x14ac:dyDescent="0.3">
      <c r="A1670" s="5">
        <v>44022</v>
      </c>
      <c r="B1670">
        <v>38</v>
      </c>
    </row>
    <row r="1671" spans="1:2" x14ac:dyDescent="0.3">
      <c r="A1671" s="5">
        <v>44023</v>
      </c>
      <c r="B1671">
        <v>38</v>
      </c>
    </row>
    <row r="1672" spans="1:2" x14ac:dyDescent="0.3">
      <c r="A1672" s="5">
        <v>44024</v>
      </c>
      <c r="B1672">
        <v>38</v>
      </c>
    </row>
    <row r="1673" spans="1:2" x14ac:dyDescent="0.3">
      <c r="A1673" s="5">
        <v>44025</v>
      </c>
      <c r="B1673">
        <v>38</v>
      </c>
    </row>
    <row r="1674" spans="1:2" x14ac:dyDescent="0.3">
      <c r="A1674" s="5">
        <v>44026</v>
      </c>
      <c r="B1674">
        <v>38</v>
      </c>
    </row>
    <row r="1675" spans="1:2" x14ac:dyDescent="0.3">
      <c r="A1675" s="5">
        <v>44027</v>
      </c>
      <c r="B1675">
        <v>38</v>
      </c>
    </row>
    <row r="1676" spans="1:2" x14ac:dyDescent="0.3">
      <c r="A1676" s="5">
        <v>44028</v>
      </c>
      <c r="B1676">
        <v>38</v>
      </c>
    </row>
    <row r="1677" spans="1:2" x14ac:dyDescent="0.3">
      <c r="A1677" s="5">
        <v>44029</v>
      </c>
      <c r="B1677">
        <v>38</v>
      </c>
    </row>
    <row r="1678" spans="1:2" x14ac:dyDescent="0.3">
      <c r="A1678" s="5">
        <v>44030</v>
      </c>
      <c r="B1678">
        <v>38</v>
      </c>
    </row>
    <row r="1679" spans="1:2" x14ac:dyDescent="0.3">
      <c r="A1679" s="5">
        <v>44031</v>
      </c>
      <c r="B1679">
        <v>38</v>
      </c>
    </row>
    <row r="1680" spans="1:2" x14ac:dyDescent="0.3">
      <c r="A1680" s="5">
        <v>44032</v>
      </c>
      <c r="B1680">
        <v>38</v>
      </c>
    </row>
    <row r="1681" spans="1:2" x14ac:dyDescent="0.3">
      <c r="A1681" s="5">
        <v>44033</v>
      </c>
      <c r="B1681">
        <v>38</v>
      </c>
    </row>
    <row r="1682" spans="1:2" x14ac:dyDescent="0.3">
      <c r="A1682" s="5">
        <v>44034</v>
      </c>
      <c r="B1682">
        <v>38</v>
      </c>
    </row>
    <row r="1683" spans="1:2" x14ac:dyDescent="0.3">
      <c r="A1683" s="5">
        <v>44035</v>
      </c>
      <c r="B1683">
        <v>38</v>
      </c>
    </row>
    <row r="1684" spans="1:2" x14ac:dyDescent="0.3">
      <c r="A1684" s="5">
        <v>44036</v>
      </c>
      <c r="B1684">
        <v>38</v>
      </c>
    </row>
    <row r="1685" spans="1:2" x14ac:dyDescent="0.3">
      <c r="A1685" s="5">
        <v>44037</v>
      </c>
      <c r="B1685">
        <v>38</v>
      </c>
    </row>
    <row r="1686" spans="1:2" x14ac:dyDescent="0.3">
      <c r="A1686" s="5">
        <v>44038</v>
      </c>
      <c r="B1686">
        <v>38</v>
      </c>
    </row>
    <row r="1687" spans="1:2" x14ac:dyDescent="0.3">
      <c r="A1687" s="5">
        <v>44039</v>
      </c>
      <c r="B1687">
        <v>38</v>
      </c>
    </row>
    <row r="1688" spans="1:2" x14ac:dyDescent="0.3">
      <c r="A1688" s="5">
        <v>44040</v>
      </c>
      <c r="B1688">
        <v>38</v>
      </c>
    </row>
    <row r="1689" spans="1:2" x14ac:dyDescent="0.3">
      <c r="A1689" s="5">
        <v>44041</v>
      </c>
      <c r="B1689">
        <v>38</v>
      </c>
    </row>
    <row r="1690" spans="1:2" x14ac:dyDescent="0.3">
      <c r="A1690" s="5">
        <v>44042</v>
      </c>
      <c r="B1690">
        <v>38</v>
      </c>
    </row>
    <row r="1691" spans="1:2" x14ac:dyDescent="0.3">
      <c r="A1691" s="5">
        <v>44043</v>
      </c>
      <c r="B1691">
        <v>38</v>
      </c>
    </row>
    <row r="1692" spans="1:2" x14ac:dyDescent="0.3">
      <c r="A1692" s="5">
        <v>44044</v>
      </c>
      <c r="B1692">
        <v>38</v>
      </c>
    </row>
    <row r="1693" spans="1:2" x14ac:dyDescent="0.3">
      <c r="A1693" s="5">
        <v>44045</v>
      </c>
      <c r="B1693">
        <v>38</v>
      </c>
    </row>
    <row r="1694" spans="1:2" x14ac:dyDescent="0.3">
      <c r="A1694" s="5">
        <v>44046</v>
      </c>
      <c r="B1694">
        <v>38</v>
      </c>
    </row>
    <row r="1695" spans="1:2" x14ac:dyDescent="0.3">
      <c r="A1695" s="5">
        <v>44047</v>
      </c>
      <c r="B1695">
        <v>38</v>
      </c>
    </row>
    <row r="1696" spans="1:2" x14ac:dyDescent="0.3">
      <c r="A1696" s="5">
        <v>44048</v>
      </c>
      <c r="B1696">
        <v>38</v>
      </c>
    </row>
    <row r="1697" spans="1:2" x14ac:dyDescent="0.3">
      <c r="A1697" s="5">
        <v>44049</v>
      </c>
      <c r="B1697">
        <v>38</v>
      </c>
    </row>
    <row r="1698" spans="1:2" x14ac:dyDescent="0.3">
      <c r="A1698" s="5">
        <v>44050</v>
      </c>
      <c r="B1698">
        <v>38</v>
      </c>
    </row>
    <row r="1699" spans="1:2" x14ac:dyDescent="0.3">
      <c r="A1699" s="5">
        <v>44051</v>
      </c>
      <c r="B1699">
        <v>38</v>
      </c>
    </row>
    <row r="1700" spans="1:2" x14ac:dyDescent="0.3">
      <c r="A1700" s="5">
        <v>44052</v>
      </c>
      <c r="B1700">
        <v>38</v>
      </c>
    </row>
    <row r="1701" spans="1:2" x14ac:dyDescent="0.3">
      <c r="A1701" s="5">
        <v>44053</v>
      </c>
      <c r="B1701">
        <v>38</v>
      </c>
    </row>
    <row r="1702" spans="1:2" x14ac:dyDescent="0.3">
      <c r="A1702" s="5">
        <v>44054</v>
      </c>
      <c r="B1702">
        <v>38</v>
      </c>
    </row>
    <row r="1703" spans="1:2" x14ac:dyDescent="0.3">
      <c r="A1703" s="5">
        <v>44055</v>
      </c>
      <c r="B1703">
        <v>38</v>
      </c>
    </row>
    <row r="1704" spans="1:2" x14ac:dyDescent="0.3">
      <c r="A1704" s="5">
        <v>44056</v>
      </c>
      <c r="B1704">
        <v>38</v>
      </c>
    </row>
    <row r="1705" spans="1:2" x14ac:dyDescent="0.3">
      <c r="A1705" s="5">
        <v>44057</v>
      </c>
      <c r="B1705">
        <v>38</v>
      </c>
    </row>
    <row r="1706" spans="1:2" x14ac:dyDescent="0.3">
      <c r="A1706" s="5">
        <v>44058</v>
      </c>
      <c r="B1706">
        <v>38</v>
      </c>
    </row>
    <row r="1707" spans="1:2" x14ac:dyDescent="0.3">
      <c r="A1707" s="5">
        <v>44059</v>
      </c>
      <c r="B1707">
        <v>38</v>
      </c>
    </row>
    <row r="1708" spans="1:2" x14ac:dyDescent="0.3">
      <c r="A1708" s="5">
        <v>44060</v>
      </c>
      <c r="B1708">
        <v>38</v>
      </c>
    </row>
    <row r="1709" spans="1:2" x14ac:dyDescent="0.3">
      <c r="A1709" s="5">
        <v>44061</v>
      </c>
      <c r="B1709">
        <v>38</v>
      </c>
    </row>
    <row r="1710" spans="1:2" x14ac:dyDescent="0.3">
      <c r="A1710" s="5">
        <v>44062</v>
      </c>
      <c r="B1710">
        <v>38</v>
      </c>
    </row>
    <row r="1711" spans="1:2" x14ac:dyDescent="0.3">
      <c r="A1711" s="5">
        <v>44063</v>
      </c>
      <c r="B1711">
        <v>38</v>
      </c>
    </row>
    <row r="1712" spans="1:2" x14ac:dyDescent="0.3">
      <c r="A1712" s="5">
        <v>44064</v>
      </c>
      <c r="B1712">
        <v>38</v>
      </c>
    </row>
    <row r="1713" spans="1:2" x14ac:dyDescent="0.3">
      <c r="A1713" s="5">
        <v>44065</v>
      </c>
      <c r="B1713">
        <v>38</v>
      </c>
    </row>
    <row r="1714" spans="1:2" x14ac:dyDescent="0.3">
      <c r="A1714" s="5">
        <v>44066</v>
      </c>
      <c r="B1714">
        <v>38</v>
      </c>
    </row>
    <row r="1715" spans="1:2" x14ac:dyDescent="0.3">
      <c r="A1715" s="5">
        <v>44067</v>
      </c>
      <c r="B1715">
        <v>38</v>
      </c>
    </row>
    <row r="1716" spans="1:2" x14ac:dyDescent="0.3">
      <c r="A1716" s="5">
        <v>44068</v>
      </c>
      <c r="B1716">
        <v>38</v>
      </c>
    </row>
    <row r="1717" spans="1:2" x14ac:dyDescent="0.3">
      <c r="A1717" s="5">
        <v>44069</v>
      </c>
      <c r="B1717">
        <v>38</v>
      </c>
    </row>
    <row r="1718" spans="1:2" x14ac:dyDescent="0.3">
      <c r="A1718" s="5">
        <v>44070</v>
      </c>
      <c r="B1718">
        <v>38</v>
      </c>
    </row>
    <row r="1719" spans="1:2" x14ac:dyDescent="0.3">
      <c r="A1719" s="5">
        <v>44071</v>
      </c>
      <c r="B1719">
        <v>38</v>
      </c>
    </row>
    <row r="1720" spans="1:2" x14ac:dyDescent="0.3">
      <c r="A1720" s="5">
        <v>44072</v>
      </c>
      <c r="B1720">
        <v>38</v>
      </c>
    </row>
    <row r="1721" spans="1:2" x14ac:dyDescent="0.3">
      <c r="A1721" s="5">
        <v>44073</v>
      </c>
      <c r="B1721">
        <v>38</v>
      </c>
    </row>
    <row r="1722" spans="1:2" x14ac:dyDescent="0.3">
      <c r="A1722" s="5">
        <v>44074</v>
      </c>
      <c r="B1722">
        <v>38</v>
      </c>
    </row>
    <row r="1723" spans="1:2" x14ac:dyDescent="0.3">
      <c r="A1723" s="5">
        <v>44075</v>
      </c>
      <c r="B1723">
        <v>38</v>
      </c>
    </row>
    <row r="1724" spans="1:2" x14ac:dyDescent="0.3">
      <c r="A1724" s="5">
        <v>44076</v>
      </c>
      <c r="B1724">
        <v>38</v>
      </c>
    </row>
    <row r="1725" spans="1:2" x14ac:dyDescent="0.3">
      <c r="A1725" s="5">
        <v>44077</v>
      </c>
      <c r="B1725">
        <v>38</v>
      </c>
    </row>
    <row r="1726" spans="1:2" x14ac:dyDescent="0.3">
      <c r="A1726" s="5">
        <v>44078</v>
      </c>
      <c r="B1726">
        <v>38</v>
      </c>
    </row>
    <row r="1727" spans="1:2" x14ac:dyDescent="0.3">
      <c r="A1727" s="5">
        <v>44079</v>
      </c>
      <c r="B1727">
        <v>38</v>
      </c>
    </row>
    <row r="1728" spans="1:2" x14ac:dyDescent="0.3">
      <c r="A1728" s="5">
        <v>44080</v>
      </c>
      <c r="B1728">
        <v>38</v>
      </c>
    </row>
    <row r="1729" spans="1:2" x14ac:dyDescent="0.3">
      <c r="A1729" s="5">
        <v>44081</v>
      </c>
      <c r="B1729">
        <v>38</v>
      </c>
    </row>
    <row r="1730" spans="1:2" x14ac:dyDescent="0.3">
      <c r="A1730" s="5">
        <v>44082</v>
      </c>
      <c r="B1730">
        <v>38</v>
      </c>
    </row>
    <row r="1731" spans="1:2" x14ac:dyDescent="0.3">
      <c r="A1731" s="5">
        <v>44083</v>
      </c>
      <c r="B1731">
        <v>38</v>
      </c>
    </row>
    <row r="1732" spans="1:2" x14ac:dyDescent="0.3">
      <c r="A1732" s="5">
        <v>44084</v>
      </c>
      <c r="B1732">
        <v>38</v>
      </c>
    </row>
    <row r="1733" spans="1:2" x14ac:dyDescent="0.3">
      <c r="A1733" s="5">
        <v>44085</v>
      </c>
      <c r="B1733">
        <v>38</v>
      </c>
    </row>
    <row r="1734" spans="1:2" x14ac:dyDescent="0.3">
      <c r="A1734" s="5">
        <v>44086</v>
      </c>
      <c r="B1734">
        <v>38</v>
      </c>
    </row>
    <row r="1735" spans="1:2" x14ac:dyDescent="0.3">
      <c r="A1735" s="5">
        <v>44087</v>
      </c>
      <c r="B1735">
        <v>38</v>
      </c>
    </row>
    <row r="1736" spans="1:2" x14ac:dyDescent="0.3">
      <c r="A1736" s="5">
        <v>44088</v>
      </c>
      <c r="B1736">
        <v>38</v>
      </c>
    </row>
    <row r="1737" spans="1:2" x14ac:dyDescent="0.3">
      <c r="A1737" s="5">
        <v>44089</v>
      </c>
      <c r="B1737">
        <v>38</v>
      </c>
    </row>
    <row r="1738" spans="1:2" x14ac:dyDescent="0.3">
      <c r="A1738" s="5">
        <v>44090</v>
      </c>
      <c r="B1738">
        <v>38</v>
      </c>
    </row>
    <row r="1739" spans="1:2" x14ac:dyDescent="0.3">
      <c r="A1739" s="5">
        <v>44091</v>
      </c>
      <c r="B1739">
        <v>38</v>
      </c>
    </row>
    <row r="1740" spans="1:2" x14ac:dyDescent="0.3">
      <c r="A1740" s="5">
        <v>44092</v>
      </c>
      <c r="B1740">
        <v>38</v>
      </c>
    </row>
    <row r="1741" spans="1:2" x14ac:dyDescent="0.3">
      <c r="A1741" s="5">
        <v>44093</v>
      </c>
      <c r="B1741">
        <v>38</v>
      </c>
    </row>
    <row r="1742" spans="1:2" x14ac:dyDescent="0.3">
      <c r="A1742" s="5">
        <v>44094</v>
      </c>
      <c r="B1742">
        <v>38</v>
      </c>
    </row>
    <row r="1743" spans="1:2" x14ac:dyDescent="0.3">
      <c r="A1743" s="5">
        <v>44095</v>
      </c>
      <c r="B1743">
        <v>38</v>
      </c>
    </row>
    <row r="1744" spans="1:2" x14ac:dyDescent="0.3">
      <c r="A1744" s="5">
        <v>44096</v>
      </c>
      <c r="B1744">
        <v>38</v>
      </c>
    </row>
    <row r="1745" spans="1:2" x14ac:dyDescent="0.3">
      <c r="A1745" s="5">
        <v>44097</v>
      </c>
      <c r="B1745">
        <v>38</v>
      </c>
    </row>
    <row r="1746" spans="1:2" x14ac:dyDescent="0.3">
      <c r="A1746" s="5">
        <v>44098</v>
      </c>
      <c r="B1746">
        <v>38</v>
      </c>
    </row>
    <row r="1747" spans="1:2" x14ac:dyDescent="0.3">
      <c r="A1747" s="5">
        <v>44099</v>
      </c>
      <c r="B1747">
        <v>38</v>
      </c>
    </row>
    <row r="1748" spans="1:2" x14ac:dyDescent="0.3">
      <c r="A1748" s="5">
        <v>44100</v>
      </c>
      <c r="B1748">
        <v>38</v>
      </c>
    </row>
    <row r="1749" spans="1:2" x14ac:dyDescent="0.3">
      <c r="A1749" s="5">
        <v>44101</v>
      </c>
      <c r="B1749">
        <v>38</v>
      </c>
    </row>
    <row r="1750" spans="1:2" x14ac:dyDescent="0.3">
      <c r="A1750" s="5">
        <v>44102</v>
      </c>
      <c r="B1750">
        <v>38</v>
      </c>
    </row>
    <row r="1751" spans="1:2" x14ac:dyDescent="0.3">
      <c r="A1751" s="5">
        <v>44103</v>
      </c>
      <c r="B1751">
        <v>38</v>
      </c>
    </row>
    <row r="1752" spans="1:2" x14ac:dyDescent="0.3">
      <c r="A1752" s="5">
        <v>44104</v>
      </c>
      <c r="B1752">
        <v>38</v>
      </c>
    </row>
    <row r="1753" spans="1:2" x14ac:dyDescent="0.3">
      <c r="A1753" s="5">
        <v>44105</v>
      </c>
      <c r="B1753">
        <v>38</v>
      </c>
    </row>
    <row r="1754" spans="1:2" x14ac:dyDescent="0.3">
      <c r="A1754" s="5">
        <v>44106</v>
      </c>
      <c r="B1754">
        <v>38</v>
      </c>
    </row>
    <row r="1755" spans="1:2" x14ac:dyDescent="0.3">
      <c r="A1755" s="5">
        <v>44107</v>
      </c>
      <c r="B1755">
        <v>38</v>
      </c>
    </row>
    <row r="1756" spans="1:2" x14ac:dyDescent="0.3">
      <c r="A1756" s="5">
        <v>44108</v>
      </c>
      <c r="B1756">
        <v>38</v>
      </c>
    </row>
    <row r="1757" spans="1:2" x14ac:dyDescent="0.3">
      <c r="A1757" s="5">
        <v>44109</v>
      </c>
      <c r="B1757">
        <v>38</v>
      </c>
    </row>
    <row r="1758" spans="1:2" x14ac:dyDescent="0.3">
      <c r="A1758" s="5">
        <v>44110</v>
      </c>
      <c r="B1758">
        <v>38</v>
      </c>
    </row>
    <row r="1759" spans="1:2" x14ac:dyDescent="0.3">
      <c r="A1759" s="5">
        <v>44111</v>
      </c>
      <c r="B1759">
        <v>38</v>
      </c>
    </row>
    <row r="1760" spans="1:2" x14ac:dyDescent="0.3">
      <c r="A1760" s="5">
        <v>44112</v>
      </c>
      <c r="B1760">
        <v>38</v>
      </c>
    </row>
    <row r="1761" spans="1:2" x14ac:dyDescent="0.3">
      <c r="A1761" s="5">
        <v>44113</v>
      </c>
      <c r="B1761">
        <v>38</v>
      </c>
    </row>
    <row r="1762" spans="1:2" x14ac:dyDescent="0.3">
      <c r="A1762" s="5">
        <v>44114</v>
      </c>
      <c r="B1762">
        <v>38</v>
      </c>
    </row>
    <row r="1763" spans="1:2" x14ac:dyDescent="0.3">
      <c r="A1763" s="5">
        <v>44115</v>
      </c>
      <c r="B1763">
        <v>38</v>
      </c>
    </row>
    <row r="1764" spans="1:2" x14ac:dyDescent="0.3">
      <c r="A1764" s="5">
        <v>44116</v>
      </c>
      <c r="B1764">
        <v>38</v>
      </c>
    </row>
    <row r="1765" spans="1:2" x14ac:dyDescent="0.3">
      <c r="A1765" s="5">
        <v>44117</v>
      </c>
      <c r="B1765">
        <v>37</v>
      </c>
    </row>
    <row r="1766" spans="1:2" x14ac:dyDescent="0.3">
      <c r="A1766" s="5">
        <v>44118</v>
      </c>
      <c r="B1766">
        <v>37</v>
      </c>
    </row>
    <row r="1767" spans="1:2" x14ac:dyDescent="0.3">
      <c r="A1767" s="5">
        <v>44119</v>
      </c>
      <c r="B1767">
        <v>37</v>
      </c>
    </row>
    <row r="1768" spans="1:2" x14ac:dyDescent="0.3">
      <c r="A1768" s="5">
        <v>44120</v>
      </c>
      <c r="B1768">
        <v>37</v>
      </c>
    </row>
    <row r="1769" spans="1:2" x14ac:dyDescent="0.3">
      <c r="A1769" s="5">
        <v>44121</v>
      </c>
      <c r="B1769">
        <v>37</v>
      </c>
    </row>
    <row r="1770" spans="1:2" x14ac:dyDescent="0.3">
      <c r="A1770" s="5">
        <v>44122</v>
      </c>
      <c r="B1770">
        <v>37</v>
      </c>
    </row>
    <row r="1771" spans="1:2" x14ac:dyDescent="0.3">
      <c r="A1771" s="5">
        <v>44123</v>
      </c>
      <c r="B1771">
        <v>37</v>
      </c>
    </row>
    <row r="1772" spans="1:2" x14ac:dyDescent="0.3">
      <c r="A1772" s="5">
        <v>44124</v>
      </c>
      <c r="B1772">
        <v>36</v>
      </c>
    </row>
    <row r="1773" spans="1:2" x14ac:dyDescent="0.3">
      <c r="A1773" s="5">
        <v>44125</v>
      </c>
      <c r="B1773">
        <v>36</v>
      </c>
    </row>
    <row r="1774" spans="1:2" x14ac:dyDescent="0.3">
      <c r="A1774" s="5">
        <v>44126</v>
      </c>
      <c r="B1774">
        <v>36</v>
      </c>
    </row>
    <row r="1775" spans="1:2" x14ac:dyDescent="0.3">
      <c r="A1775" s="5">
        <v>44127</v>
      </c>
      <c r="B1775">
        <v>36</v>
      </c>
    </row>
    <row r="1776" spans="1:2" x14ac:dyDescent="0.3">
      <c r="A1776" s="5">
        <v>44128</v>
      </c>
      <c r="B1776">
        <v>36</v>
      </c>
    </row>
    <row r="1777" spans="1:2" x14ac:dyDescent="0.3">
      <c r="A1777" s="5">
        <v>44129</v>
      </c>
      <c r="B1777">
        <v>36</v>
      </c>
    </row>
    <row r="1778" spans="1:2" x14ac:dyDescent="0.3">
      <c r="A1778" s="5">
        <v>44130</v>
      </c>
      <c r="B1778">
        <v>36</v>
      </c>
    </row>
    <row r="1779" spans="1:2" x14ac:dyDescent="0.3">
      <c r="A1779" s="5">
        <v>44131</v>
      </c>
      <c r="B1779">
        <v>36</v>
      </c>
    </row>
    <row r="1780" spans="1:2" x14ac:dyDescent="0.3">
      <c r="A1780" s="5">
        <v>44132</v>
      </c>
      <c r="B1780">
        <v>36</v>
      </c>
    </row>
    <row r="1781" spans="1:2" x14ac:dyDescent="0.3">
      <c r="A1781" s="5">
        <v>44133</v>
      </c>
      <c r="B1781">
        <v>36</v>
      </c>
    </row>
    <row r="1782" spans="1:2" x14ac:dyDescent="0.3">
      <c r="A1782" s="5">
        <v>44134</v>
      </c>
      <c r="B1782">
        <v>36</v>
      </c>
    </row>
    <row r="1783" spans="1:2" x14ac:dyDescent="0.3">
      <c r="A1783" s="5">
        <v>44135</v>
      </c>
      <c r="B1783">
        <v>36</v>
      </c>
    </row>
    <row r="1784" spans="1:2" x14ac:dyDescent="0.3">
      <c r="A1784" s="5">
        <v>44136</v>
      </c>
      <c r="B1784">
        <v>36</v>
      </c>
    </row>
    <row r="1785" spans="1:2" x14ac:dyDescent="0.3">
      <c r="A1785" s="5">
        <v>44137</v>
      </c>
      <c r="B1785">
        <v>36</v>
      </c>
    </row>
    <row r="1786" spans="1:2" x14ac:dyDescent="0.3">
      <c r="A1786" s="5">
        <v>44138</v>
      </c>
      <c r="B1786">
        <v>36</v>
      </c>
    </row>
    <row r="1787" spans="1:2" x14ac:dyDescent="0.3">
      <c r="A1787" s="5">
        <v>44139</v>
      </c>
      <c r="B1787">
        <v>36</v>
      </c>
    </row>
    <row r="1788" spans="1:2" x14ac:dyDescent="0.3">
      <c r="A1788" s="5">
        <v>44140</v>
      </c>
      <c r="B1788">
        <v>36</v>
      </c>
    </row>
    <row r="1789" spans="1:2" x14ac:dyDescent="0.3">
      <c r="A1789" s="5">
        <v>44141</v>
      </c>
      <c r="B1789">
        <v>36</v>
      </c>
    </row>
    <row r="1790" spans="1:2" x14ac:dyDescent="0.3">
      <c r="A1790" s="5">
        <v>44142</v>
      </c>
      <c r="B1790">
        <v>36</v>
      </c>
    </row>
    <row r="1791" spans="1:2" x14ac:dyDescent="0.3">
      <c r="A1791" s="5">
        <v>44143</v>
      </c>
      <c r="B1791">
        <v>36</v>
      </c>
    </row>
    <row r="1792" spans="1:2" x14ac:dyDescent="0.3">
      <c r="A1792" s="5">
        <v>44144</v>
      </c>
      <c r="B1792">
        <v>36</v>
      </c>
    </row>
    <row r="1793" spans="1:2" x14ac:dyDescent="0.3">
      <c r="A1793" s="5">
        <v>44145</v>
      </c>
      <c r="B1793">
        <v>36</v>
      </c>
    </row>
    <row r="1794" spans="1:2" x14ac:dyDescent="0.3">
      <c r="A1794" s="5">
        <v>44146</v>
      </c>
      <c r="B1794">
        <v>36</v>
      </c>
    </row>
    <row r="1795" spans="1:2" x14ac:dyDescent="0.3">
      <c r="A1795" s="5">
        <v>44147</v>
      </c>
      <c r="B1795">
        <v>36</v>
      </c>
    </row>
    <row r="1796" spans="1:2" x14ac:dyDescent="0.3">
      <c r="A1796" s="5">
        <v>44148</v>
      </c>
      <c r="B1796">
        <v>36</v>
      </c>
    </row>
    <row r="1797" spans="1:2" x14ac:dyDescent="0.3">
      <c r="A1797" s="5">
        <v>44149</v>
      </c>
      <c r="B1797">
        <v>36</v>
      </c>
    </row>
    <row r="1798" spans="1:2" x14ac:dyDescent="0.3">
      <c r="A1798" s="5">
        <v>44150</v>
      </c>
      <c r="B1798">
        <v>36</v>
      </c>
    </row>
    <row r="1799" spans="1:2" x14ac:dyDescent="0.3">
      <c r="A1799" s="5">
        <v>44151</v>
      </c>
      <c r="B1799">
        <v>36</v>
      </c>
    </row>
    <row r="1800" spans="1:2" x14ac:dyDescent="0.3">
      <c r="A1800" s="5">
        <v>44152</v>
      </c>
      <c r="B1800">
        <v>38</v>
      </c>
    </row>
    <row r="1801" spans="1:2" x14ac:dyDescent="0.3">
      <c r="A1801" s="5">
        <v>44153</v>
      </c>
      <c r="B1801">
        <v>38</v>
      </c>
    </row>
    <row r="1802" spans="1:2" x14ac:dyDescent="0.3">
      <c r="A1802" s="5">
        <v>44154</v>
      </c>
      <c r="B1802">
        <v>38</v>
      </c>
    </row>
    <row r="1803" spans="1:2" x14ac:dyDescent="0.3">
      <c r="A1803" s="5">
        <v>44155</v>
      </c>
      <c r="B1803">
        <v>38</v>
      </c>
    </row>
    <row r="1804" spans="1:2" x14ac:dyDescent="0.3">
      <c r="A1804" s="5">
        <v>44156</v>
      </c>
      <c r="B1804">
        <v>38</v>
      </c>
    </row>
    <row r="1805" spans="1:2" x14ac:dyDescent="0.3">
      <c r="A1805" s="5">
        <v>44157</v>
      </c>
      <c r="B1805">
        <v>38</v>
      </c>
    </row>
    <row r="1806" spans="1:2" x14ac:dyDescent="0.3">
      <c r="A1806" s="5">
        <v>44158</v>
      </c>
      <c r="B1806">
        <v>38</v>
      </c>
    </row>
    <row r="1807" spans="1:2" x14ac:dyDescent="0.3">
      <c r="A1807" s="5">
        <v>44159</v>
      </c>
      <c r="B1807">
        <v>38</v>
      </c>
    </row>
    <row r="1808" spans="1:2" x14ac:dyDescent="0.3">
      <c r="A1808" s="5">
        <v>44160</v>
      </c>
      <c r="B1808">
        <v>38</v>
      </c>
    </row>
    <row r="1809" spans="1:2" x14ac:dyDescent="0.3">
      <c r="A1809" s="5">
        <v>44161</v>
      </c>
      <c r="B1809">
        <v>38</v>
      </c>
    </row>
    <row r="1810" spans="1:2" x14ac:dyDescent="0.3">
      <c r="A1810" s="5">
        <v>44162</v>
      </c>
      <c r="B1810">
        <v>38</v>
      </c>
    </row>
    <row r="1811" spans="1:2" x14ac:dyDescent="0.3">
      <c r="A1811" s="5">
        <v>44163</v>
      </c>
      <c r="B1811">
        <v>38</v>
      </c>
    </row>
    <row r="1812" spans="1:2" x14ac:dyDescent="0.3">
      <c r="A1812" s="5">
        <v>44164</v>
      </c>
      <c r="B1812">
        <v>38</v>
      </c>
    </row>
    <row r="1813" spans="1:2" x14ac:dyDescent="0.3">
      <c r="A1813" s="5">
        <v>44165</v>
      </c>
      <c r="B1813">
        <v>38</v>
      </c>
    </row>
    <row r="1814" spans="1:2" x14ac:dyDescent="0.3">
      <c r="A1814" s="5">
        <v>44166</v>
      </c>
      <c r="B1814">
        <v>38</v>
      </c>
    </row>
    <row r="1815" spans="1:2" x14ac:dyDescent="0.3">
      <c r="A1815" s="5">
        <v>44167</v>
      </c>
      <c r="B1815">
        <v>38</v>
      </c>
    </row>
    <row r="1816" spans="1:2" x14ac:dyDescent="0.3">
      <c r="A1816" s="5">
        <v>44168</v>
      </c>
      <c r="B1816">
        <v>38</v>
      </c>
    </row>
    <row r="1817" spans="1:2" x14ac:dyDescent="0.3">
      <c r="A1817" s="5">
        <v>44169</v>
      </c>
      <c r="B1817">
        <v>38</v>
      </c>
    </row>
    <row r="1818" spans="1:2" x14ac:dyDescent="0.3">
      <c r="A1818" s="5">
        <v>44170</v>
      </c>
      <c r="B1818">
        <v>38</v>
      </c>
    </row>
    <row r="1819" spans="1:2" x14ac:dyDescent="0.3">
      <c r="A1819" s="5">
        <v>44171</v>
      </c>
      <c r="B1819">
        <v>38</v>
      </c>
    </row>
    <row r="1820" spans="1:2" x14ac:dyDescent="0.3">
      <c r="A1820" s="5">
        <v>44172</v>
      </c>
      <c r="B1820">
        <v>38</v>
      </c>
    </row>
    <row r="1821" spans="1:2" x14ac:dyDescent="0.3">
      <c r="A1821" s="5">
        <v>44173</v>
      </c>
      <c r="B1821">
        <v>38</v>
      </c>
    </row>
    <row r="1822" spans="1:2" x14ac:dyDescent="0.3">
      <c r="A1822" s="5">
        <v>44174</v>
      </c>
      <c r="B1822">
        <v>38</v>
      </c>
    </row>
    <row r="1823" spans="1:2" x14ac:dyDescent="0.3">
      <c r="A1823" s="5">
        <v>44175</v>
      </c>
      <c r="B1823">
        <v>38</v>
      </c>
    </row>
    <row r="1824" spans="1:2" x14ac:dyDescent="0.3">
      <c r="A1824" s="5">
        <v>44176</v>
      </c>
      <c r="B1824">
        <v>38</v>
      </c>
    </row>
    <row r="1825" spans="1:2" x14ac:dyDescent="0.3">
      <c r="A1825" s="5">
        <v>44177</v>
      </c>
      <c r="B1825">
        <v>38</v>
      </c>
    </row>
    <row r="1826" spans="1:2" x14ac:dyDescent="0.3">
      <c r="A1826" s="5">
        <v>44178</v>
      </c>
      <c r="B1826">
        <v>38</v>
      </c>
    </row>
    <row r="1827" spans="1:2" x14ac:dyDescent="0.3">
      <c r="A1827" s="5">
        <v>44179</v>
      </c>
      <c r="B1827">
        <v>38</v>
      </c>
    </row>
    <row r="1828" spans="1:2" x14ac:dyDescent="0.3">
      <c r="A1828" s="5">
        <v>44180</v>
      </c>
      <c r="B1828">
        <v>38</v>
      </c>
    </row>
    <row r="1829" spans="1:2" x14ac:dyDescent="0.3">
      <c r="A1829" s="5">
        <v>44181</v>
      </c>
      <c r="B1829">
        <v>38</v>
      </c>
    </row>
    <row r="1830" spans="1:2" x14ac:dyDescent="0.3">
      <c r="A1830" s="5">
        <v>44182</v>
      </c>
      <c r="B1830">
        <v>38</v>
      </c>
    </row>
    <row r="1831" spans="1:2" x14ac:dyDescent="0.3">
      <c r="A1831" s="5">
        <v>44183</v>
      </c>
      <c r="B1831">
        <v>38</v>
      </c>
    </row>
    <row r="1832" spans="1:2" x14ac:dyDescent="0.3">
      <c r="A1832" s="5">
        <v>44184</v>
      </c>
      <c r="B1832">
        <v>38</v>
      </c>
    </row>
    <row r="1833" spans="1:2" x14ac:dyDescent="0.3">
      <c r="A1833" s="5">
        <v>44185</v>
      </c>
      <c r="B1833">
        <v>38</v>
      </c>
    </row>
    <row r="1834" spans="1:2" x14ac:dyDescent="0.3">
      <c r="A1834" s="5">
        <v>44186</v>
      </c>
      <c r="B1834">
        <v>38</v>
      </c>
    </row>
    <row r="1835" spans="1:2" x14ac:dyDescent="0.3">
      <c r="A1835" s="5">
        <v>44187</v>
      </c>
      <c r="B1835">
        <v>38</v>
      </c>
    </row>
    <row r="1836" spans="1:2" x14ac:dyDescent="0.3">
      <c r="A1836" s="5">
        <v>44188</v>
      </c>
      <c r="B1836">
        <v>38</v>
      </c>
    </row>
    <row r="1837" spans="1:2" x14ac:dyDescent="0.3">
      <c r="A1837" s="5">
        <v>44189</v>
      </c>
      <c r="B1837">
        <v>38</v>
      </c>
    </row>
    <row r="1838" spans="1:2" x14ac:dyDescent="0.3">
      <c r="A1838" s="5">
        <v>44190</v>
      </c>
      <c r="B1838">
        <v>38</v>
      </c>
    </row>
    <row r="1839" spans="1:2" x14ac:dyDescent="0.3">
      <c r="A1839" s="5">
        <v>44191</v>
      </c>
      <c r="B1839">
        <v>38</v>
      </c>
    </row>
    <row r="1840" spans="1:2" x14ac:dyDescent="0.3">
      <c r="A1840" s="5">
        <v>44192</v>
      </c>
      <c r="B1840">
        <v>38</v>
      </c>
    </row>
    <row r="1841" spans="1:2" x14ac:dyDescent="0.3">
      <c r="A1841" s="5">
        <v>44193</v>
      </c>
      <c r="B1841">
        <v>38</v>
      </c>
    </row>
    <row r="1842" spans="1:2" x14ac:dyDescent="0.3">
      <c r="A1842" s="5">
        <v>44194</v>
      </c>
      <c r="B1842">
        <v>38</v>
      </c>
    </row>
    <row r="1843" spans="1:2" x14ac:dyDescent="0.3">
      <c r="A1843" s="5">
        <v>44195</v>
      </c>
      <c r="B1843">
        <v>38</v>
      </c>
    </row>
    <row r="1844" spans="1:2" x14ac:dyDescent="0.3">
      <c r="A1844" s="5">
        <v>44196</v>
      </c>
      <c r="B1844">
        <v>38</v>
      </c>
    </row>
    <row r="1845" spans="1:2" x14ac:dyDescent="0.3">
      <c r="A1845" s="5">
        <v>44197</v>
      </c>
      <c r="B1845">
        <v>38</v>
      </c>
    </row>
    <row r="1846" spans="1:2" x14ac:dyDescent="0.3">
      <c r="A1846" s="5">
        <v>44198</v>
      </c>
      <c r="B1846">
        <v>38</v>
      </c>
    </row>
    <row r="1847" spans="1:2" x14ac:dyDescent="0.3">
      <c r="A1847" s="5">
        <v>44199</v>
      </c>
      <c r="B1847">
        <v>38</v>
      </c>
    </row>
    <row r="1848" spans="1:2" x14ac:dyDescent="0.3">
      <c r="A1848" s="5">
        <v>44200</v>
      </c>
      <c r="B1848">
        <v>38</v>
      </c>
    </row>
    <row r="1849" spans="1:2" x14ac:dyDescent="0.3">
      <c r="A1849" s="5">
        <v>44201</v>
      </c>
      <c r="B1849">
        <v>38</v>
      </c>
    </row>
    <row r="1850" spans="1:2" x14ac:dyDescent="0.3">
      <c r="A1850" s="5">
        <v>44202</v>
      </c>
      <c r="B1850">
        <v>38</v>
      </c>
    </row>
    <row r="1851" spans="1:2" x14ac:dyDescent="0.3">
      <c r="A1851" s="5">
        <v>44203</v>
      </c>
      <c r="B1851">
        <v>38</v>
      </c>
    </row>
    <row r="1852" spans="1:2" x14ac:dyDescent="0.3">
      <c r="A1852" s="5">
        <v>44204</v>
      </c>
      <c r="B1852">
        <v>38</v>
      </c>
    </row>
    <row r="1853" spans="1:2" x14ac:dyDescent="0.3">
      <c r="A1853" s="5">
        <v>44205</v>
      </c>
      <c r="B1853">
        <v>38</v>
      </c>
    </row>
    <row r="1854" spans="1:2" x14ac:dyDescent="0.3">
      <c r="A1854" s="5">
        <v>44206</v>
      </c>
      <c r="B1854">
        <v>38</v>
      </c>
    </row>
    <row r="1855" spans="1:2" x14ac:dyDescent="0.3">
      <c r="A1855" s="5">
        <v>44207</v>
      </c>
      <c r="B1855">
        <v>38</v>
      </c>
    </row>
    <row r="1856" spans="1:2" x14ac:dyDescent="0.3">
      <c r="A1856" s="5">
        <v>44208</v>
      </c>
      <c r="B1856">
        <v>38</v>
      </c>
    </row>
    <row r="1857" spans="1:2" x14ac:dyDescent="0.3">
      <c r="A1857" s="5">
        <v>44209</v>
      </c>
      <c r="B1857">
        <v>38</v>
      </c>
    </row>
    <row r="1858" spans="1:2" x14ac:dyDescent="0.3">
      <c r="A1858" s="5">
        <v>44210</v>
      </c>
      <c r="B1858">
        <v>38</v>
      </c>
    </row>
    <row r="1859" spans="1:2" x14ac:dyDescent="0.3">
      <c r="A1859" s="5">
        <v>44211</v>
      </c>
      <c r="B1859">
        <v>38</v>
      </c>
    </row>
    <row r="1860" spans="1:2" x14ac:dyDescent="0.3">
      <c r="A1860" s="5">
        <v>44212</v>
      </c>
      <c r="B1860">
        <v>38</v>
      </c>
    </row>
    <row r="1861" spans="1:2" x14ac:dyDescent="0.3">
      <c r="A1861" s="5">
        <v>44213</v>
      </c>
      <c r="B1861">
        <v>38</v>
      </c>
    </row>
    <row r="1862" spans="1:2" x14ac:dyDescent="0.3">
      <c r="A1862" s="5">
        <v>44214</v>
      </c>
      <c r="B1862">
        <v>38</v>
      </c>
    </row>
    <row r="1863" spans="1:2" x14ac:dyDescent="0.3">
      <c r="A1863" s="5">
        <v>44215</v>
      </c>
      <c r="B1863">
        <v>38</v>
      </c>
    </row>
    <row r="1864" spans="1:2" x14ac:dyDescent="0.3">
      <c r="A1864" s="5">
        <v>44216</v>
      </c>
      <c r="B1864">
        <v>38</v>
      </c>
    </row>
    <row r="1865" spans="1:2" x14ac:dyDescent="0.3">
      <c r="A1865" s="5">
        <v>44217</v>
      </c>
      <c r="B1865">
        <v>38</v>
      </c>
    </row>
    <row r="1866" spans="1:2" x14ac:dyDescent="0.3">
      <c r="A1866" s="5">
        <v>44218</v>
      </c>
      <c r="B1866">
        <v>38</v>
      </c>
    </row>
    <row r="1867" spans="1:2" x14ac:dyDescent="0.3">
      <c r="A1867" s="5">
        <v>44219</v>
      </c>
      <c r="B1867">
        <v>38</v>
      </c>
    </row>
    <row r="1868" spans="1:2" x14ac:dyDescent="0.3">
      <c r="A1868" s="5">
        <v>44220</v>
      </c>
      <c r="B1868">
        <v>38</v>
      </c>
    </row>
    <row r="1869" spans="1:2" x14ac:dyDescent="0.3">
      <c r="A1869" s="5">
        <v>44221</v>
      </c>
      <c r="B1869">
        <v>38</v>
      </c>
    </row>
    <row r="1870" spans="1:2" x14ac:dyDescent="0.3">
      <c r="A1870" s="5">
        <v>44222</v>
      </c>
      <c r="B1870">
        <v>38</v>
      </c>
    </row>
    <row r="1871" spans="1:2" x14ac:dyDescent="0.3">
      <c r="A1871" s="5">
        <v>44223</v>
      </c>
      <c r="B1871">
        <v>38</v>
      </c>
    </row>
    <row r="1872" spans="1:2" x14ac:dyDescent="0.3">
      <c r="A1872" s="5">
        <v>44224</v>
      </c>
      <c r="B1872">
        <v>38</v>
      </c>
    </row>
    <row r="1873" spans="1:2" x14ac:dyDescent="0.3">
      <c r="A1873" s="5">
        <v>44225</v>
      </c>
      <c r="B1873">
        <v>38</v>
      </c>
    </row>
    <row r="1874" spans="1:2" x14ac:dyDescent="0.3">
      <c r="A1874" s="5">
        <v>44226</v>
      </c>
      <c r="B1874">
        <v>38</v>
      </c>
    </row>
    <row r="1875" spans="1:2" x14ac:dyDescent="0.3">
      <c r="A1875" s="5">
        <v>44227</v>
      </c>
      <c r="B1875">
        <v>38</v>
      </c>
    </row>
    <row r="1876" spans="1:2" x14ac:dyDescent="0.3">
      <c r="A1876" s="5">
        <v>44228</v>
      </c>
      <c r="B1876">
        <v>38</v>
      </c>
    </row>
    <row r="1877" spans="1:2" x14ac:dyDescent="0.3">
      <c r="A1877" s="5">
        <v>44229</v>
      </c>
      <c r="B1877">
        <v>38</v>
      </c>
    </row>
    <row r="1878" spans="1:2" x14ac:dyDescent="0.3">
      <c r="A1878" s="5">
        <v>44230</v>
      </c>
      <c r="B1878">
        <v>38</v>
      </c>
    </row>
    <row r="1879" spans="1:2" x14ac:dyDescent="0.3">
      <c r="A1879" s="5">
        <v>44231</v>
      </c>
      <c r="B1879">
        <v>38</v>
      </c>
    </row>
    <row r="1880" spans="1:2" x14ac:dyDescent="0.3">
      <c r="A1880" s="5">
        <v>44232</v>
      </c>
      <c r="B1880">
        <v>38</v>
      </c>
    </row>
    <row r="1881" spans="1:2" x14ac:dyDescent="0.3">
      <c r="A1881" s="5">
        <v>44233</v>
      </c>
      <c r="B1881">
        <v>38</v>
      </c>
    </row>
    <row r="1882" spans="1:2" x14ac:dyDescent="0.3">
      <c r="A1882" s="5">
        <v>44234</v>
      </c>
      <c r="B1882">
        <v>38</v>
      </c>
    </row>
    <row r="1883" spans="1:2" x14ac:dyDescent="0.3">
      <c r="A1883" s="5">
        <v>44235</v>
      </c>
      <c r="B1883">
        <v>38</v>
      </c>
    </row>
    <row r="1884" spans="1:2" x14ac:dyDescent="0.3">
      <c r="A1884" s="5">
        <v>44236</v>
      </c>
      <c r="B1884">
        <v>38</v>
      </c>
    </row>
    <row r="1885" spans="1:2" x14ac:dyDescent="0.3">
      <c r="A1885" s="5">
        <v>44237</v>
      </c>
      <c r="B1885">
        <v>38</v>
      </c>
    </row>
    <row r="1886" spans="1:2" x14ac:dyDescent="0.3">
      <c r="A1886" s="5">
        <v>44238</v>
      </c>
      <c r="B1886">
        <v>38</v>
      </c>
    </row>
    <row r="1887" spans="1:2" x14ac:dyDescent="0.3">
      <c r="A1887" s="5">
        <v>44239</v>
      </c>
      <c r="B1887">
        <v>38</v>
      </c>
    </row>
    <row r="1888" spans="1:2" x14ac:dyDescent="0.3">
      <c r="A1888" s="5">
        <v>44240</v>
      </c>
      <c r="B1888">
        <v>38</v>
      </c>
    </row>
    <row r="1889" spans="1:2" x14ac:dyDescent="0.3">
      <c r="A1889" s="5">
        <v>44241</v>
      </c>
      <c r="B1889">
        <v>38</v>
      </c>
    </row>
    <row r="1890" spans="1:2" x14ac:dyDescent="0.3">
      <c r="A1890" s="5">
        <v>44242</v>
      </c>
      <c r="B1890">
        <v>38</v>
      </c>
    </row>
    <row r="1891" spans="1:2" x14ac:dyDescent="0.3">
      <c r="A1891" s="5">
        <v>44243</v>
      </c>
      <c r="B1891">
        <v>38</v>
      </c>
    </row>
    <row r="1892" spans="1:2" x14ac:dyDescent="0.3">
      <c r="A1892" s="5">
        <v>44244</v>
      </c>
      <c r="B1892">
        <v>38</v>
      </c>
    </row>
    <row r="1893" spans="1:2" x14ac:dyDescent="0.3">
      <c r="A1893" s="5">
        <v>44245</v>
      </c>
      <c r="B1893">
        <v>38</v>
      </c>
    </row>
    <row r="1894" spans="1:2" x14ac:dyDescent="0.3">
      <c r="A1894" s="5">
        <v>44246</v>
      </c>
      <c r="B1894">
        <v>38</v>
      </c>
    </row>
    <row r="1895" spans="1:2" x14ac:dyDescent="0.3">
      <c r="A1895" s="5">
        <v>44247</v>
      </c>
      <c r="B1895">
        <v>38</v>
      </c>
    </row>
    <row r="1896" spans="1:2" x14ac:dyDescent="0.3">
      <c r="A1896" s="5">
        <v>44248</v>
      </c>
      <c r="B1896">
        <v>38</v>
      </c>
    </row>
    <row r="1897" spans="1:2" x14ac:dyDescent="0.3">
      <c r="A1897" s="5">
        <v>44249</v>
      </c>
      <c r="B1897">
        <v>38</v>
      </c>
    </row>
    <row r="1898" spans="1:2" x14ac:dyDescent="0.3">
      <c r="A1898" s="5">
        <v>44250</v>
      </c>
      <c r="B1898">
        <v>38</v>
      </c>
    </row>
    <row r="1899" spans="1:2" x14ac:dyDescent="0.3">
      <c r="A1899" s="5">
        <v>44251</v>
      </c>
      <c r="B1899">
        <v>38</v>
      </c>
    </row>
    <row r="1900" spans="1:2" x14ac:dyDescent="0.3">
      <c r="A1900" s="5">
        <v>44252</v>
      </c>
      <c r="B1900">
        <v>38</v>
      </c>
    </row>
    <row r="1901" spans="1:2" x14ac:dyDescent="0.3">
      <c r="A1901" s="5">
        <v>44253</v>
      </c>
      <c r="B1901">
        <v>38</v>
      </c>
    </row>
    <row r="1902" spans="1:2" x14ac:dyDescent="0.3">
      <c r="A1902" s="5">
        <v>44254</v>
      </c>
      <c r="B1902">
        <v>38</v>
      </c>
    </row>
    <row r="1903" spans="1:2" x14ac:dyDescent="0.3">
      <c r="A1903" s="5">
        <v>44255</v>
      </c>
      <c r="B1903">
        <v>38</v>
      </c>
    </row>
    <row r="1904" spans="1:2" x14ac:dyDescent="0.3">
      <c r="A1904" s="5">
        <v>44256</v>
      </c>
      <c r="B1904">
        <v>38</v>
      </c>
    </row>
    <row r="1905" spans="1:2" x14ac:dyDescent="0.3">
      <c r="A1905" s="5">
        <v>44257</v>
      </c>
      <c r="B1905">
        <v>38</v>
      </c>
    </row>
    <row r="1906" spans="1:2" x14ac:dyDescent="0.3">
      <c r="A1906" s="5">
        <v>44258</v>
      </c>
      <c r="B1906">
        <v>38</v>
      </c>
    </row>
    <row r="1907" spans="1:2" x14ac:dyDescent="0.3">
      <c r="A1907" s="5">
        <v>44259</v>
      </c>
      <c r="B1907">
        <v>38</v>
      </c>
    </row>
    <row r="1908" spans="1:2" x14ac:dyDescent="0.3">
      <c r="A1908" s="5">
        <v>44260</v>
      </c>
      <c r="B1908">
        <v>38</v>
      </c>
    </row>
    <row r="1909" spans="1:2" x14ac:dyDescent="0.3">
      <c r="A1909" s="5">
        <v>44261</v>
      </c>
      <c r="B1909">
        <v>38</v>
      </c>
    </row>
    <row r="1910" spans="1:2" x14ac:dyDescent="0.3">
      <c r="A1910" s="5">
        <v>44262</v>
      </c>
      <c r="B1910">
        <v>38</v>
      </c>
    </row>
    <row r="1911" spans="1:2" x14ac:dyDescent="0.3">
      <c r="A1911" s="5">
        <v>44263</v>
      </c>
      <c r="B1911">
        <v>38</v>
      </c>
    </row>
    <row r="1912" spans="1:2" x14ac:dyDescent="0.3">
      <c r="A1912" s="5">
        <v>44264</v>
      </c>
      <c r="B1912">
        <v>38</v>
      </c>
    </row>
    <row r="1913" spans="1:2" x14ac:dyDescent="0.3">
      <c r="A1913" s="5">
        <v>44265</v>
      </c>
      <c r="B1913">
        <v>38</v>
      </c>
    </row>
    <row r="1914" spans="1:2" x14ac:dyDescent="0.3">
      <c r="A1914" s="5">
        <v>44266</v>
      </c>
      <c r="B1914">
        <v>38</v>
      </c>
    </row>
    <row r="1915" spans="1:2" x14ac:dyDescent="0.3">
      <c r="A1915" s="5">
        <v>44267</v>
      </c>
      <c r="B1915">
        <v>38</v>
      </c>
    </row>
    <row r="1916" spans="1:2" x14ac:dyDescent="0.3">
      <c r="A1916" s="5">
        <v>44268</v>
      </c>
      <c r="B1916">
        <v>38</v>
      </c>
    </row>
    <row r="1917" spans="1:2" x14ac:dyDescent="0.3">
      <c r="A1917" s="5">
        <v>44269</v>
      </c>
      <c r="B1917">
        <v>38</v>
      </c>
    </row>
    <row r="1918" spans="1:2" x14ac:dyDescent="0.3">
      <c r="A1918" s="5">
        <v>44270</v>
      </c>
      <c r="B1918">
        <v>38</v>
      </c>
    </row>
    <row r="1919" spans="1:2" x14ac:dyDescent="0.3">
      <c r="A1919" s="5">
        <v>44271</v>
      </c>
      <c r="B1919">
        <v>38</v>
      </c>
    </row>
    <row r="1920" spans="1:2" x14ac:dyDescent="0.3">
      <c r="A1920" s="5">
        <v>44272</v>
      </c>
      <c r="B1920">
        <v>38</v>
      </c>
    </row>
    <row r="1921" spans="1:2" x14ac:dyDescent="0.3">
      <c r="A1921" s="5">
        <v>44273</v>
      </c>
      <c r="B1921">
        <v>38</v>
      </c>
    </row>
    <row r="1922" spans="1:2" x14ac:dyDescent="0.3">
      <c r="A1922" s="5">
        <v>44274</v>
      </c>
      <c r="B1922">
        <v>38</v>
      </c>
    </row>
    <row r="1923" spans="1:2" x14ac:dyDescent="0.3">
      <c r="A1923" s="5">
        <v>44275</v>
      </c>
      <c r="B1923">
        <v>38</v>
      </c>
    </row>
    <row r="1924" spans="1:2" x14ac:dyDescent="0.3">
      <c r="A1924" s="5">
        <v>44276</v>
      </c>
      <c r="B1924">
        <v>38</v>
      </c>
    </row>
    <row r="1925" spans="1:2" x14ac:dyDescent="0.3">
      <c r="A1925" s="5">
        <v>44277</v>
      </c>
      <c r="B1925">
        <v>38</v>
      </c>
    </row>
    <row r="1926" spans="1:2" x14ac:dyDescent="0.3">
      <c r="A1926" s="5">
        <v>44278</v>
      </c>
      <c r="B1926">
        <v>38</v>
      </c>
    </row>
    <row r="1927" spans="1:2" x14ac:dyDescent="0.3">
      <c r="A1927" s="5">
        <v>44279</v>
      </c>
      <c r="B1927">
        <v>38</v>
      </c>
    </row>
    <row r="1928" spans="1:2" x14ac:dyDescent="0.3">
      <c r="A1928" s="5">
        <v>44280</v>
      </c>
      <c r="B1928">
        <v>38</v>
      </c>
    </row>
    <row r="1929" spans="1:2" x14ac:dyDescent="0.3">
      <c r="A1929" s="5">
        <v>44281</v>
      </c>
      <c r="B1929">
        <v>38</v>
      </c>
    </row>
    <row r="1930" spans="1:2" x14ac:dyDescent="0.3">
      <c r="A1930" s="5">
        <v>44282</v>
      </c>
      <c r="B1930">
        <v>38</v>
      </c>
    </row>
    <row r="1931" spans="1:2" x14ac:dyDescent="0.3">
      <c r="A1931" s="5">
        <v>44283</v>
      </c>
      <c r="B1931">
        <v>38</v>
      </c>
    </row>
    <row r="1932" spans="1:2" x14ac:dyDescent="0.3">
      <c r="A1932" s="5">
        <v>44284</v>
      </c>
      <c r="B1932">
        <v>38</v>
      </c>
    </row>
    <row r="1933" spans="1:2" x14ac:dyDescent="0.3">
      <c r="A1933" s="5">
        <v>44285</v>
      </c>
      <c r="B1933">
        <v>38</v>
      </c>
    </row>
    <row r="1934" spans="1:2" x14ac:dyDescent="0.3">
      <c r="A1934" s="5">
        <v>44286</v>
      </c>
      <c r="B1934">
        <v>38</v>
      </c>
    </row>
    <row r="1935" spans="1:2" x14ac:dyDescent="0.3">
      <c r="A1935" s="5">
        <v>44287</v>
      </c>
      <c r="B1935">
        <v>38</v>
      </c>
    </row>
    <row r="1936" spans="1:2" x14ac:dyDescent="0.3">
      <c r="A1936" s="5">
        <v>44288</v>
      </c>
      <c r="B1936">
        <v>38</v>
      </c>
    </row>
    <row r="1937" spans="1:2" x14ac:dyDescent="0.3">
      <c r="A1937" s="5">
        <v>44289</v>
      </c>
      <c r="B1937">
        <v>38</v>
      </c>
    </row>
    <row r="1938" spans="1:2" x14ac:dyDescent="0.3">
      <c r="A1938" s="5">
        <v>44290</v>
      </c>
      <c r="B1938">
        <v>38</v>
      </c>
    </row>
    <row r="1939" spans="1:2" x14ac:dyDescent="0.3">
      <c r="A1939" s="5">
        <v>44291</v>
      </c>
      <c r="B1939">
        <v>38</v>
      </c>
    </row>
    <row r="1940" spans="1:2" x14ac:dyDescent="0.3">
      <c r="A1940" s="5">
        <v>44292</v>
      </c>
      <c r="B1940">
        <v>38</v>
      </c>
    </row>
    <row r="1941" spans="1:2" x14ac:dyDescent="0.3">
      <c r="A1941" s="5">
        <v>44293</v>
      </c>
      <c r="B1941">
        <v>38</v>
      </c>
    </row>
    <row r="1942" spans="1:2" x14ac:dyDescent="0.3">
      <c r="A1942" s="5">
        <v>44294</v>
      </c>
      <c r="B1942">
        <v>38</v>
      </c>
    </row>
    <row r="1943" spans="1:2" x14ac:dyDescent="0.3">
      <c r="A1943" s="5">
        <v>44295</v>
      </c>
      <c r="B1943">
        <v>38</v>
      </c>
    </row>
    <row r="1944" spans="1:2" x14ac:dyDescent="0.3">
      <c r="A1944" s="5">
        <v>44296</v>
      </c>
      <c r="B1944">
        <v>38</v>
      </c>
    </row>
    <row r="1945" spans="1:2" x14ac:dyDescent="0.3">
      <c r="A1945" s="5">
        <v>44297</v>
      </c>
      <c r="B1945">
        <v>38</v>
      </c>
    </row>
    <row r="1946" spans="1:2" x14ac:dyDescent="0.3">
      <c r="A1946" s="5">
        <v>44298</v>
      </c>
      <c r="B1946">
        <v>38</v>
      </c>
    </row>
    <row r="1947" spans="1:2" x14ac:dyDescent="0.3">
      <c r="A1947" s="5">
        <v>44299</v>
      </c>
      <c r="B1947">
        <v>38</v>
      </c>
    </row>
    <row r="1948" spans="1:2" x14ac:dyDescent="0.3">
      <c r="A1948" s="5">
        <v>44300</v>
      </c>
      <c r="B1948">
        <v>38</v>
      </c>
    </row>
    <row r="1949" spans="1:2" x14ac:dyDescent="0.3">
      <c r="A1949" s="5">
        <v>44301</v>
      </c>
      <c r="B1949">
        <v>38</v>
      </c>
    </row>
    <row r="1950" spans="1:2" x14ac:dyDescent="0.3">
      <c r="A1950" s="5">
        <v>44302</v>
      </c>
      <c r="B1950">
        <v>38</v>
      </c>
    </row>
    <row r="1951" spans="1:2" x14ac:dyDescent="0.3">
      <c r="A1951" s="5">
        <v>44303</v>
      </c>
      <c r="B1951">
        <v>38</v>
      </c>
    </row>
    <row r="1952" spans="1:2" x14ac:dyDescent="0.3">
      <c r="A1952" s="5">
        <v>44304</v>
      </c>
      <c r="B1952">
        <v>38</v>
      </c>
    </row>
    <row r="1953" spans="1:2" x14ac:dyDescent="0.3">
      <c r="A1953" s="5">
        <v>44305</v>
      </c>
      <c r="B1953">
        <v>38</v>
      </c>
    </row>
    <row r="1954" spans="1:2" x14ac:dyDescent="0.3">
      <c r="A1954" s="5">
        <v>44306</v>
      </c>
      <c r="B1954">
        <v>38</v>
      </c>
    </row>
    <row r="1955" spans="1:2" x14ac:dyDescent="0.3">
      <c r="A1955" s="5">
        <v>44307</v>
      </c>
      <c r="B1955">
        <v>38</v>
      </c>
    </row>
    <row r="1956" spans="1:2" x14ac:dyDescent="0.3">
      <c r="A1956" s="5">
        <v>44308</v>
      </c>
      <c r="B1956">
        <v>38</v>
      </c>
    </row>
    <row r="1957" spans="1:2" x14ac:dyDescent="0.3">
      <c r="A1957" s="5">
        <v>44309</v>
      </c>
      <c r="B1957">
        <v>38</v>
      </c>
    </row>
    <row r="1958" spans="1:2" x14ac:dyDescent="0.3">
      <c r="A1958" s="5">
        <v>44310</v>
      </c>
      <c r="B1958">
        <v>38</v>
      </c>
    </row>
    <row r="1959" spans="1:2" x14ac:dyDescent="0.3">
      <c r="A1959" s="5">
        <v>44311</v>
      </c>
      <c r="B1959">
        <v>38</v>
      </c>
    </row>
    <row r="1960" spans="1:2" x14ac:dyDescent="0.3">
      <c r="A1960" s="5">
        <v>44312</v>
      </c>
      <c r="B1960">
        <v>38</v>
      </c>
    </row>
    <row r="1961" spans="1:2" x14ac:dyDescent="0.3">
      <c r="A1961" s="5">
        <v>44313</v>
      </c>
      <c r="B1961">
        <v>38</v>
      </c>
    </row>
    <row r="1962" spans="1:2" x14ac:dyDescent="0.3">
      <c r="A1962" s="5">
        <v>44314</v>
      </c>
      <c r="B1962">
        <v>38</v>
      </c>
    </row>
    <row r="1963" spans="1:2" x14ac:dyDescent="0.3">
      <c r="A1963" s="5">
        <v>44315</v>
      </c>
      <c r="B1963">
        <v>38</v>
      </c>
    </row>
    <row r="1964" spans="1:2" x14ac:dyDescent="0.3">
      <c r="A1964" s="5">
        <v>44316</v>
      </c>
      <c r="B1964">
        <v>38</v>
      </c>
    </row>
    <row r="1965" spans="1:2" x14ac:dyDescent="0.3">
      <c r="A1965" s="5">
        <v>44317</v>
      </c>
      <c r="B1965">
        <v>38</v>
      </c>
    </row>
    <row r="1966" spans="1:2" x14ac:dyDescent="0.3">
      <c r="A1966" s="5">
        <v>44318</v>
      </c>
      <c r="B1966">
        <v>38</v>
      </c>
    </row>
    <row r="1967" spans="1:2" x14ac:dyDescent="0.3">
      <c r="A1967" s="5">
        <v>44319</v>
      </c>
      <c r="B1967">
        <v>38</v>
      </c>
    </row>
    <row r="1968" spans="1:2" x14ac:dyDescent="0.3">
      <c r="A1968" s="5">
        <v>44320</v>
      </c>
      <c r="B1968">
        <v>38</v>
      </c>
    </row>
    <row r="1969" spans="1:2" x14ac:dyDescent="0.3">
      <c r="A1969" s="5">
        <v>44321</v>
      </c>
      <c r="B1969">
        <v>38</v>
      </c>
    </row>
    <row r="1970" spans="1:2" x14ac:dyDescent="0.3">
      <c r="A1970" s="5">
        <v>44322</v>
      </c>
      <c r="B1970">
        <v>38</v>
      </c>
    </row>
    <row r="1971" spans="1:2" x14ac:dyDescent="0.3">
      <c r="A1971" s="5">
        <v>44323</v>
      </c>
      <c r="B1971">
        <v>38</v>
      </c>
    </row>
    <row r="1972" spans="1:2" x14ac:dyDescent="0.3">
      <c r="A1972" s="5">
        <v>44324</v>
      </c>
      <c r="B1972">
        <v>38</v>
      </c>
    </row>
    <row r="1973" spans="1:2" x14ac:dyDescent="0.3">
      <c r="A1973" s="5">
        <v>44325</v>
      </c>
      <c r="B1973">
        <v>38</v>
      </c>
    </row>
    <row r="1974" spans="1:2" x14ac:dyDescent="0.3">
      <c r="A1974" s="5">
        <v>44326</v>
      </c>
      <c r="B1974">
        <v>38</v>
      </c>
    </row>
    <row r="1975" spans="1:2" x14ac:dyDescent="0.3">
      <c r="A1975" s="5">
        <v>44327</v>
      </c>
      <c r="B1975">
        <v>38</v>
      </c>
    </row>
    <row r="1976" spans="1:2" x14ac:dyDescent="0.3">
      <c r="A1976" s="5">
        <v>44328</v>
      </c>
      <c r="B1976">
        <v>38</v>
      </c>
    </row>
    <row r="1977" spans="1:2" x14ac:dyDescent="0.3">
      <c r="A1977" s="5">
        <v>44329</v>
      </c>
      <c r="B1977">
        <v>38</v>
      </c>
    </row>
    <row r="1978" spans="1:2" x14ac:dyDescent="0.3">
      <c r="A1978" s="5">
        <v>44330</v>
      </c>
      <c r="B1978">
        <v>38</v>
      </c>
    </row>
    <row r="1979" spans="1:2" x14ac:dyDescent="0.3">
      <c r="A1979" s="5">
        <v>44331</v>
      </c>
      <c r="B1979">
        <v>38</v>
      </c>
    </row>
    <row r="1980" spans="1:2" x14ac:dyDescent="0.3">
      <c r="A1980" s="5">
        <v>44332</v>
      </c>
      <c r="B1980">
        <v>38</v>
      </c>
    </row>
    <row r="1981" spans="1:2" x14ac:dyDescent="0.3">
      <c r="A1981" s="5">
        <v>44333</v>
      </c>
      <c r="B1981">
        <v>38</v>
      </c>
    </row>
    <row r="1982" spans="1:2" x14ac:dyDescent="0.3">
      <c r="A1982" s="5">
        <v>44334</v>
      </c>
      <c r="B1982">
        <v>38</v>
      </c>
    </row>
    <row r="1983" spans="1:2" x14ac:dyDescent="0.3">
      <c r="A1983" s="5">
        <v>44335</v>
      </c>
      <c r="B1983">
        <v>38</v>
      </c>
    </row>
    <row r="1984" spans="1:2" x14ac:dyDescent="0.3">
      <c r="A1984" s="5">
        <v>44336</v>
      </c>
      <c r="B1984">
        <v>38</v>
      </c>
    </row>
    <row r="1985" spans="1:2" x14ac:dyDescent="0.3">
      <c r="A1985" s="5">
        <v>44337</v>
      </c>
      <c r="B1985">
        <v>38</v>
      </c>
    </row>
    <row r="1986" spans="1:2" x14ac:dyDescent="0.3">
      <c r="A1986" s="5">
        <v>44338</v>
      </c>
      <c r="B1986">
        <v>38</v>
      </c>
    </row>
    <row r="1987" spans="1:2" x14ac:dyDescent="0.3">
      <c r="A1987" s="5">
        <v>44339</v>
      </c>
      <c r="B1987">
        <v>38</v>
      </c>
    </row>
    <row r="1988" spans="1:2" x14ac:dyDescent="0.3">
      <c r="A1988" s="5">
        <v>44340</v>
      </c>
      <c r="B1988">
        <v>38</v>
      </c>
    </row>
    <row r="1989" spans="1:2" x14ac:dyDescent="0.3">
      <c r="A1989" s="5">
        <v>44341</v>
      </c>
      <c r="B1989">
        <v>38</v>
      </c>
    </row>
    <row r="1990" spans="1:2" x14ac:dyDescent="0.3">
      <c r="A1990" s="5">
        <v>44342</v>
      </c>
      <c r="B1990">
        <v>38</v>
      </c>
    </row>
    <row r="1991" spans="1:2" x14ac:dyDescent="0.3">
      <c r="A1991" s="5">
        <v>44343</v>
      </c>
      <c r="B1991">
        <v>38</v>
      </c>
    </row>
    <row r="1992" spans="1:2" x14ac:dyDescent="0.3">
      <c r="A1992" s="5">
        <v>44344</v>
      </c>
      <c r="B1992">
        <v>38</v>
      </c>
    </row>
    <row r="1993" spans="1:2" x14ac:dyDescent="0.3">
      <c r="A1993" s="5">
        <v>44345</v>
      </c>
      <c r="B1993">
        <v>38</v>
      </c>
    </row>
    <row r="1994" spans="1:2" x14ac:dyDescent="0.3">
      <c r="A1994" s="5">
        <v>44346</v>
      </c>
      <c r="B1994">
        <v>38</v>
      </c>
    </row>
    <row r="1995" spans="1:2" x14ac:dyDescent="0.3">
      <c r="A1995" s="5">
        <v>44347</v>
      </c>
      <c r="B1995">
        <v>38</v>
      </c>
    </row>
    <row r="1996" spans="1:2" x14ac:dyDescent="0.3">
      <c r="A1996" s="5">
        <v>44348</v>
      </c>
      <c r="B1996">
        <v>38</v>
      </c>
    </row>
    <row r="1997" spans="1:2" x14ac:dyDescent="0.3">
      <c r="A1997" s="5">
        <v>44349</v>
      </c>
      <c r="B1997">
        <v>38</v>
      </c>
    </row>
    <row r="1998" spans="1:2" x14ac:dyDescent="0.3">
      <c r="A1998" s="5">
        <v>44350</v>
      </c>
      <c r="B1998">
        <v>38</v>
      </c>
    </row>
    <row r="1999" spans="1:2" x14ac:dyDescent="0.3">
      <c r="A1999" s="5">
        <v>44351</v>
      </c>
      <c r="B1999">
        <v>38</v>
      </c>
    </row>
    <row r="2000" spans="1:2" x14ac:dyDescent="0.3">
      <c r="A2000" s="5">
        <v>44352</v>
      </c>
      <c r="B2000">
        <v>38</v>
      </c>
    </row>
    <row r="2001" spans="1:2" x14ac:dyDescent="0.3">
      <c r="A2001" s="5">
        <v>44353</v>
      </c>
      <c r="B2001">
        <v>38</v>
      </c>
    </row>
    <row r="2002" spans="1:2" x14ac:dyDescent="0.3">
      <c r="A2002" s="5">
        <v>44354</v>
      </c>
      <c r="B2002">
        <v>38</v>
      </c>
    </row>
    <row r="2003" spans="1:2" x14ac:dyDescent="0.3">
      <c r="A2003" s="5">
        <v>44355</v>
      </c>
      <c r="B2003">
        <v>38</v>
      </c>
    </row>
    <row r="2004" spans="1:2" x14ac:dyDescent="0.3">
      <c r="A2004" s="5">
        <v>44356</v>
      </c>
      <c r="B2004">
        <v>38</v>
      </c>
    </row>
    <row r="2005" spans="1:2" x14ac:dyDescent="0.3">
      <c r="A2005" s="5">
        <v>44357</v>
      </c>
      <c r="B2005">
        <v>38</v>
      </c>
    </row>
    <row r="2006" spans="1:2" x14ac:dyDescent="0.3">
      <c r="A2006" s="5">
        <v>44358</v>
      </c>
      <c r="B2006">
        <v>38</v>
      </c>
    </row>
    <row r="2007" spans="1:2" x14ac:dyDescent="0.3">
      <c r="A2007" s="5">
        <v>44359</v>
      </c>
      <c r="B2007">
        <v>38</v>
      </c>
    </row>
    <row r="2008" spans="1:2" x14ac:dyDescent="0.3">
      <c r="A2008" s="5">
        <v>44360</v>
      </c>
      <c r="B2008">
        <v>38</v>
      </c>
    </row>
    <row r="2009" spans="1:2" x14ac:dyDescent="0.3">
      <c r="A2009" s="5">
        <v>44361</v>
      </c>
      <c r="B2009">
        <v>38</v>
      </c>
    </row>
    <row r="2010" spans="1:2" x14ac:dyDescent="0.3">
      <c r="A2010" s="5">
        <v>44362</v>
      </c>
      <c r="B2010">
        <v>38</v>
      </c>
    </row>
    <row r="2011" spans="1:2" x14ac:dyDescent="0.3">
      <c r="A2011" s="5">
        <v>44363</v>
      </c>
      <c r="B2011">
        <v>38</v>
      </c>
    </row>
    <row r="2012" spans="1:2" x14ac:dyDescent="0.3">
      <c r="A2012" s="5">
        <v>44364</v>
      </c>
      <c r="B2012">
        <v>38</v>
      </c>
    </row>
    <row r="2013" spans="1:2" x14ac:dyDescent="0.3">
      <c r="A2013" s="5">
        <v>44365</v>
      </c>
      <c r="B2013">
        <v>38</v>
      </c>
    </row>
    <row r="2014" spans="1:2" x14ac:dyDescent="0.3">
      <c r="A2014" s="5">
        <v>44366</v>
      </c>
      <c r="B2014">
        <v>38</v>
      </c>
    </row>
    <row r="2015" spans="1:2" x14ac:dyDescent="0.3">
      <c r="A2015" s="5">
        <v>44367</v>
      </c>
      <c r="B2015">
        <v>38</v>
      </c>
    </row>
    <row r="2016" spans="1:2" x14ac:dyDescent="0.3">
      <c r="A2016" s="5">
        <v>44368</v>
      </c>
      <c r="B2016">
        <v>38</v>
      </c>
    </row>
    <row r="2017" spans="1:2" x14ac:dyDescent="0.3">
      <c r="A2017" s="5">
        <v>44369</v>
      </c>
      <c r="B2017">
        <v>38</v>
      </c>
    </row>
    <row r="2018" spans="1:2" x14ac:dyDescent="0.3">
      <c r="A2018" s="5">
        <v>44370</v>
      </c>
      <c r="B2018">
        <v>38</v>
      </c>
    </row>
    <row r="2019" spans="1:2" x14ac:dyDescent="0.3">
      <c r="A2019" s="5">
        <v>44371</v>
      </c>
      <c r="B2019">
        <v>38</v>
      </c>
    </row>
    <row r="2020" spans="1:2" x14ac:dyDescent="0.3">
      <c r="A2020" s="5">
        <v>44372</v>
      </c>
      <c r="B2020">
        <v>38</v>
      </c>
    </row>
    <row r="2021" spans="1:2" x14ac:dyDescent="0.3">
      <c r="A2021" s="5">
        <v>44373</v>
      </c>
      <c r="B2021">
        <v>38</v>
      </c>
    </row>
    <row r="2022" spans="1:2" x14ac:dyDescent="0.3">
      <c r="A2022" s="5">
        <v>44374</v>
      </c>
      <c r="B2022">
        <v>38</v>
      </c>
    </row>
    <row r="2023" spans="1:2" x14ac:dyDescent="0.3">
      <c r="A2023" s="5">
        <v>44375</v>
      </c>
      <c r="B2023">
        <v>38</v>
      </c>
    </row>
    <row r="2024" spans="1:2" x14ac:dyDescent="0.3">
      <c r="A2024" s="5">
        <v>44376</v>
      </c>
      <c r="B2024">
        <v>38</v>
      </c>
    </row>
    <row r="2025" spans="1:2" x14ac:dyDescent="0.3">
      <c r="A2025" s="5">
        <v>44377</v>
      </c>
      <c r="B2025">
        <v>38</v>
      </c>
    </row>
    <row r="2026" spans="1:2" x14ac:dyDescent="0.3">
      <c r="A2026" s="5">
        <v>44378</v>
      </c>
      <c r="B2026">
        <v>38</v>
      </c>
    </row>
    <row r="2027" spans="1:2" x14ac:dyDescent="0.3">
      <c r="A2027" s="5">
        <v>44379</v>
      </c>
      <c r="B2027">
        <v>38</v>
      </c>
    </row>
    <row r="2028" spans="1:2" x14ac:dyDescent="0.3">
      <c r="A2028" s="5">
        <v>44380</v>
      </c>
      <c r="B2028">
        <v>38</v>
      </c>
    </row>
    <row r="2029" spans="1:2" x14ac:dyDescent="0.3">
      <c r="A2029" s="5">
        <v>44381</v>
      </c>
      <c r="B2029">
        <v>38</v>
      </c>
    </row>
    <row r="2030" spans="1:2" x14ac:dyDescent="0.3">
      <c r="A2030" s="5">
        <v>44382</v>
      </c>
      <c r="B2030">
        <v>38</v>
      </c>
    </row>
    <row r="2031" spans="1:2" x14ac:dyDescent="0.3">
      <c r="A2031" s="5">
        <v>44383</v>
      </c>
      <c r="B2031">
        <v>38</v>
      </c>
    </row>
    <row r="2032" spans="1:2" x14ac:dyDescent="0.3">
      <c r="A2032" s="5">
        <v>44384</v>
      </c>
      <c r="B2032">
        <v>38</v>
      </c>
    </row>
    <row r="2033" spans="1:2" x14ac:dyDescent="0.3">
      <c r="A2033" s="5">
        <v>44385</v>
      </c>
      <c r="B2033">
        <v>38</v>
      </c>
    </row>
    <row r="2034" spans="1:2" x14ac:dyDescent="0.3">
      <c r="A2034" s="5">
        <v>44386</v>
      </c>
      <c r="B2034">
        <v>38</v>
      </c>
    </row>
    <row r="2035" spans="1:2" x14ac:dyDescent="0.3">
      <c r="A2035" s="5">
        <v>44387</v>
      </c>
      <c r="B2035">
        <v>38</v>
      </c>
    </row>
    <row r="2036" spans="1:2" x14ac:dyDescent="0.3">
      <c r="A2036" s="5">
        <v>44388</v>
      </c>
      <c r="B2036">
        <v>38</v>
      </c>
    </row>
    <row r="2037" spans="1:2" x14ac:dyDescent="0.3">
      <c r="A2037" s="5">
        <v>44389</v>
      </c>
      <c r="B2037">
        <v>38</v>
      </c>
    </row>
    <row r="2038" spans="1:2" x14ac:dyDescent="0.3">
      <c r="A2038" s="5">
        <v>44390</v>
      </c>
      <c r="B2038">
        <v>38</v>
      </c>
    </row>
    <row r="2039" spans="1:2" x14ac:dyDescent="0.3">
      <c r="A2039" s="5">
        <v>44391</v>
      </c>
      <c r="B2039">
        <v>38</v>
      </c>
    </row>
    <row r="2040" spans="1:2" x14ac:dyDescent="0.3">
      <c r="A2040" s="5">
        <v>44392</v>
      </c>
      <c r="B2040">
        <v>38</v>
      </c>
    </row>
    <row r="2041" spans="1:2" x14ac:dyDescent="0.3">
      <c r="A2041" s="5">
        <v>44393</v>
      </c>
      <c r="B2041">
        <v>38</v>
      </c>
    </row>
    <row r="2042" spans="1:2" x14ac:dyDescent="0.3">
      <c r="A2042" s="5">
        <v>44394</v>
      </c>
      <c r="B2042">
        <v>38</v>
      </c>
    </row>
    <row r="2043" spans="1:2" x14ac:dyDescent="0.3">
      <c r="A2043" s="5">
        <v>44395</v>
      </c>
      <c r="B2043">
        <v>38</v>
      </c>
    </row>
    <row r="2044" spans="1:2" x14ac:dyDescent="0.3">
      <c r="A2044" s="5">
        <v>44396</v>
      </c>
      <c r="B2044">
        <v>38</v>
      </c>
    </row>
    <row r="2045" spans="1:2" x14ac:dyDescent="0.3">
      <c r="A2045" s="5">
        <v>44397</v>
      </c>
      <c r="B2045">
        <v>38</v>
      </c>
    </row>
    <row r="2046" spans="1:2" x14ac:dyDescent="0.3">
      <c r="A2046" s="5">
        <v>44398</v>
      </c>
      <c r="B2046">
        <v>38</v>
      </c>
    </row>
    <row r="2047" spans="1:2" x14ac:dyDescent="0.3">
      <c r="A2047" s="5">
        <v>44399</v>
      </c>
      <c r="B2047">
        <v>38</v>
      </c>
    </row>
    <row r="2048" spans="1:2" x14ac:dyDescent="0.3">
      <c r="A2048" s="5">
        <v>44400</v>
      </c>
      <c r="B2048">
        <v>38</v>
      </c>
    </row>
    <row r="2049" spans="1:2" x14ac:dyDescent="0.3">
      <c r="A2049" s="5">
        <v>44401</v>
      </c>
      <c r="B2049">
        <v>38</v>
      </c>
    </row>
    <row r="2050" spans="1:2" x14ac:dyDescent="0.3">
      <c r="A2050" s="5">
        <v>44402</v>
      </c>
      <c r="B2050">
        <v>38</v>
      </c>
    </row>
    <row r="2051" spans="1:2" x14ac:dyDescent="0.3">
      <c r="A2051" s="5">
        <v>44403</v>
      </c>
      <c r="B2051">
        <v>38</v>
      </c>
    </row>
    <row r="2052" spans="1:2" x14ac:dyDescent="0.3">
      <c r="A2052" s="5">
        <v>44404</v>
      </c>
      <c r="B2052">
        <v>38</v>
      </c>
    </row>
    <row r="2053" spans="1:2" x14ac:dyDescent="0.3">
      <c r="A2053" s="5">
        <v>44405</v>
      </c>
      <c r="B2053">
        <v>38</v>
      </c>
    </row>
    <row r="2054" spans="1:2" x14ac:dyDescent="0.3">
      <c r="A2054" s="5">
        <v>44406</v>
      </c>
      <c r="B2054">
        <v>38</v>
      </c>
    </row>
    <row r="2055" spans="1:2" x14ac:dyDescent="0.3">
      <c r="A2055" s="5">
        <v>44407</v>
      </c>
      <c r="B2055">
        <v>38</v>
      </c>
    </row>
    <row r="2056" spans="1:2" x14ac:dyDescent="0.3">
      <c r="A2056" s="5">
        <v>44408</v>
      </c>
      <c r="B2056">
        <v>38</v>
      </c>
    </row>
    <row r="2057" spans="1:2" x14ac:dyDescent="0.3">
      <c r="A2057" s="5">
        <v>44409</v>
      </c>
      <c r="B2057">
        <v>38</v>
      </c>
    </row>
    <row r="2058" spans="1:2" x14ac:dyDescent="0.3">
      <c r="A2058" s="5">
        <v>44410</v>
      </c>
      <c r="B2058">
        <v>38</v>
      </c>
    </row>
    <row r="2059" spans="1:2" x14ac:dyDescent="0.3">
      <c r="A2059" s="5">
        <v>44411</v>
      </c>
      <c r="B2059">
        <v>38</v>
      </c>
    </row>
    <row r="2060" spans="1:2" x14ac:dyDescent="0.3">
      <c r="A2060" s="5">
        <v>44412</v>
      </c>
      <c r="B2060">
        <v>38</v>
      </c>
    </row>
    <row r="2061" spans="1:2" x14ac:dyDescent="0.3">
      <c r="A2061" s="5">
        <v>44413</v>
      </c>
      <c r="B2061">
        <v>38</v>
      </c>
    </row>
    <row r="2062" spans="1:2" x14ac:dyDescent="0.3">
      <c r="A2062" s="5">
        <v>44414</v>
      </c>
      <c r="B2062">
        <v>38</v>
      </c>
    </row>
    <row r="2063" spans="1:2" x14ac:dyDescent="0.3">
      <c r="A2063" s="5">
        <v>44415</v>
      </c>
      <c r="B2063">
        <v>38</v>
      </c>
    </row>
    <row r="2064" spans="1:2" x14ac:dyDescent="0.3">
      <c r="A2064" s="5">
        <v>44416</v>
      </c>
      <c r="B2064">
        <v>38</v>
      </c>
    </row>
    <row r="2065" spans="1:2" x14ac:dyDescent="0.3">
      <c r="A2065" s="5">
        <v>44417</v>
      </c>
      <c r="B2065">
        <v>38</v>
      </c>
    </row>
    <row r="2066" spans="1:2" x14ac:dyDescent="0.3">
      <c r="A2066" s="5">
        <v>44418</v>
      </c>
      <c r="B2066">
        <v>38</v>
      </c>
    </row>
    <row r="2067" spans="1:2" x14ac:dyDescent="0.3">
      <c r="A2067" s="5">
        <v>44419</v>
      </c>
      <c r="B2067">
        <v>38</v>
      </c>
    </row>
    <row r="2068" spans="1:2" x14ac:dyDescent="0.3">
      <c r="A2068" s="5">
        <v>44420</v>
      </c>
      <c r="B2068">
        <v>38</v>
      </c>
    </row>
    <row r="2069" spans="1:2" x14ac:dyDescent="0.3">
      <c r="A2069" s="5">
        <v>44421</v>
      </c>
      <c r="B2069">
        <v>38</v>
      </c>
    </row>
    <row r="2070" spans="1:2" x14ac:dyDescent="0.3">
      <c r="A2070" s="5">
        <v>44422</v>
      </c>
      <c r="B2070">
        <v>38</v>
      </c>
    </row>
    <row r="2071" spans="1:2" x14ac:dyDescent="0.3">
      <c r="A2071" s="5">
        <v>44423</v>
      </c>
      <c r="B2071">
        <v>38</v>
      </c>
    </row>
    <row r="2072" spans="1:2" x14ac:dyDescent="0.3">
      <c r="A2072" s="5">
        <v>44424</v>
      </c>
      <c r="B2072">
        <v>38</v>
      </c>
    </row>
    <row r="2073" spans="1:2" x14ac:dyDescent="0.3">
      <c r="A2073" s="5">
        <v>44425</v>
      </c>
      <c r="B2073">
        <v>38</v>
      </c>
    </row>
    <row r="2074" spans="1:2" x14ac:dyDescent="0.3">
      <c r="A2074" s="5">
        <v>44426</v>
      </c>
      <c r="B2074">
        <v>38</v>
      </c>
    </row>
    <row r="2075" spans="1:2" x14ac:dyDescent="0.3">
      <c r="A2075" s="5">
        <v>44427</v>
      </c>
      <c r="B2075">
        <v>38</v>
      </c>
    </row>
    <row r="2076" spans="1:2" x14ac:dyDescent="0.3">
      <c r="A2076" s="5">
        <v>44428</v>
      </c>
      <c r="B2076">
        <v>38</v>
      </c>
    </row>
    <row r="2077" spans="1:2" x14ac:dyDescent="0.3">
      <c r="A2077" s="5">
        <v>44429</v>
      </c>
      <c r="B2077">
        <v>38</v>
      </c>
    </row>
    <row r="2078" spans="1:2" x14ac:dyDescent="0.3">
      <c r="A2078" s="5">
        <v>44430</v>
      </c>
      <c r="B2078">
        <v>38</v>
      </c>
    </row>
    <row r="2079" spans="1:2" x14ac:dyDescent="0.3">
      <c r="A2079" s="5">
        <v>44431</v>
      </c>
      <c r="B2079">
        <v>38</v>
      </c>
    </row>
    <row r="2080" spans="1:2" x14ac:dyDescent="0.3">
      <c r="A2080" s="5">
        <v>44432</v>
      </c>
      <c r="B2080">
        <v>38</v>
      </c>
    </row>
    <row r="2081" spans="1:2" x14ac:dyDescent="0.3">
      <c r="A2081" s="5">
        <v>44433</v>
      </c>
      <c r="B2081">
        <v>38</v>
      </c>
    </row>
    <row r="2082" spans="1:2" x14ac:dyDescent="0.3">
      <c r="A2082" s="5">
        <v>44434</v>
      </c>
      <c r="B2082">
        <v>38</v>
      </c>
    </row>
    <row r="2083" spans="1:2" x14ac:dyDescent="0.3">
      <c r="A2083" s="5">
        <v>44435</v>
      </c>
      <c r="B2083">
        <v>38</v>
      </c>
    </row>
    <row r="2084" spans="1:2" x14ac:dyDescent="0.3">
      <c r="A2084" s="5">
        <v>44436</v>
      </c>
      <c r="B2084">
        <v>38</v>
      </c>
    </row>
    <row r="2085" spans="1:2" x14ac:dyDescent="0.3">
      <c r="A2085" s="5">
        <v>44437</v>
      </c>
      <c r="B2085">
        <v>38</v>
      </c>
    </row>
    <row r="2086" spans="1:2" x14ac:dyDescent="0.3">
      <c r="A2086" s="5">
        <v>44438</v>
      </c>
      <c r="B2086">
        <v>38</v>
      </c>
    </row>
    <row r="2087" spans="1:2" x14ac:dyDescent="0.3">
      <c r="A2087" s="5">
        <v>44439</v>
      </c>
      <c r="B2087">
        <v>38</v>
      </c>
    </row>
    <row r="2088" spans="1:2" x14ac:dyDescent="0.3">
      <c r="A2088" s="5">
        <v>44440</v>
      </c>
      <c r="B2088">
        <v>38</v>
      </c>
    </row>
    <row r="2089" spans="1:2" x14ac:dyDescent="0.3">
      <c r="A2089" s="5">
        <v>44441</v>
      </c>
      <c r="B2089">
        <v>38</v>
      </c>
    </row>
    <row r="2090" spans="1:2" x14ac:dyDescent="0.3">
      <c r="A2090" s="5">
        <v>44442</v>
      </c>
      <c r="B2090">
        <v>38</v>
      </c>
    </row>
    <row r="2091" spans="1:2" x14ac:dyDescent="0.3">
      <c r="A2091" s="5">
        <v>44443</v>
      </c>
      <c r="B2091">
        <v>38</v>
      </c>
    </row>
    <row r="2092" spans="1:2" x14ac:dyDescent="0.3">
      <c r="A2092" s="5">
        <v>44444</v>
      </c>
      <c r="B2092">
        <v>38</v>
      </c>
    </row>
    <row r="2093" spans="1:2" x14ac:dyDescent="0.3">
      <c r="A2093" s="5">
        <v>44445</v>
      </c>
      <c r="B2093">
        <v>38</v>
      </c>
    </row>
    <row r="2094" spans="1:2" x14ac:dyDescent="0.3">
      <c r="A2094" s="5">
        <v>44446</v>
      </c>
      <c r="B2094">
        <v>38</v>
      </c>
    </row>
    <row r="2095" spans="1:2" x14ac:dyDescent="0.3">
      <c r="A2095" s="5">
        <v>44447</v>
      </c>
      <c r="B2095">
        <v>38</v>
      </c>
    </row>
    <row r="2096" spans="1:2" x14ac:dyDescent="0.3">
      <c r="A2096" s="5">
        <v>44448</v>
      </c>
      <c r="B2096">
        <v>38</v>
      </c>
    </row>
    <row r="2097" spans="1:2" x14ac:dyDescent="0.3">
      <c r="A2097" s="5">
        <v>44449</v>
      </c>
      <c r="B2097">
        <v>38</v>
      </c>
    </row>
    <row r="2098" spans="1:2" x14ac:dyDescent="0.3">
      <c r="A2098" s="5">
        <v>44450</v>
      </c>
      <c r="B2098">
        <v>38</v>
      </c>
    </row>
    <row r="2099" spans="1:2" x14ac:dyDescent="0.3">
      <c r="A2099" s="5">
        <v>44451</v>
      </c>
      <c r="B2099">
        <v>38</v>
      </c>
    </row>
    <row r="2100" spans="1:2" x14ac:dyDescent="0.3">
      <c r="A2100" s="5">
        <v>44452</v>
      </c>
      <c r="B2100">
        <v>38</v>
      </c>
    </row>
    <row r="2101" spans="1:2" x14ac:dyDescent="0.3">
      <c r="A2101" s="5">
        <v>44453</v>
      </c>
      <c r="B2101">
        <v>38</v>
      </c>
    </row>
    <row r="2102" spans="1:2" x14ac:dyDescent="0.3">
      <c r="A2102" s="5">
        <v>44454</v>
      </c>
      <c r="B2102">
        <v>38</v>
      </c>
    </row>
    <row r="2103" spans="1:2" x14ac:dyDescent="0.3">
      <c r="A2103" s="5">
        <v>44455</v>
      </c>
      <c r="B2103">
        <v>38</v>
      </c>
    </row>
    <row r="2104" spans="1:2" x14ac:dyDescent="0.3">
      <c r="A2104" s="5">
        <v>44456</v>
      </c>
      <c r="B2104">
        <v>38</v>
      </c>
    </row>
    <row r="2105" spans="1:2" x14ac:dyDescent="0.3">
      <c r="A2105" s="5">
        <v>44457</v>
      </c>
      <c r="B2105">
        <v>38</v>
      </c>
    </row>
    <row r="2106" spans="1:2" x14ac:dyDescent="0.3">
      <c r="A2106" s="5">
        <v>44458</v>
      </c>
      <c r="B2106">
        <v>38</v>
      </c>
    </row>
    <row r="2107" spans="1:2" x14ac:dyDescent="0.3">
      <c r="A2107" s="5">
        <v>44459</v>
      </c>
      <c r="B2107">
        <v>38</v>
      </c>
    </row>
    <row r="2108" spans="1:2" x14ac:dyDescent="0.3">
      <c r="A2108" s="5">
        <v>44460</v>
      </c>
      <c r="B2108">
        <v>38</v>
      </c>
    </row>
    <row r="2109" spans="1:2" x14ac:dyDescent="0.3">
      <c r="A2109" s="5">
        <v>44461</v>
      </c>
      <c r="B2109">
        <v>38</v>
      </c>
    </row>
    <row r="2110" spans="1:2" x14ac:dyDescent="0.3">
      <c r="A2110" s="5">
        <v>44462</v>
      </c>
      <c r="B2110">
        <v>38</v>
      </c>
    </row>
    <row r="2111" spans="1:2" x14ac:dyDescent="0.3">
      <c r="A2111" s="5">
        <v>44463</v>
      </c>
      <c r="B2111">
        <v>38</v>
      </c>
    </row>
    <row r="2112" spans="1:2" x14ac:dyDescent="0.3">
      <c r="A2112" s="5">
        <v>44464</v>
      </c>
      <c r="B2112">
        <v>38</v>
      </c>
    </row>
    <row r="2113" spans="1:2" x14ac:dyDescent="0.3">
      <c r="A2113" s="5">
        <v>44465</v>
      </c>
      <c r="B2113">
        <v>38</v>
      </c>
    </row>
    <row r="2114" spans="1:2" x14ac:dyDescent="0.3">
      <c r="A2114" s="5">
        <v>44466</v>
      </c>
      <c r="B2114">
        <v>38</v>
      </c>
    </row>
    <row r="2115" spans="1:2" x14ac:dyDescent="0.3">
      <c r="A2115" s="5">
        <v>44467</v>
      </c>
      <c r="B2115">
        <v>38</v>
      </c>
    </row>
    <row r="2116" spans="1:2" x14ac:dyDescent="0.3">
      <c r="A2116" s="5">
        <v>44468</v>
      </c>
      <c r="B2116">
        <v>38</v>
      </c>
    </row>
    <row r="2117" spans="1:2" x14ac:dyDescent="0.3">
      <c r="A2117" s="5">
        <v>44469</v>
      </c>
      <c r="B2117">
        <v>38</v>
      </c>
    </row>
    <row r="2118" spans="1:2" x14ac:dyDescent="0.3">
      <c r="A2118" s="5">
        <v>44470</v>
      </c>
      <c r="B2118">
        <v>38</v>
      </c>
    </row>
    <row r="2119" spans="1:2" x14ac:dyDescent="0.3">
      <c r="A2119" s="5">
        <v>44471</v>
      </c>
      <c r="B2119">
        <v>38</v>
      </c>
    </row>
    <row r="2120" spans="1:2" x14ac:dyDescent="0.3">
      <c r="A2120" s="5">
        <v>44472</v>
      </c>
      <c r="B2120">
        <v>38</v>
      </c>
    </row>
    <row r="2121" spans="1:2" x14ac:dyDescent="0.3">
      <c r="A2121" s="5">
        <v>44473</v>
      </c>
      <c r="B2121">
        <v>38</v>
      </c>
    </row>
    <row r="2122" spans="1:2" x14ac:dyDescent="0.3">
      <c r="A2122" s="5">
        <v>44474</v>
      </c>
      <c r="B2122">
        <v>38</v>
      </c>
    </row>
    <row r="2123" spans="1:2" x14ac:dyDescent="0.3">
      <c r="A2123" s="5">
        <v>44475</v>
      </c>
      <c r="B2123">
        <v>38</v>
      </c>
    </row>
    <row r="2124" spans="1:2" x14ac:dyDescent="0.3">
      <c r="A2124" s="5">
        <v>44476</v>
      </c>
      <c r="B2124">
        <v>38</v>
      </c>
    </row>
    <row r="2125" spans="1:2" x14ac:dyDescent="0.3">
      <c r="A2125" s="5">
        <v>44477</v>
      </c>
      <c r="B2125">
        <v>38</v>
      </c>
    </row>
    <row r="2126" spans="1:2" x14ac:dyDescent="0.3">
      <c r="A2126" s="5">
        <v>44478</v>
      </c>
      <c r="B2126">
        <v>38</v>
      </c>
    </row>
    <row r="2127" spans="1:2" x14ac:dyDescent="0.3">
      <c r="A2127" s="5">
        <v>44479</v>
      </c>
      <c r="B2127">
        <v>38</v>
      </c>
    </row>
    <row r="2128" spans="1:2" x14ac:dyDescent="0.3">
      <c r="A2128" s="5">
        <v>44480</v>
      </c>
      <c r="B2128">
        <v>38</v>
      </c>
    </row>
    <row r="2129" spans="1:2" x14ac:dyDescent="0.3">
      <c r="A2129" s="5">
        <v>44481</v>
      </c>
      <c r="B2129">
        <v>38</v>
      </c>
    </row>
    <row r="2130" spans="1:2" x14ac:dyDescent="0.3">
      <c r="A2130" s="5">
        <v>44482</v>
      </c>
      <c r="B2130">
        <v>38</v>
      </c>
    </row>
    <row r="2131" spans="1:2" x14ac:dyDescent="0.3">
      <c r="A2131" s="5">
        <v>44483</v>
      </c>
      <c r="B2131">
        <v>38</v>
      </c>
    </row>
    <row r="2132" spans="1:2" x14ac:dyDescent="0.3">
      <c r="A2132" s="5">
        <v>44484</v>
      </c>
      <c r="B2132">
        <v>38</v>
      </c>
    </row>
    <row r="2133" spans="1:2" x14ac:dyDescent="0.3">
      <c r="A2133" s="5">
        <v>44485</v>
      </c>
      <c r="B2133">
        <v>38</v>
      </c>
    </row>
    <row r="2134" spans="1:2" x14ac:dyDescent="0.3">
      <c r="A2134" s="5">
        <v>44486</v>
      </c>
      <c r="B2134">
        <v>38</v>
      </c>
    </row>
    <row r="2135" spans="1:2" x14ac:dyDescent="0.3">
      <c r="A2135" s="5">
        <v>44487</v>
      </c>
      <c r="B2135">
        <v>38</v>
      </c>
    </row>
    <row r="2136" spans="1:2" x14ac:dyDescent="0.3">
      <c r="A2136" s="5">
        <v>44488</v>
      </c>
      <c r="B2136">
        <v>38</v>
      </c>
    </row>
    <row r="2137" spans="1:2" x14ac:dyDescent="0.3">
      <c r="A2137" s="5">
        <v>44489</v>
      </c>
      <c r="B2137">
        <v>38</v>
      </c>
    </row>
    <row r="2138" spans="1:2" x14ac:dyDescent="0.3">
      <c r="A2138" s="5">
        <v>44490</v>
      </c>
      <c r="B2138">
        <v>38</v>
      </c>
    </row>
    <row r="2139" spans="1:2" x14ac:dyDescent="0.3">
      <c r="A2139" s="5">
        <v>44491</v>
      </c>
      <c r="B2139">
        <v>38</v>
      </c>
    </row>
    <row r="2140" spans="1:2" x14ac:dyDescent="0.3">
      <c r="A2140" s="5">
        <v>44492</v>
      </c>
      <c r="B2140">
        <v>38</v>
      </c>
    </row>
    <row r="2141" spans="1:2" x14ac:dyDescent="0.3">
      <c r="A2141" s="5">
        <v>44493</v>
      </c>
      <c r="B2141">
        <v>38</v>
      </c>
    </row>
    <row r="2142" spans="1:2" x14ac:dyDescent="0.3">
      <c r="A2142" s="5">
        <v>44494</v>
      </c>
      <c r="B2142">
        <v>38</v>
      </c>
    </row>
    <row r="2143" spans="1:2" x14ac:dyDescent="0.3">
      <c r="A2143" s="5">
        <v>44495</v>
      </c>
      <c r="B2143">
        <v>38</v>
      </c>
    </row>
    <row r="2144" spans="1:2" x14ac:dyDescent="0.3">
      <c r="A2144" s="5">
        <v>44496</v>
      </c>
      <c r="B2144">
        <v>38</v>
      </c>
    </row>
    <row r="2145" spans="1:2" x14ac:dyDescent="0.3">
      <c r="A2145" s="5">
        <v>44497</v>
      </c>
      <c r="B2145">
        <v>38</v>
      </c>
    </row>
    <row r="2146" spans="1:2" x14ac:dyDescent="0.3">
      <c r="A2146" s="5">
        <v>44498</v>
      </c>
      <c r="B2146">
        <v>38</v>
      </c>
    </row>
    <row r="2147" spans="1:2" x14ac:dyDescent="0.3">
      <c r="A2147" s="5">
        <v>44499</v>
      </c>
      <c r="B2147">
        <v>38</v>
      </c>
    </row>
    <row r="2148" spans="1:2" x14ac:dyDescent="0.3">
      <c r="A2148" s="5">
        <v>44500</v>
      </c>
      <c r="B2148">
        <v>38</v>
      </c>
    </row>
    <row r="2149" spans="1:2" x14ac:dyDescent="0.3">
      <c r="A2149" s="5">
        <v>44501</v>
      </c>
      <c r="B2149">
        <v>38</v>
      </c>
    </row>
    <row r="2150" spans="1:2" x14ac:dyDescent="0.3">
      <c r="A2150" s="5">
        <v>44502</v>
      </c>
      <c r="B2150">
        <v>38</v>
      </c>
    </row>
    <row r="2151" spans="1:2" x14ac:dyDescent="0.3">
      <c r="A2151" s="5">
        <v>44503</v>
      </c>
      <c r="B2151">
        <v>38</v>
      </c>
    </row>
    <row r="2152" spans="1:2" x14ac:dyDescent="0.3">
      <c r="A2152" s="5">
        <v>44504</v>
      </c>
      <c r="B2152">
        <v>38</v>
      </c>
    </row>
    <row r="2153" spans="1:2" x14ac:dyDescent="0.3">
      <c r="A2153" s="5">
        <v>44505</v>
      </c>
      <c r="B2153">
        <v>38</v>
      </c>
    </row>
    <row r="2154" spans="1:2" x14ac:dyDescent="0.3">
      <c r="A2154" s="5">
        <v>44506</v>
      </c>
      <c r="B2154">
        <v>38</v>
      </c>
    </row>
    <row r="2155" spans="1:2" x14ac:dyDescent="0.3">
      <c r="A2155" s="5">
        <v>44507</v>
      </c>
      <c r="B2155">
        <v>38</v>
      </c>
    </row>
    <row r="2156" spans="1:2" x14ac:dyDescent="0.3">
      <c r="A2156" s="5">
        <v>44508</v>
      </c>
      <c r="B2156">
        <v>38</v>
      </c>
    </row>
    <row r="2157" spans="1:2" x14ac:dyDescent="0.3">
      <c r="A2157" s="5">
        <v>44509</v>
      </c>
      <c r="B2157">
        <v>38</v>
      </c>
    </row>
    <row r="2158" spans="1:2" x14ac:dyDescent="0.3">
      <c r="A2158" s="5">
        <v>44510</v>
      </c>
      <c r="B2158">
        <v>38</v>
      </c>
    </row>
    <row r="2159" spans="1:2" x14ac:dyDescent="0.3">
      <c r="A2159" s="5">
        <v>44511</v>
      </c>
      <c r="B2159">
        <v>38</v>
      </c>
    </row>
    <row r="2160" spans="1:2" x14ac:dyDescent="0.3">
      <c r="A2160" s="5">
        <v>44512</v>
      </c>
      <c r="B2160">
        <v>38</v>
      </c>
    </row>
    <row r="2161" spans="1:2" x14ac:dyDescent="0.3">
      <c r="A2161" s="5">
        <v>44513</v>
      </c>
      <c r="B2161">
        <v>38</v>
      </c>
    </row>
    <row r="2162" spans="1:2" x14ac:dyDescent="0.3">
      <c r="A2162" s="5">
        <v>44514</v>
      </c>
      <c r="B2162">
        <v>38</v>
      </c>
    </row>
    <row r="2163" spans="1:2" x14ac:dyDescent="0.3">
      <c r="A2163" s="5">
        <v>44515</v>
      </c>
      <c r="B2163">
        <v>38</v>
      </c>
    </row>
    <row r="2164" spans="1:2" x14ac:dyDescent="0.3">
      <c r="A2164" s="5">
        <v>44516</v>
      </c>
      <c r="B2164">
        <v>38</v>
      </c>
    </row>
    <row r="2165" spans="1:2" x14ac:dyDescent="0.3">
      <c r="A2165" s="5">
        <v>44517</v>
      </c>
      <c r="B2165">
        <v>38</v>
      </c>
    </row>
    <row r="2166" spans="1:2" x14ac:dyDescent="0.3">
      <c r="A2166" s="5">
        <v>44518</v>
      </c>
      <c r="B2166">
        <v>38</v>
      </c>
    </row>
    <row r="2167" spans="1:2" x14ac:dyDescent="0.3">
      <c r="A2167" s="5">
        <v>44519</v>
      </c>
      <c r="B2167">
        <v>38</v>
      </c>
    </row>
    <row r="2168" spans="1:2" x14ac:dyDescent="0.3">
      <c r="A2168" s="5">
        <v>44520</v>
      </c>
      <c r="B2168">
        <v>38</v>
      </c>
    </row>
    <row r="2169" spans="1:2" x14ac:dyDescent="0.3">
      <c r="A2169" s="5">
        <v>44521</v>
      </c>
      <c r="B2169">
        <v>38</v>
      </c>
    </row>
    <row r="2170" spans="1:2" x14ac:dyDescent="0.3">
      <c r="A2170" s="5">
        <v>44522</v>
      </c>
      <c r="B2170">
        <v>38</v>
      </c>
    </row>
    <row r="2171" spans="1:2" x14ac:dyDescent="0.3">
      <c r="A2171" s="5">
        <v>44523</v>
      </c>
      <c r="B2171">
        <v>38</v>
      </c>
    </row>
    <row r="2172" spans="1:2" x14ac:dyDescent="0.3">
      <c r="A2172" s="5">
        <v>44524</v>
      </c>
      <c r="B2172">
        <v>38</v>
      </c>
    </row>
    <row r="2173" spans="1:2" x14ac:dyDescent="0.3">
      <c r="A2173" s="5">
        <v>44525</v>
      </c>
      <c r="B2173">
        <v>38</v>
      </c>
    </row>
    <row r="2174" spans="1:2" x14ac:dyDescent="0.3">
      <c r="A2174" s="5">
        <v>44526</v>
      </c>
      <c r="B2174">
        <v>38</v>
      </c>
    </row>
    <row r="2175" spans="1:2" x14ac:dyDescent="0.3">
      <c r="A2175" s="5">
        <v>44527</v>
      </c>
      <c r="B2175">
        <v>38</v>
      </c>
    </row>
    <row r="2176" spans="1:2" x14ac:dyDescent="0.3">
      <c r="A2176" s="5">
        <v>44528</v>
      </c>
      <c r="B2176">
        <v>38</v>
      </c>
    </row>
    <row r="2177" spans="1:2" x14ac:dyDescent="0.3">
      <c r="A2177" s="5">
        <v>44529</v>
      </c>
      <c r="B2177">
        <v>38</v>
      </c>
    </row>
    <row r="2178" spans="1:2" x14ac:dyDescent="0.3">
      <c r="A2178" s="5">
        <v>44530</v>
      </c>
      <c r="B2178">
        <v>38</v>
      </c>
    </row>
    <row r="2179" spans="1:2" x14ac:dyDescent="0.3">
      <c r="A2179" s="5">
        <v>44531</v>
      </c>
      <c r="B2179">
        <v>38</v>
      </c>
    </row>
    <row r="2180" spans="1:2" x14ac:dyDescent="0.3">
      <c r="A2180" s="5">
        <v>44532</v>
      </c>
      <c r="B2180">
        <v>38</v>
      </c>
    </row>
    <row r="2181" spans="1:2" x14ac:dyDescent="0.3">
      <c r="A2181" s="5">
        <v>44533</v>
      </c>
      <c r="B2181">
        <v>38</v>
      </c>
    </row>
    <row r="2182" spans="1:2" x14ac:dyDescent="0.3">
      <c r="A2182" s="5">
        <v>44534</v>
      </c>
      <c r="B2182">
        <v>38</v>
      </c>
    </row>
    <row r="2183" spans="1:2" x14ac:dyDescent="0.3">
      <c r="A2183" s="5">
        <v>44535</v>
      </c>
      <c r="B2183">
        <v>38</v>
      </c>
    </row>
    <row r="2184" spans="1:2" x14ac:dyDescent="0.3">
      <c r="A2184" s="5">
        <v>44536</v>
      </c>
      <c r="B2184">
        <v>38</v>
      </c>
    </row>
    <row r="2185" spans="1:2" x14ac:dyDescent="0.3">
      <c r="A2185" s="5">
        <v>44537</v>
      </c>
      <c r="B2185">
        <v>38</v>
      </c>
    </row>
    <row r="2186" spans="1:2" x14ac:dyDescent="0.3">
      <c r="A2186" s="5">
        <v>44538</v>
      </c>
      <c r="B2186">
        <v>38</v>
      </c>
    </row>
    <row r="2187" spans="1:2" x14ac:dyDescent="0.3">
      <c r="A2187" s="5">
        <v>44539</v>
      </c>
      <c r="B2187">
        <v>38</v>
      </c>
    </row>
    <row r="2188" spans="1:2" x14ac:dyDescent="0.3">
      <c r="A2188" s="5">
        <v>44540</v>
      </c>
      <c r="B2188">
        <v>38</v>
      </c>
    </row>
    <row r="2189" spans="1:2" x14ac:dyDescent="0.3">
      <c r="A2189" s="5">
        <v>44541</v>
      </c>
      <c r="B2189">
        <v>38</v>
      </c>
    </row>
    <row r="2190" spans="1:2" x14ac:dyDescent="0.3">
      <c r="A2190" s="5">
        <v>44542</v>
      </c>
      <c r="B2190">
        <v>38</v>
      </c>
    </row>
    <row r="2191" spans="1:2" x14ac:dyDescent="0.3">
      <c r="A2191" s="5">
        <v>44543</v>
      </c>
      <c r="B2191">
        <v>38</v>
      </c>
    </row>
    <row r="2192" spans="1:2" x14ac:dyDescent="0.3">
      <c r="A2192" s="5">
        <v>44544</v>
      </c>
      <c r="B2192">
        <v>38</v>
      </c>
    </row>
    <row r="2193" spans="1:2" x14ac:dyDescent="0.3">
      <c r="A2193" s="5">
        <v>44545</v>
      </c>
      <c r="B2193">
        <v>38</v>
      </c>
    </row>
    <row r="2194" spans="1:2" x14ac:dyDescent="0.3">
      <c r="A2194" s="5">
        <v>44546</v>
      </c>
      <c r="B2194">
        <v>38</v>
      </c>
    </row>
    <row r="2195" spans="1:2" x14ac:dyDescent="0.3">
      <c r="A2195" s="5">
        <v>44547</v>
      </c>
      <c r="B2195">
        <v>38</v>
      </c>
    </row>
    <row r="2196" spans="1:2" x14ac:dyDescent="0.3">
      <c r="A2196" s="5">
        <v>44548</v>
      </c>
      <c r="B2196">
        <v>38</v>
      </c>
    </row>
    <row r="2197" spans="1:2" x14ac:dyDescent="0.3">
      <c r="A2197" s="5">
        <v>44549</v>
      </c>
      <c r="B2197">
        <v>38</v>
      </c>
    </row>
    <row r="2198" spans="1:2" x14ac:dyDescent="0.3">
      <c r="A2198" s="5">
        <v>44550</v>
      </c>
      <c r="B2198">
        <v>38</v>
      </c>
    </row>
    <row r="2199" spans="1:2" x14ac:dyDescent="0.3">
      <c r="A2199" s="5">
        <v>44551</v>
      </c>
      <c r="B2199">
        <v>38</v>
      </c>
    </row>
    <row r="2200" spans="1:2" x14ac:dyDescent="0.3">
      <c r="A2200" s="5">
        <v>44552</v>
      </c>
      <c r="B2200">
        <v>38</v>
      </c>
    </row>
    <row r="2201" spans="1:2" x14ac:dyDescent="0.3">
      <c r="A2201" s="5">
        <v>44553</v>
      </c>
      <c r="B2201">
        <v>38</v>
      </c>
    </row>
    <row r="2202" spans="1:2" x14ac:dyDescent="0.3">
      <c r="A2202" s="5">
        <v>44554</v>
      </c>
      <c r="B2202">
        <v>38</v>
      </c>
    </row>
    <row r="2203" spans="1:2" x14ac:dyDescent="0.3">
      <c r="A2203" s="5">
        <v>44555</v>
      </c>
      <c r="B2203">
        <v>38</v>
      </c>
    </row>
    <row r="2204" spans="1:2" x14ac:dyDescent="0.3">
      <c r="A2204" s="5">
        <v>44556</v>
      </c>
      <c r="B2204">
        <v>38</v>
      </c>
    </row>
    <row r="2205" spans="1:2" x14ac:dyDescent="0.3">
      <c r="A2205" s="5">
        <v>44557</v>
      </c>
      <c r="B2205">
        <v>38</v>
      </c>
    </row>
    <row r="2206" spans="1:2" x14ac:dyDescent="0.3">
      <c r="A2206" s="5">
        <v>44558</v>
      </c>
      <c r="B2206">
        <v>38</v>
      </c>
    </row>
    <row r="2207" spans="1:2" x14ac:dyDescent="0.3">
      <c r="A2207" s="5">
        <v>44559</v>
      </c>
      <c r="B2207">
        <v>38</v>
      </c>
    </row>
    <row r="2208" spans="1:2" x14ac:dyDescent="0.3">
      <c r="A2208" s="5">
        <v>44560</v>
      </c>
      <c r="B2208">
        <v>38</v>
      </c>
    </row>
    <row r="2209" spans="1:2" x14ac:dyDescent="0.3">
      <c r="A2209" s="5">
        <v>44561</v>
      </c>
      <c r="B2209">
        <v>38</v>
      </c>
    </row>
    <row r="2210" spans="1:2" x14ac:dyDescent="0.3">
      <c r="A2210" s="5">
        <v>44562</v>
      </c>
      <c r="B2210">
        <v>38</v>
      </c>
    </row>
    <row r="2211" spans="1:2" x14ac:dyDescent="0.3">
      <c r="A2211" s="5">
        <v>44563</v>
      </c>
      <c r="B2211">
        <v>38</v>
      </c>
    </row>
    <row r="2212" spans="1:2" x14ac:dyDescent="0.3">
      <c r="A2212" s="5">
        <v>44564</v>
      </c>
      <c r="B2212">
        <v>38</v>
      </c>
    </row>
    <row r="2213" spans="1:2" x14ac:dyDescent="0.3">
      <c r="A2213" s="5">
        <v>44565</v>
      </c>
      <c r="B2213">
        <v>38</v>
      </c>
    </row>
    <row r="2214" spans="1:2" x14ac:dyDescent="0.3">
      <c r="A2214" s="5">
        <v>44566</v>
      </c>
      <c r="B2214">
        <v>38</v>
      </c>
    </row>
    <row r="2215" spans="1:2" x14ac:dyDescent="0.3">
      <c r="A2215" s="5">
        <v>44567</v>
      </c>
      <c r="B2215">
        <v>40</v>
      </c>
    </row>
    <row r="2216" spans="1:2" x14ac:dyDescent="0.3">
      <c r="A2216" s="5">
        <v>44568</v>
      </c>
      <c r="B2216">
        <v>40</v>
      </c>
    </row>
    <row r="2217" spans="1:2" x14ac:dyDescent="0.3">
      <c r="A2217" s="5">
        <v>44569</v>
      </c>
      <c r="B2217">
        <v>40</v>
      </c>
    </row>
    <row r="2218" spans="1:2" x14ac:dyDescent="0.3">
      <c r="A2218" s="5">
        <v>44570</v>
      </c>
      <c r="B2218">
        <v>40</v>
      </c>
    </row>
    <row r="2219" spans="1:2" x14ac:dyDescent="0.3">
      <c r="A2219" s="5">
        <v>44571</v>
      </c>
      <c r="B2219">
        <v>40</v>
      </c>
    </row>
    <row r="2220" spans="1:2" x14ac:dyDescent="0.3">
      <c r="A2220" s="5">
        <v>44572</v>
      </c>
      <c r="B2220">
        <v>40</v>
      </c>
    </row>
    <row r="2221" spans="1:2" x14ac:dyDescent="0.3">
      <c r="A2221" s="5">
        <v>44573</v>
      </c>
      <c r="B2221">
        <v>40</v>
      </c>
    </row>
    <row r="2222" spans="1:2" x14ac:dyDescent="0.3">
      <c r="A2222" s="5">
        <v>44574</v>
      </c>
      <c r="B2222">
        <v>40</v>
      </c>
    </row>
    <row r="2223" spans="1:2" x14ac:dyDescent="0.3">
      <c r="A2223" s="5">
        <v>44575</v>
      </c>
      <c r="B2223">
        <v>40</v>
      </c>
    </row>
    <row r="2224" spans="1:2" x14ac:dyDescent="0.3">
      <c r="A2224" s="5">
        <v>44576</v>
      </c>
      <c r="B2224">
        <v>40</v>
      </c>
    </row>
    <row r="2225" spans="1:2" x14ac:dyDescent="0.3">
      <c r="A2225" s="5">
        <v>44577</v>
      </c>
      <c r="B2225">
        <v>40</v>
      </c>
    </row>
    <row r="2226" spans="1:2" x14ac:dyDescent="0.3">
      <c r="A2226" s="5">
        <v>44578</v>
      </c>
      <c r="B2226">
        <v>40</v>
      </c>
    </row>
    <row r="2227" spans="1:2" x14ac:dyDescent="0.3">
      <c r="A2227" s="5">
        <v>44579</v>
      </c>
      <c r="B2227">
        <v>40</v>
      </c>
    </row>
    <row r="2228" spans="1:2" x14ac:dyDescent="0.3">
      <c r="A2228" s="5">
        <v>44580</v>
      </c>
      <c r="B2228">
        <v>40</v>
      </c>
    </row>
    <row r="2229" spans="1:2" x14ac:dyDescent="0.3">
      <c r="A2229" s="5">
        <v>44581</v>
      </c>
      <c r="B2229">
        <v>40</v>
      </c>
    </row>
    <row r="2230" spans="1:2" x14ac:dyDescent="0.3">
      <c r="A2230" s="5">
        <v>44582</v>
      </c>
      <c r="B2230">
        <v>40</v>
      </c>
    </row>
    <row r="2231" spans="1:2" x14ac:dyDescent="0.3">
      <c r="A2231" s="5">
        <v>44583</v>
      </c>
      <c r="B2231">
        <v>40</v>
      </c>
    </row>
    <row r="2232" spans="1:2" x14ac:dyDescent="0.3">
      <c r="A2232" s="5">
        <v>44584</v>
      </c>
      <c r="B2232">
        <v>40</v>
      </c>
    </row>
    <row r="2233" spans="1:2" x14ac:dyDescent="0.3">
      <c r="A2233" s="5">
        <v>44585</v>
      </c>
      <c r="B2233">
        <v>40</v>
      </c>
    </row>
    <row r="2234" spans="1:2" x14ac:dyDescent="0.3">
      <c r="A2234" s="5">
        <v>44586</v>
      </c>
      <c r="B2234">
        <v>40</v>
      </c>
    </row>
    <row r="2235" spans="1:2" x14ac:dyDescent="0.3">
      <c r="A2235" s="5">
        <v>44587</v>
      </c>
      <c r="B2235">
        <v>40</v>
      </c>
    </row>
    <row r="2236" spans="1:2" x14ac:dyDescent="0.3">
      <c r="A2236" s="5">
        <v>44588</v>
      </c>
      <c r="B2236">
        <v>40</v>
      </c>
    </row>
    <row r="2237" spans="1:2" x14ac:dyDescent="0.3">
      <c r="A2237" s="5">
        <v>44589</v>
      </c>
      <c r="B2237">
        <v>40</v>
      </c>
    </row>
    <row r="2238" spans="1:2" x14ac:dyDescent="0.3">
      <c r="A2238" s="5">
        <v>44590</v>
      </c>
      <c r="B2238">
        <v>40</v>
      </c>
    </row>
    <row r="2239" spans="1:2" x14ac:dyDescent="0.3">
      <c r="A2239" s="5">
        <v>44591</v>
      </c>
      <c r="B2239">
        <v>40</v>
      </c>
    </row>
    <row r="2240" spans="1:2" x14ac:dyDescent="0.3">
      <c r="A2240" s="5">
        <v>44592</v>
      </c>
      <c r="B2240">
        <v>40</v>
      </c>
    </row>
    <row r="2241" spans="1:2" x14ac:dyDescent="0.3">
      <c r="A2241" s="5">
        <v>44593</v>
      </c>
      <c r="B2241">
        <v>40</v>
      </c>
    </row>
    <row r="2242" spans="1:2" x14ac:dyDescent="0.3">
      <c r="A2242" s="5">
        <v>44594</v>
      </c>
      <c r="B2242">
        <v>40</v>
      </c>
    </row>
    <row r="2243" spans="1:2" x14ac:dyDescent="0.3">
      <c r="A2243" s="5">
        <v>44595</v>
      </c>
      <c r="B2243">
        <v>40</v>
      </c>
    </row>
    <row r="2244" spans="1:2" x14ac:dyDescent="0.3">
      <c r="A2244" s="5">
        <v>44596</v>
      </c>
      <c r="B2244">
        <v>40</v>
      </c>
    </row>
    <row r="2245" spans="1:2" x14ac:dyDescent="0.3">
      <c r="A2245" s="5">
        <v>44597</v>
      </c>
      <c r="B2245">
        <v>40</v>
      </c>
    </row>
    <row r="2246" spans="1:2" x14ac:dyDescent="0.3">
      <c r="A2246" s="5">
        <v>44598</v>
      </c>
      <c r="B2246">
        <v>40</v>
      </c>
    </row>
    <row r="2247" spans="1:2" x14ac:dyDescent="0.3">
      <c r="A2247" s="5">
        <v>44599</v>
      </c>
      <c r="B2247">
        <v>40</v>
      </c>
    </row>
    <row r="2248" spans="1:2" x14ac:dyDescent="0.3">
      <c r="A2248" s="5">
        <v>44600</v>
      </c>
      <c r="B2248">
        <v>40</v>
      </c>
    </row>
    <row r="2249" spans="1:2" x14ac:dyDescent="0.3">
      <c r="A2249" s="5">
        <v>44601</v>
      </c>
      <c r="B2249">
        <v>40</v>
      </c>
    </row>
    <row r="2250" spans="1:2" x14ac:dyDescent="0.3">
      <c r="A2250" s="5">
        <v>44602</v>
      </c>
      <c r="B2250">
        <v>40</v>
      </c>
    </row>
    <row r="2251" spans="1:2" x14ac:dyDescent="0.3">
      <c r="A2251" s="5">
        <v>44603</v>
      </c>
      <c r="B2251">
        <v>40</v>
      </c>
    </row>
    <row r="2252" spans="1:2" x14ac:dyDescent="0.3">
      <c r="A2252" s="5">
        <v>44604</v>
      </c>
      <c r="B2252">
        <v>40</v>
      </c>
    </row>
    <row r="2253" spans="1:2" x14ac:dyDescent="0.3">
      <c r="A2253" s="5">
        <v>44605</v>
      </c>
      <c r="B2253">
        <v>40</v>
      </c>
    </row>
    <row r="2254" spans="1:2" x14ac:dyDescent="0.3">
      <c r="A2254" s="5">
        <v>44606</v>
      </c>
      <c r="B2254">
        <v>40</v>
      </c>
    </row>
    <row r="2255" spans="1:2" x14ac:dyDescent="0.3">
      <c r="A2255" s="5">
        <v>44607</v>
      </c>
      <c r="B2255">
        <v>40</v>
      </c>
    </row>
    <row r="2256" spans="1:2" x14ac:dyDescent="0.3">
      <c r="A2256" s="5">
        <v>44608</v>
      </c>
      <c r="B2256">
        <v>40</v>
      </c>
    </row>
    <row r="2257" spans="1:2" x14ac:dyDescent="0.3">
      <c r="A2257" s="5">
        <v>44609</v>
      </c>
      <c r="B2257">
        <v>42.5</v>
      </c>
    </row>
    <row r="2258" spans="1:2" x14ac:dyDescent="0.3">
      <c r="A2258" s="5">
        <v>44610</v>
      </c>
      <c r="B2258">
        <v>42.5</v>
      </c>
    </row>
    <row r="2259" spans="1:2" x14ac:dyDescent="0.3">
      <c r="A2259" s="5">
        <v>44611</v>
      </c>
      <c r="B2259">
        <v>42.5</v>
      </c>
    </row>
    <row r="2260" spans="1:2" x14ac:dyDescent="0.3">
      <c r="A2260" s="5">
        <v>44612</v>
      </c>
      <c r="B2260">
        <v>42.5</v>
      </c>
    </row>
    <row r="2261" spans="1:2" x14ac:dyDescent="0.3">
      <c r="A2261" s="5">
        <v>44613</v>
      </c>
      <c r="B2261">
        <v>42.5</v>
      </c>
    </row>
    <row r="2262" spans="1:2" x14ac:dyDescent="0.3">
      <c r="A2262" s="5">
        <v>44614</v>
      </c>
      <c r="B2262">
        <v>42.5</v>
      </c>
    </row>
    <row r="2263" spans="1:2" x14ac:dyDescent="0.3">
      <c r="A2263" s="5">
        <v>44615</v>
      </c>
      <c r="B2263">
        <v>42.5</v>
      </c>
    </row>
    <row r="2264" spans="1:2" x14ac:dyDescent="0.3">
      <c r="A2264" s="5">
        <v>44616</v>
      </c>
      <c r="B2264">
        <v>42.5</v>
      </c>
    </row>
    <row r="2265" spans="1:2" x14ac:dyDescent="0.3">
      <c r="A2265" s="5">
        <v>44617</v>
      </c>
      <c r="B2265">
        <v>42.5</v>
      </c>
    </row>
    <row r="2266" spans="1:2" x14ac:dyDescent="0.3">
      <c r="A2266" s="5">
        <v>44618</v>
      </c>
      <c r="B2266">
        <v>42.5</v>
      </c>
    </row>
    <row r="2267" spans="1:2" x14ac:dyDescent="0.3">
      <c r="A2267" s="5">
        <v>44619</v>
      </c>
      <c r="B2267">
        <v>42.5</v>
      </c>
    </row>
    <row r="2268" spans="1:2" x14ac:dyDescent="0.3">
      <c r="A2268" s="5">
        <v>44620</v>
      </c>
      <c r="B2268">
        <v>42.5</v>
      </c>
    </row>
    <row r="2269" spans="1:2" x14ac:dyDescent="0.3">
      <c r="A2269" s="5">
        <v>44621</v>
      </c>
      <c r="B2269">
        <v>42.5</v>
      </c>
    </row>
    <row r="2270" spans="1:2" x14ac:dyDescent="0.3">
      <c r="A2270" s="5">
        <v>44622</v>
      </c>
      <c r="B2270">
        <v>42.5</v>
      </c>
    </row>
    <row r="2271" spans="1:2" x14ac:dyDescent="0.3">
      <c r="A2271" s="5">
        <v>44623</v>
      </c>
      <c r="B2271">
        <v>42.5</v>
      </c>
    </row>
    <row r="2272" spans="1:2" x14ac:dyDescent="0.3">
      <c r="A2272" s="5">
        <v>44624</v>
      </c>
      <c r="B2272">
        <v>42.5</v>
      </c>
    </row>
    <row r="2273" spans="1:2" x14ac:dyDescent="0.3">
      <c r="A2273" s="5">
        <v>44625</v>
      </c>
      <c r="B2273">
        <v>42.5</v>
      </c>
    </row>
    <row r="2274" spans="1:2" x14ac:dyDescent="0.3">
      <c r="A2274" s="5">
        <v>44626</v>
      </c>
      <c r="B2274">
        <v>42.5</v>
      </c>
    </row>
    <row r="2275" spans="1:2" x14ac:dyDescent="0.3">
      <c r="A2275" s="5">
        <v>44627</v>
      </c>
      <c r="B2275">
        <v>42.5</v>
      </c>
    </row>
    <row r="2276" spans="1:2" x14ac:dyDescent="0.3">
      <c r="A2276" s="5">
        <v>44628</v>
      </c>
      <c r="B2276">
        <v>42.5</v>
      </c>
    </row>
    <row r="2277" spans="1:2" x14ac:dyDescent="0.3">
      <c r="A2277" s="5">
        <v>44629</v>
      </c>
      <c r="B2277">
        <v>42.5</v>
      </c>
    </row>
    <row r="2278" spans="1:2" x14ac:dyDescent="0.3">
      <c r="A2278" s="5">
        <v>44630</v>
      </c>
      <c r="B2278">
        <v>42.5</v>
      </c>
    </row>
    <row r="2279" spans="1:2" x14ac:dyDescent="0.3">
      <c r="A2279" s="5">
        <v>44631</v>
      </c>
      <c r="B2279">
        <v>42.5</v>
      </c>
    </row>
    <row r="2280" spans="1:2" x14ac:dyDescent="0.3">
      <c r="A2280" s="5">
        <v>44632</v>
      </c>
      <c r="B2280">
        <v>42.5</v>
      </c>
    </row>
    <row r="2281" spans="1:2" x14ac:dyDescent="0.3">
      <c r="A2281" s="5">
        <v>44633</v>
      </c>
      <c r="B2281">
        <v>42.5</v>
      </c>
    </row>
    <row r="2282" spans="1:2" x14ac:dyDescent="0.3">
      <c r="A2282" s="5">
        <v>44634</v>
      </c>
      <c r="B2282">
        <v>42.5</v>
      </c>
    </row>
    <row r="2283" spans="1:2" x14ac:dyDescent="0.3">
      <c r="A2283" s="5">
        <v>44635</v>
      </c>
      <c r="B2283">
        <v>42.5</v>
      </c>
    </row>
    <row r="2284" spans="1:2" x14ac:dyDescent="0.3">
      <c r="A2284" s="5">
        <v>44636</v>
      </c>
      <c r="B2284">
        <v>42.5</v>
      </c>
    </row>
    <row r="2285" spans="1:2" x14ac:dyDescent="0.3">
      <c r="A2285" s="5">
        <v>44637</v>
      </c>
      <c r="B2285">
        <v>42.5</v>
      </c>
    </row>
    <row r="2286" spans="1:2" x14ac:dyDescent="0.3">
      <c r="A2286" s="5">
        <v>44638</v>
      </c>
      <c r="B2286">
        <v>42.5</v>
      </c>
    </row>
    <row r="2287" spans="1:2" x14ac:dyDescent="0.3">
      <c r="A2287" s="5">
        <v>44639</v>
      </c>
      <c r="B2287">
        <v>42.5</v>
      </c>
    </row>
    <row r="2288" spans="1:2" x14ac:dyDescent="0.3">
      <c r="A2288" s="5">
        <v>44640</v>
      </c>
      <c r="B2288">
        <v>42.5</v>
      </c>
    </row>
    <row r="2289" spans="1:2" x14ac:dyDescent="0.3">
      <c r="A2289" s="5">
        <v>44641</v>
      </c>
      <c r="B2289">
        <v>42.5</v>
      </c>
    </row>
    <row r="2290" spans="1:2" x14ac:dyDescent="0.3">
      <c r="A2290" s="5">
        <v>44642</v>
      </c>
      <c r="B2290">
        <v>44.5</v>
      </c>
    </row>
    <row r="2291" spans="1:2" x14ac:dyDescent="0.3">
      <c r="A2291" s="5">
        <v>44643</v>
      </c>
      <c r="B2291">
        <v>44.5</v>
      </c>
    </row>
    <row r="2292" spans="1:2" x14ac:dyDescent="0.3">
      <c r="A2292" s="5">
        <v>44644</v>
      </c>
      <c r="B2292">
        <v>44.5</v>
      </c>
    </row>
    <row r="2293" spans="1:2" x14ac:dyDescent="0.3">
      <c r="A2293" s="5">
        <v>44645</v>
      </c>
      <c r="B2293">
        <v>44.5</v>
      </c>
    </row>
    <row r="2294" spans="1:2" x14ac:dyDescent="0.3">
      <c r="A2294" s="5">
        <v>44646</v>
      </c>
      <c r="B2294">
        <v>44.5</v>
      </c>
    </row>
    <row r="2295" spans="1:2" x14ac:dyDescent="0.3">
      <c r="A2295" s="5">
        <v>44647</v>
      </c>
      <c r="B2295">
        <v>44.5</v>
      </c>
    </row>
    <row r="2296" spans="1:2" x14ac:dyDescent="0.3">
      <c r="A2296" s="5">
        <v>44648</v>
      </c>
      <c r="B2296">
        <v>44.5</v>
      </c>
    </row>
    <row r="2297" spans="1:2" x14ac:dyDescent="0.3">
      <c r="A2297" s="5">
        <v>44649</v>
      </c>
      <c r="B2297">
        <v>44.5</v>
      </c>
    </row>
    <row r="2298" spans="1:2" x14ac:dyDescent="0.3">
      <c r="A2298" s="5">
        <v>44650</v>
      </c>
      <c r="B2298">
        <v>44.5</v>
      </c>
    </row>
    <row r="2299" spans="1:2" x14ac:dyDescent="0.3">
      <c r="A2299" s="5">
        <v>44651</v>
      </c>
      <c r="B2299">
        <v>44.5</v>
      </c>
    </row>
    <row r="2300" spans="1:2" x14ac:dyDescent="0.3">
      <c r="A2300" s="5">
        <v>44652</v>
      </c>
      <c r="B2300">
        <v>44.5</v>
      </c>
    </row>
    <row r="2301" spans="1:2" x14ac:dyDescent="0.3">
      <c r="A2301" s="5">
        <v>44653</v>
      </c>
      <c r="B2301">
        <v>44.5</v>
      </c>
    </row>
    <row r="2302" spans="1:2" x14ac:dyDescent="0.3">
      <c r="A2302" s="5">
        <v>44654</v>
      </c>
      <c r="B2302">
        <v>44.5</v>
      </c>
    </row>
    <row r="2303" spans="1:2" x14ac:dyDescent="0.3">
      <c r="A2303" s="5">
        <v>44655</v>
      </c>
      <c r="B2303">
        <v>44.5</v>
      </c>
    </row>
    <row r="2304" spans="1:2" x14ac:dyDescent="0.3">
      <c r="A2304" s="5">
        <v>44656</v>
      </c>
      <c r="B2304">
        <v>44.5</v>
      </c>
    </row>
    <row r="2305" spans="1:2" x14ac:dyDescent="0.3">
      <c r="A2305" s="5">
        <v>44657</v>
      </c>
      <c r="B2305">
        <v>44.5</v>
      </c>
    </row>
    <row r="2306" spans="1:2" x14ac:dyDescent="0.3">
      <c r="A2306" s="5">
        <v>44658</v>
      </c>
      <c r="B2306">
        <v>44.5</v>
      </c>
    </row>
    <row r="2307" spans="1:2" x14ac:dyDescent="0.3">
      <c r="A2307" s="5">
        <v>44659</v>
      </c>
      <c r="B2307">
        <v>44.5</v>
      </c>
    </row>
    <row r="2308" spans="1:2" x14ac:dyDescent="0.3">
      <c r="A2308" s="5">
        <v>44660</v>
      </c>
      <c r="B2308">
        <v>44.5</v>
      </c>
    </row>
    <row r="2309" spans="1:2" x14ac:dyDescent="0.3">
      <c r="A2309" s="5">
        <v>44661</v>
      </c>
      <c r="B2309">
        <v>44.5</v>
      </c>
    </row>
    <row r="2310" spans="1:2" x14ac:dyDescent="0.3">
      <c r="A2310" s="5">
        <v>44662</v>
      </c>
      <c r="B2310">
        <v>44.5</v>
      </c>
    </row>
    <row r="2311" spans="1:2" x14ac:dyDescent="0.3">
      <c r="A2311" s="5">
        <v>44663</v>
      </c>
      <c r="B2311">
        <v>44.5</v>
      </c>
    </row>
    <row r="2312" spans="1:2" x14ac:dyDescent="0.3">
      <c r="A2312" s="5">
        <v>44664</v>
      </c>
      <c r="B2312">
        <v>47</v>
      </c>
    </row>
    <row r="2313" spans="1:2" x14ac:dyDescent="0.3">
      <c r="A2313" s="5">
        <v>44665</v>
      </c>
      <c r="B2313">
        <v>47</v>
      </c>
    </row>
    <row r="2314" spans="1:2" x14ac:dyDescent="0.3">
      <c r="A2314" s="5">
        <v>44666</v>
      </c>
      <c r="B2314">
        <v>47</v>
      </c>
    </row>
    <row r="2315" spans="1:2" x14ac:dyDescent="0.3">
      <c r="A2315" s="5">
        <v>44667</v>
      </c>
      <c r="B2315">
        <v>47</v>
      </c>
    </row>
    <row r="2316" spans="1:2" x14ac:dyDescent="0.3">
      <c r="A2316" s="5">
        <v>44668</v>
      </c>
      <c r="B2316">
        <v>47</v>
      </c>
    </row>
    <row r="2317" spans="1:2" x14ac:dyDescent="0.3">
      <c r="A2317" s="5">
        <v>44669</v>
      </c>
      <c r="B2317">
        <v>47</v>
      </c>
    </row>
    <row r="2318" spans="1:2" x14ac:dyDescent="0.3">
      <c r="A2318" s="5">
        <v>44670</v>
      </c>
      <c r="B2318">
        <v>47</v>
      </c>
    </row>
    <row r="2319" spans="1:2" x14ac:dyDescent="0.3">
      <c r="A2319" s="5">
        <v>44671</v>
      </c>
      <c r="B2319">
        <v>47</v>
      </c>
    </row>
    <row r="2320" spans="1:2" x14ac:dyDescent="0.3">
      <c r="A2320" s="5">
        <v>44672</v>
      </c>
      <c r="B2320">
        <v>47</v>
      </c>
    </row>
    <row r="2321" spans="1:2" x14ac:dyDescent="0.3">
      <c r="A2321" s="5">
        <v>44673</v>
      </c>
      <c r="B2321">
        <v>47</v>
      </c>
    </row>
    <row r="2322" spans="1:2" x14ac:dyDescent="0.3">
      <c r="A2322" s="5">
        <v>44674</v>
      </c>
      <c r="B2322">
        <v>47</v>
      </c>
    </row>
    <row r="2323" spans="1:2" x14ac:dyDescent="0.3">
      <c r="A2323" s="5">
        <v>44675</v>
      </c>
      <c r="B2323">
        <v>47</v>
      </c>
    </row>
    <row r="2324" spans="1:2" x14ac:dyDescent="0.3">
      <c r="A2324" s="5">
        <v>44676</v>
      </c>
      <c r="B2324">
        <v>47</v>
      </c>
    </row>
    <row r="2325" spans="1:2" x14ac:dyDescent="0.3">
      <c r="A2325" s="5">
        <v>44677</v>
      </c>
      <c r="B2325">
        <v>47</v>
      </c>
    </row>
    <row r="2326" spans="1:2" x14ac:dyDescent="0.3">
      <c r="A2326" s="5">
        <v>44678</v>
      </c>
      <c r="B2326">
        <v>47</v>
      </c>
    </row>
    <row r="2327" spans="1:2" x14ac:dyDescent="0.3">
      <c r="A2327" s="5">
        <v>44679</v>
      </c>
      <c r="B2327">
        <v>47</v>
      </c>
    </row>
    <row r="2328" spans="1:2" x14ac:dyDescent="0.3">
      <c r="A2328" s="5">
        <v>44680</v>
      </c>
      <c r="B2328">
        <v>47</v>
      </c>
    </row>
    <row r="2329" spans="1:2" x14ac:dyDescent="0.3">
      <c r="A2329" s="5">
        <v>44681</v>
      </c>
      <c r="B2329">
        <v>47</v>
      </c>
    </row>
    <row r="2330" spans="1:2" x14ac:dyDescent="0.3">
      <c r="A2330" s="5">
        <v>44682</v>
      </c>
      <c r="B2330">
        <v>47</v>
      </c>
    </row>
    <row r="2331" spans="1:2" x14ac:dyDescent="0.3">
      <c r="A2331" s="5">
        <v>44683</v>
      </c>
      <c r="B2331">
        <v>47</v>
      </c>
    </row>
    <row r="2332" spans="1:2" x14ac:dyDescent="0.3">
      <c r="A2332" s="5">
        <v>44684</v>
      </c>
      <c r="B2332">
        <v>47</v>
      </c>
    </row>
    <row r="2333" spans="1:2" x14ac:dyDescent="0.3">
      <c r="A2333" s="5">
        <v>44685</v>
      </c>
      <c r="B2333">
        <v>47</v>
      </c>
    </row>
    <row r="2334" spans="1:2" x14ac:dyDescent="0.3">
      <c r="A2334" s="5">
        <v>44686</v>
      </c>
      <c r="B2334">
        <v>47</v>
      </c>
    </row>
    <row r="2335" spans="1:2" x14ac:dyDescent="0.3">
      <c r="A2335" s="5">
        <v>44687</v>
      </c>
      <c r="B2335">
        <v>47</v>
      </c>
    </row>
    <row r="2336" spans="1:2" x14ac:dyDescent="0.3">
      <c r="A2336" s="5">
        <v>44688</v>
      </c>
      <c r="B2336">
        <v>47</v>
      </c>
    </row>
    <row r="2337" spans="1:2" x14ac:dyDescent="0.3">
      <c r="A2337" s="5">
        <v>44689</v>
      </c>
      <c r="B2337">
        <v>47</v>
      </c>
    </row>
    <row r="2338" spans="1:2" x14ac:dyDescent="0.3">
      <c r="A2338" s="5">
        <v>44690</v>
      </c>
      <c r="B2338">
        <v>47</v>
      </c>
    </row>
    <row r="2339" spans="1:2" x14ac:dyDescent="0.3">
      <c r="A2339" s="5">
        <v>44691</v>
      </c>
      <c r="B2339">
        <v>47</v>
      </c>
    </row>
    <row r="2340" spans="1:2" x14ac:dyDescent="0.3">
      <c r="A2340" s="5">
        <v>44692</v>
      </c>
      <c r="B2340">
        <v>47</v>
      </c>
    </row>
    <row r="2341" spans="1:2" x14ac:dyDescent="0.3">
      <c r="A2341" s="5">
        <v>44693</v>
      </c>
      <c r="B2341">
        <v>49</v>
      </c>
    </row>
    <row r="2342" spans="1:2" x14ac:dyDescent="0.3">
      <c r="A2342" s="5">
        <v>44694</v>
      </c>
      <c r="B2342">
        <v>49</v>
      </c>
    </row>
    <row r="2343" spans="1:2" x14ac:dyDescent="0.3">
      <c r="A2343" s="5">
        <v>44695</v>
      </c>
      <c r="B2343">
        <v>49</v>
      </c>
    </row>
    <row r="2344" spans="1:2" x14ac:dyDescent="0.3">
      <c r="A2344" s="5">
        <v>44696</v>
      </c>
      <c r="B2344">
        <v>49</v>
      </c>
    </row>
    <row r="2345" spans="1:2" x14ac:dyDescent="0.3">
      <c r="A2345" s="5">
        <v>44697</v>
      </c>
      <c r="B2345">
        <v>49</v>
      </c>
    </row>
    <row r="2346" spans="1:2" x14ac:dyDescent="0.3">
      <c r="A2346" s="5">
        <v>44698</v>
      </c>
      <c r="B2346">
        <v>49</v>
      </c>
    </row>
    <row r="2347" spans="1:2" x14ac:dyDescent="0.3">
      <c r="A2347" s="5">
        <v>44699</v>
      </c>
      <c r="B2347">
        <v>49</v>
      </c>
    </row>
    <row r="2348" spans="1:2" x14ac:dyDescent="0.3">
      <c r="A2348" s="5">
        <v>44700</v>
      </c>
      <c r="B2348">
        <v>49</v>
      </c>
    </row>
    <row r="2349" spans="1:2" x14ac:dyDescent="0.3">
      <c r="A2349" s="5">
        <v>44701</v>
      </c>
      <c r="B2349">
        <v>49</v>
      </c>
    </row>
    <row r="2350" spans="1:2" x14ac:dyDescent="0.3">
      <c r="A2350" s="5">
        <v>44702</v>
      </c>
      <c r="B2350">
        <v>49</v>
      </c>
    </row>
    <row r="2351" spans="1:2" x14ac:dyDescent="0.3">
      <c r="A2351" s="5">
        <v>44703</v>
      </c>
      <c r="B2351">
        <v>49</v>
      </c>
    </row>
    <row r="2352" spans="1:2" x14ac:dyDescent="0.3">
      <c r="A2352" s="5">
        <v>44704</v>
      </c>
      <c r="B2352">
        <v>49</v>
      </c>
    </row>
    <row r="2353" spans="1:2" x14ac:dyDescent="0.3">
      <c r="A2353" s="5">
        <v>44705</v>
      </c>
      <c r="B2353">
        <v>49</v>
      </c>
    </row>
    <row r="2354" spans="1:2" x14ac:dyDescent="0.3">
      <c r="A2354" s="5">
        <v>44706</v>
      </c>
      <c r="B2354">
        <v>49</v>
      </c>
    </row>
    <row r="2355" spans="1:2" x14ac:dyDescent="0.3">
      <c r="A2355" s="5">
        <v>44707</v>
      </c>
      <c r="B2355">
        <v>49</v>
      </c>
    </row>
    <row r="2356" spans="1:2" x14ac:dyDescent="0.3">
      <c r="A2356" s="5">
        <v>44708</v>
      </c>
      <c r="B2356">
        <v>49</v>
      </c>
    </row>
    <row r="2357" spans="1:2" x14ac:dyDescent="0.3">
      <c r="A2357" s="5">
        <v>44709</v>
      </c>
      <c r="B2357">
        <v>49</v>
      </c>
    </row>
    <row r="2358" spans="1:2" x14ac:dyDescent="0.3">
      <c r="A2358" s="5">
        <v>44710</v>
      </c>
      <c r="B2358">
        <v>49</v>
      </c>
    </row>
    <row r="2359" spans="1:2" x14ac:dyDescent="0.3">
      <c r="A2359" s="5">
        <v>44711</v>
      </c>
      <c r="B2359">
        <v>49</v>
      </c>
    </row>
    <row r="2360" spans="1:2" x14ac:dyDescent="0.3">
      <c r="A2360" s="5">
        <v>44712</v>
      </c>
      <c r="B2360">
        <v>49</v>
      </c>
    </row>
    <row r="2361" spans="1:2" x14ac:dyDescent="0.3">
      <c r="A2361" s="5">
        <v>44713</v>
      </c>
      <c r="B2361">
        <v>49</v>
      </c>
    </row>
    <row r="2362" spans="1:2" x14ac:dyDescent="0.3">
      <c r="A2362" s="5">
        <v>44714</v>
      </c>
      <c r="B2362">
        <v>49</v>
      </c>
    </row>
    <row r="2363" spans="1:2" x14ac:dyDescent="0.3">
      <c r="A2363" s="5">
        <v>44715</v>
      </c>
      <c r="B2363">
        <v>49</v>
      </c>
    </row>
    <row r="2364" spans="1:2" x14ac:dyDescent="0.3">
      <c r="A2364" s="5">
        <v>44716</v>
      </c>
      <c r="B2364">
        <v>49</v>
      </c>
    </row>
    <row r="2365" spans="1:2" x14ac:dyDescent="0.3">
      <c r="A2365" s="5">
        <v>44717</v>
      </c>
      <c r="B2365">
        <v>49</v>
      </c>
    </row>
    <row r="2366" spans="1:2" x14ac:dyDescent="0.3">
      <c r="A2366" s="5">
        <v>44718</v>
      </c>
      <c r="B2366">
        <v>49</v>
      </c>
    </row>
    <row r="2367" spans="1:2" x14ac:dyDescent="0.3">
      <c r="A2367" s="5">
        <v>44719</v>
      </c>
      <c r="B2367">
        <v>49</v>
      </c>
    </row>
    <row r="2368" spans="1:2" x14ac:dyDescent="0.3">
      <c r="A2368" s="5">
        <v>44720</v>
      </c>
      <c r="B2368">
        <v>49</v>
      </c>
    </row>
    <row r="2369" spans="1:2" x14ac:dyDescent="0.3">
      <c r="A2369" s="5">
        <v>44721</v>
      </c>
      <c r="B2369">
        <v>49</v>
      </c>
    </row>
    <row r="2370" spans="1:2" x14ac:dyDescent="0.3">
      <c r="A2370" s="5">
        <v>44722</v>
      </c>
      <c r="B2370">
        <v>49</v>
      </c>
    </row>
    <row r="2371" spans="1:2" x14ac:dyDescent="0.3">
      <c r="A2371" s="5">
        <v>44723</v>
      </c>
      <c r="B2371">
        <v>49</v>
      </c>
    </row>
    <row r="2372" spans="1:2" x14ac:dyDescent="0.3">
      <c r="A2372" s="5">
        <v>44724</v>
      </c>
      <c r="B2372">
        <v>49</v>
      </c>
    </row>
    <row r="2373" spans="1:2" x14ac:dyDescent="0.3">
      <c r="A2373" s="5">
        <v>44725</v>
      </c>
      <c r="B2373">
        <v>49</v>
      </c>
    </row>
    <row r="2374" spans="1:2" x14ac:dyDescent="0.3">
      <c r="A2374" s="5">
        <v>44726</v>
      </c>
      <c r="B2374">
        <v>49</v>
      </c>
    </row>
    <row r="2375" spans="1:2" x14ac:dyDescent="0.3">
      <c r="A2375" s="5">
        <v>44727</v>
      </c>
      <c r="B2375">
        <v>49</v>
      </c>
    </row>
    <row r="2376" spans="1:2" x14ac:dyDescent="0.3">
      <c r="A2376" s="5">
        <v>44728</v>
      </c>
      <c r="B2376">
        <v>52</v>
      </c>
    </row>
    <row r="2377" spans="1:2" x14ac:dyDescent="0.3">
      <c r="A2377" s="5">
        <v>44729</v>
      </c>
      <c r="B2377">
        <v>52</v>
      </c>
    </row>
    <row r="2378" spans="1:2" x14ac:dyDescent="0.3">
      <c r="A2378" s="5">
        <v>44730</v>
      </c>
      <c r="B2378">
        <v>52</v>
      </c>
    </row>
    <row r="2379" spans="1:2" x14ac:dyDescent="0.3">
      <c r="A2379" s="5">
        <v>44731</v>
      </c>
      <c r="B2379">
        <v>52</v>
      </c>
    </row>
    <row r="2380" spans="1:2" x14ac:dyDescent="0.3">
      <c r="A2380" s="5">
        <v>44732</v>
      </c>
      <c r="B2380">
        <v>52</v>
      </c>
    </row>
    <row r="2381" spans="1:2" x14ac:dyDescent="0.3">
      <c r="A2381" s="5">
        <v>44733</v>
      </c>
      <c r="B2381">
        <v>52</v>
      </c>
    </row>
    <row r="2382" spans="1:2" x14ac:dyDescent="0.3">
      <c r="A2382" s="5">
        <v>44734</v>
      </c>
      <c r="B2382">
        <v>52</v>
      </c>
    </row>
    <row r="2383" spans="1:2" x14ac:dyDescent="0.3">
      <c r="A2383" s="5">
        <v>44735</v>
      </c>
      <c r="B2383">
        <v>52</v>
      </c>
    </row>
    <row r="2384" spans="1:2" x14ac:dyDescent="0.3">
      <c r="A2384" s="5">
        <v>44736</v>
      </c>
      <c r="B2384">
        <v>52</v>
      </c>
    </row>
    <row r="2385" spans="1:2" x14ac:dyDescent="0.3">
      <c r="A2385" s="5">
        <v>44737</v>
      </c>
      <c r="B2385">
        <v>52</v>
      </c>
    </row>
    <row r="2386" spans="1:2" x14ac:dyDescent="0.3">
      <c r="A2386" s="5">
        <v>44738</v>
      </c>
      <c r="B2386">
        <v>52</v>
      </c>
    </row>
    <row r="2387" spans="1:2" x14ac:dyDescent="0.3">
      <c r="A2387" s="5">
        <v>44739</v>
      </c>
      <c r="B2387">
        <v>52</v>
      </c>
    </row>
    <row r="2388" spans="1:2" x14ac:dyDescent="0.3">
      <c r="A2388" s="5">
        <v>44740</v>
      </c>
      <c r="B2388">
        <v>52</v>
      </c>
    </row>
    <row r="2389" spans="1:2" x14ac:dyDescent="0.3">
      <c r="A2389" s="5">
        <v>44741</v>
      </c>
      <c r="B2389">
        <v>52</v>
      </c>
    </row>
    <row r="2390" spans="1:2" x14ac:dyDescent="0.3">
      <c r="A2390" s="5">
        <v>44742</v>
      </c>
      <c r="B2390">
        <v>52</v>
      </c>
    </row>
    <row r="2391" spans="1:2" x14ac:dyDescent="0.3">
      <c r="A2391" s="5">
        <v>44743</v>
      </c>
      <c r="B2391">
        <v>52</v>
      </c>
    </row>
    <row r="2392" spans="1:2" x14ac:dyDescent="0.3">
      <c r="A2392" s="5">
        <v>44744</v>
      </c>
      <c r="B2392">
        <v>52</v>
      </c>
    </row>
    <row r="2393" spans="1:2" x14ac:dyDescent="0.3">
      <c r="A2393" s="5">
        <v>44745</v>
      </c>
      <c r="B2393">
        <v>52</v>
      </c>
    </row>
    <row r="2394" spans="1:2" x14ac:dyDescent="0.3">
      <c r="A2394" s="5">
        <v>44746</v>
      </c>
      <c r="B2394">
        <v>52</v>
      </c>
    </row>
    <row r="2395" spans="1:2" x14ac:dyDescent="0.3">
      <c r="A2395" s="5">
        <v>44747</v>
      </c>
      <c r="B2395">
        <v>52</v>
      </c>
    </row>
    <row r="2396" spans="1:2" x14ac:dyDescent="0.3">
      <c r="A2396" s="5">
        <v>44748</v>
      </c>
      <c r="B2396">
        <v>52</v>
      </c>
    </row>
    <row r="2397" spans="1:2" x14ac:dyDescent="0.3">
      <c r="A2397" s="5">
        <v>44749</v>
      </c>
      <c r="B2397">
        <v>52</v>
      </c>
    </row>
    <row r="2398" spans="1:2" x14ac:dyDescent="0.3">
      <c r="A2398" s="5">
        <v>44750</v>
      </c>
      <c r="B2398">
        <v>52</v>
      </c>
    </row>
    <row r="2399" spans="1:2" x14ac:dyDescent="0.3">
      <c r="A2399" s="5">
        <v>44751</v>
      </c>
      <c r="B2399">
        <v>52</v>
      </c>
    </row>
    <row r="2400" spans="1:2" x14ac:dyDescent="0.3">
      <c r="A2400" s="5">
        <v>44752</v>
      </c>
      <c r="B2400">
        <v>52</v>
      </c>
    </row>
    <row r="2401" spans="1:2" x14ac:dyDescent="0.3">
      <c r="A2401" s="5">
        <v>44753</v>
      </c>
      <c r="B2401">
        <v>52</v>
      </c>
    </row>
    <row r="2402" spans="1:2" x14ac:dyDescent="0.3">
      <c r="A2402" s="5">
        <v>44754</v>
      </c>
      <c r="B2402">
        <v>52</v>
      </c>
    </row>
    <row r="2403" spans="1:2" x14ac:dyDescent="0.3">
      <c r="A2403" s="5">
        <v>44755</v>
      </c>
      <c r="B2403">
        <v>52</v>
      </c>
    </row>
    <row r="2404" spans="1:2" x14ac:dyDescent="0.3">
      <c r="A2404" s="5">
        <v>44756</v>
      </c>
      <c r="B2404">
        <v>52</v>
      </c>
    </row>
    <row r="2405" spans="1:2" x14ac:dyDescent="0.3">
      <c r="A2405" s="5">
        <v>44757</v>
      </c>
      <c r="B2405">
        <v>52</v>
      </c>
    </row>
    <row r="2406" spans="1:2" x14ac:dyDescent="0.3">
      <c r="A2406" s="5">
        <v>44758</v>
      </c>
      <c r="B2406">
        <v>52</v>
      </c>
    </row>
    <row r="2407" spans="1:2" x14ac:dyDescent="0.3">
      <c r="A2407" s="5">
        <v>44759</v>
      </c>
      <c r="B2407">
        <v>52</v>
      </c>
    </row>
    <row r="2408" spans="1:2" x14ac:dyDescent="0.3">
      <c r="A2408" s="5">
        <v>44760</v>
      </c>
      <c r="B2408">
        <v>52</v>
      </c>
    </row>
    <row r="2409" spans="1:2" x14ac:dyDescent="0.3">
      <c r="A2409" s="5">
        <v>44761</v>
      </c>
      <c r="B2409">
        <v>52</v>
      </c>
    </row>
    <row r="2410" spans="1:2" x14ac:dyDescent="0.3">
      <c r="A2410" s="5">
        <v>44762</v>
      </c>
      <c r="B2410">
        <v>52</v>
      </c>
    </row>
    <row r="2411" spans="1:2" x14ac:dyDescent="0.3">
      <c r="A2411" s="5">
        <v>44763</v>
      </c>
      <c r="B2411">
        <v>52</v>
      </c>
    </row>
    <row r="2412" spans="1:2" x14ac:dyDescent="0.3">
      <c r="A2412" s="5">
        <v>44764</v>
      </c>
      <c r="B2412">
        <v>52</v>
      </c>
    </row>
    <row r="2413" spans="1:2" x14ac:dyDescent="0.3">
      <c r="A2413" s="5">
        <v>44765</v>
      </c>
      <c r="B2413">
        <v>52</v>
      </c>
    </row>
    <row r="2414" spans="1:2" x14ac:dyDescent="0.3">
      <c r="A2414" s="5">
        <v>44766</v>
      </c>
      <c r="B2414">
        <v>52</v>
      </c>
    </row>
    <row r="2415" spans="1:2" x14ac:dyDescent="0.3">
      <c r="A2415" s="5">
        <v>44767</v>
      </c>
      <c r="B2415">
        <v>52</v>
      </c>
    </row>
    <row r="2416" spans="1:2" x14ac:dyDescent="0.3">
      <c r="A2416" s="5">
        <v>44768</v>
      </c>
      <c r="B2416">
        <v>52</v>
      </c>
    </row>
    <row r="2417" spans="1:2" x14ac:dyDescent="0.3">
      <c r="A2417" s="5">
        <v>44769</v>
      </c>
      <c r="B2417">
        <v>52</v>
      </c>
    </row>
    <row r="2418" spans="1:2" x14ac:dyDescent="0.3">
      <c r="A2418" s="5">
        <v>44770</v>
      </c>
      <c r="B2418">
        <v>60</v>
      </c>
    </row>
    <row r="2419" spans="1:2" x14ac:dyDescent="0.3">
      <c r="A2419" s="5">
        <v>44771</v>
      </c>
      <c r="B2419">
        <v>60</v>
      </c>
    </row>
    <row r="2420" spans="1:2" x14ac:dyDescent="0.3">
      <c r="A2420" s="5">
        <v>44772</v>
      </c>
      <c r="B2420">
        <v>60</v>
      </c>
    </row>
    <row r="2421" spans="1:2" x14ac:dyDescent="0.3">
      <c r="A2421" s="5">
        <v>44773</v>
      </c>
      <c r="B2421">
        <v>60</v>
      </c>
    </row>
    <row r="2422" spans="1:2" x14ac:dyDescent="0.3">
      <c r="A2422" s="5">
        <v>44774</v>
      </c>
      <c r="B2422">
        <v>60</v>
      </c>
    </row>
    <row r="2423" spans="1:2" x14ac:dyDescent="0.3">
      <c r="A2423" s="5">
        <v>44775</v>
      </c>
      <c r="B2423">
        <v>60</v>
      </c>
    </row>
    <row r="2424" spans="1:2" x14ac:dyDescent="0.3">
      <c r="A2424" s="5">
        <v>44776</v>
      </c>
      <c r="B2424">
        <v>60</v>
      </c>
    </row>
    <row r="2425" spans="1:2" x14ac:dyDescent="0.3">
      <c r="A2425" s="5">
        <v>44777</v>
      </c>
      <c r="B2425">
        <v>60</v>
      </c>
    </row>
    <row r="2426" spans="1:2" x14ac:dyDescent="0.3">
      <c r="A2426" s="5">
        <v>44778</v>
      </c>
      <c r="B2426">
        <v>60</v>
      </c>
    </row>
    <row r="2427" spans="1:2" x14ac:dyDescent="0.3">
      <c r="A2427" s="5">
        <v>44779</v>
      </c>
      <c r="B2427">
        <v>60</v>
      </c>
    </row>
    <row r="2428" spans="1:2" x14ac:dyDescent="0.3">
      <c r="A2428" s="5">
        <v>44780</v>
      </c>
      <c r="B2428">
        <v>60</v>
      </c>
    </row>
    <row r="2429" spans="1:2" x14ac:dyDescent="0.3">
      <c r="A2429" s="5">
        <v>44781</v>
      </c>
      <c r="B2429">
        <v>60</v>
      </c>
    </row>
    <row r="2430" spans="1:2" x14ac:dyDescent="0.3">
      <c r="A2430" s="5">
        <v>44782</v>
      </c>
      <c r="B2430">
        <v>60</v>
      </c>
    </row>
    <row r="2431" spans="1:2" x14ac:dyDescent="0.3">
      <c r="A2431" s="5">
        <v>44783</v>
      </c>
      <c r="B2431">
        <v>60</v>
      </c>
    </row>
    <row r="2432" spans="1:2" x14ac:dyDescent="0.3">
      <c r="A2432" s="5">
        <v>44784</v>
      </c>
      <c r="B2432">
        <v>69.5</v>
      </c>
    </row>
    <row r="2433" spans="1:2" x14ac:dyDescent="0.3">
      <c r="A2433" s="5">
        <v>44785</v>
      </c>
      <c r="B2433">
        <v>69.5</v>
      </c>
    </row>
    <row r="2434" spans="1:2" x14ac:dyDescent="0.3">
      <c r="A2434" s="5">
        <v>44786</v>
      </c>
      <c r="B2434">
        <v>69.5</v>
      </c>
    </row>
    <row r="2435" spans="1:2" x14ac:dyDescent="0.3">
      <c r="A2435" s="5">
        <v>44787</v>
      </c>
      <c r="B2435">
        <v>69.5</v>
      </c>
    </row>
    <row r="2436" spans="1:2" x14ac:dyDescent="0.3">
      <c r="A2436" s="5">
        <v>44788</v>
      </c>
      <c r="B2436">
        <v>69.5</v>
      </c>
    </row>
    <row r="2437" spans="1:2" x14ac:dyDescent="0.3">
      <c r="A2437" s="5">
        <v>44789</v>
      </c>
      <c r="B2437">
        <v>69.5</v>
      </c>
    </row>
    <row r="2438" spans="1:2" x14ac:dyDescent="0.3">
      <c r="A2438" s="5">
        <v>44790</v>
      </c>
      <c r="B2438">
        <v>69.5</v>
      </c>
    </row>
    <row r="2439" spans="1:2" x14ac:dyDescent="0.3">
      <c r="A2439" s="5">
        <v>44791</v>
      </c>
      <c r="B2439">
        <v>69.5</v>
      </c>
    </row>
    <row r="2440" spans="1:2" x14ac:dyDescent="0.3">
      <c r="A2440" s="5">
        <v>44792</v>
      </c>
      <c r="B2440">
        <v>69.5</v>
      </c>
    </row>
    <row r="2441" spans="1:2" x14ac:dyDescent="0.3">
      <c r="A2441" s="5">
        <v>44793</v>
      </c>
      <c r="B2441">
        <v>69.5</v>
      </c>
    </row>
    <row r="2442" spans="1:2" x14ac:dyDescent="0.3">
      <c r="A2442" s="5">
        <v>44794</v>
      </c>
      <c r="B2442">
        <v>69.5</v>
      </c>
    </row>
    <row r="2443" spans="1:2" x14ac:dyDescent="0.3">
      <c r="A2443" s="5">
        <v>44795</v>
      </c>
      <c r="B2443">
        <v>69.5</v>
      </c>
    </row>
    <row r="2444" spans="1:2" x14ac:dyDescent="0.3">
      <c r="A2444" s="5">
        <v>44796</v>
      </c>
      <c r="B2444">
        <v>69.5</v>
      </c>
    </row>
    <row r="2445" spans="1:2" x14ac:dyDescent="0.3">
      <c r="A2445" s="5">
        <v>44797</v>
      </c>
      <c r="B2445">
        <v>69.5</v>
      </c>
    </row>
    <row r="2446" spans="1:2" x14ac:dyDescent="0.3">
      <c r="A2446" s="5">
        <v>44798</v>
      </c>
      <c r="B2446">
        <v>69.5</v>
      </c>
    </row>
    <row r="2447" spans="1:2" x14ac:dyDescent="0.3">
      <c r="A2447" s="5">
        <v>44799</v>
      </c>
      <c r="B2447">
        <v>69.5</v>
      </c>
    </row>
    <row r="2448" spans="1:2" x14ac:dyDescent="0.3">
      <c r="A2448" s="5">
        <v>44800</v>
      </c>
      <c r="B2448">
        <v>69.5</v>
      </c>
    </row>
    <row r="2449" spans="1:2" x14ac:dyDescent="0.3">
      <c r="A2449" s="5">
        <v>44801</v>
      </c>
      <c r="B2449">
        <v>69.5</v>
      </c>
    </row>
    <row r="2450" spans="1:2" x14ac:dyDescent="0.3">
      <c r="A2450" s="5">
        <v>44802</v>
      </c>
      <c r="B2450">
        <v>69.5</v>
      </c>
    </row>
    <row r="2451" spans="1:2" x14ac:dyDescent="0.3">
      <c r="A2451" s="5">
        <v>44803</v>
      </c>
      <c r="B2451">
        <v>69.5</v>
      </c>
    </row>
    <row r="2452" spans="1:2" x14ac:dyDescent="0.3">
      <c r="A2452" s="5">
        <v>44804</v>
      </c>
      <c r="B2452">
        <v>69.5</v>
      </c>
    </row>
    <row r="2453" spans="1:2" x14ac:dyDescent="0.3">
      <c r="A2453" s="5">
        <v>44805</v>
      </c>
      <c r="B2453">
        <v>69.5</v>
      </c>
    </row>
    <row r="2454" spans="1:2" x14ac:dyDescent="0.3">
      <c r="A2454" s="5">
        <v>44806</v>
      </c>
      <c r="B2454">
        <v>69.5</v>
      </c>
    </row>
    <row r="2455" spans="1:2" x14ac:dyDescent="0.3">
      <c r="A2455" s="5">
        <v>44807</v>
      </c>
      <c r="B2455">
        <v>69.5</v>
      </c>
    </row>
    <row r="2456" spans="1:2" x14ac:dyDescent="0.3">
      <c r="A2456" s="5">
        <v>44808</v>
      </c>
      <c r="B2456">
        <v>69.5</v>
      </c>
    </row>
    <row r="2457" spans="1:2" x14ac:dyDescent="0.3">
      <c r="A2457" s="5">
        <v>44809</v>
      </c>
      <c r="B2457">
        <v>69.5</v>
      </c>
    </row>
    <row r="2458" spans="1:2" x14ac:dyDescent="0.3">
      <c r="A2458" s="5">
        <v>44810</v>
      </c>
      <c r="B2458">
        <v>69.5</v>
      </c>
    </row>
    <row r="2459" spans="1:2" x14ac:dyDescent="0.3">
      <c r="A2459" s="5">
        <v>44811</v>
      </c>
      <c r="B2459">
        <v>69.5</v>
      </c>
    </row>
    <row r="2460" spans="1:2" x14ac:dyDescent="0.3">
      <c r="A2460" s="5">
        <v>44812</v>
      </c>
      <c r="B2460">
        <v>69.5</v>
      </c>
    </row>
    <row r="2461" spans="1:2" x14ac:dyDescent="0.3">
      <c r="A2461" s="5">
        <v>44813</v>
      </c>
      <c r="B2461">
        <v>69.5</v>
      </c>
    </row>
    <row r="2462" spans="1:2" x14ac:dyDescent="0.3">
      <c r="A2462" s="5">
        <v>44814</v>
      </c>
      <c r="B2462">
        <v>69.5</v>
      </c>
    </row>
    <row r="2463" spans="1:2" x14ac:dyDescent="0.3">
      <c r="A2463" s="5">
        <v>44815</v>
      </c>
      <c r="B2463">
        <v>69.5</v>
      </c>
    </row>
    <row r="2464" spans="1:2" x14ac:dyDescent="0.3">
      <c r="A2464" s="5">
        <v>44816</v>
      </c>
      <c r="B2464">
        <v>69.5</v>
      </c>
    </row>
    <row r="2465" spans="1:2" x14ac:dyDescent="0.3">
      <c r="A2465" s="5">
        <v>44817</v>
      </c>
      <c r="B2465">
        <v>69.5</v>
      </c>
    </row>
    <row r="2466" spans="1:2" x14ac:dyDescent="0.3">
      <c r="A2466" s="5">
        <v>44818</v>
      </c>
      <c r="B2466">
        <v>69.5</v>
      </c>
    </row>
    <row r="2467" spans="1:2" x14ac:dyDescent="0.3">
      <c r="A2467" s="5">
        <v>44819</v>
      </c>
      <c r="B2467">
        <v>75</v>
      </c>
    </row>
    <row r="2468" spans="1:2" x14ac:dyDescent="0.3">
      <c r="A2468" s="5">
        <v>44820</v>
      </c>
      <c r="B2468">
        <v>75</v>
      </c>
    </row>
    <row r="2469" spans="1:2" x14ac:dyDescent="0.3">
      <c r="A2469" s="5">
        <v>44821</v>
      </c>
      <c r="B2469">
        <v>75</v>
      </c>
    </row>
    <row r="2470" spans="1:2" x14ac:dyDescent="0.3">
      <c r="A2470" s="5">
        <v>44822</v>
      </c>
      <c r="B2470">
        <v>75</v>
      </c>
    </row>
    <row r="2471" spans="1:2" x14ac:dyDescent="0.3">
      <c r="A2471" s="5">
        <v>44823</v>
      </c>
      <c r="B2471">
        <v>75</v>
      </c>
    </row>
    <row r="2472" spans="1:2" x14ac:dyDescent="0.3">
      <c r="A2472" s="5">
        <v>44824</v>
      </c>
      <c r="B2472">
        <v>75</v>
      </c>
    </row>
    <row r="2473" spans="1:2" x14ac:dyDescent="0.3">
      <c r="A2473" s="5">
        <v>44825</v>
      </c>
      <c r="B2473">
        <v>75</v>
      </c>
    </row>
    <row r="2474" spans="1:2" x14ac:dyDescent="0.3">
      <c r="A2474" s="5">
        <v>44826</v>
      </c>
      <c r="B2474">
        <v>75</v>
      </c>
    </row>
    <row r="2475" spans="1:2" x14ac:dyDescent="0.3">
      <c r="A2475" s="5">
        <v>44827</v>
      </c>
      <c r="B2475">
        <v>75</v>
      </c>
    </row>
    <row r="2476" spans="1:2" x14ac:dyDescent="0.3">
      <c r="A2476" s="5">
        <v>44828</v>
      </c>
      <c r="B2476">
        <v>75</v>
      </c>
    </row>
    <row r="2477" spans="1:2" x14ac:dyDescent="0.3">
      <c r="A2477" s="5">
        <v>44829</v>
      </c>
      <c r="B2477">
        <v>75</v>
      </c>
    </row>
    <row r="2478" spans="1:2" x14ac:dyDescent="0.3">
      <c r="A2478" s="5">
        <v>44830</v>
      </c>
      <c r="B2478">
        <v>75</v>
      </c>
    </row>
    <row r="2479" spans="1:2" x14ac:dyDescent="0.3">
      <c r="A2479" s="5">
        <v>44831</v>
      </c>
      <c r="B2479">
        <v>75</v>
      </c>
    </row>
    <row r="2480" spans="1:2" x14ac:dyDescent="0.3">
      <c r="A2480" s="5">
        <v>44832</v>
      </c>
      <c r="B2480">
        <v>75</v>
      </c>
    </row>
    <row r="2481" spans="1:2" x14ac:dyDescent="0.3">
      <c r="A2481" s="5">
        <v>44833</v>
      </c>
      <c r="B2481">
        <v>75</v>
      </c>
    </row>
    <row r="2482" spans="1:2" x14ac:dyDescent="0.3">
      <c r="A2482" s="5">
        <v>44834</v>
      </c>
      <c r="B2482">
        <v>75</v>
      </c>
    </row>
    <row r="2483" spans="1:2" x14ac:dyDescent="0.3">
      <c r="A2483" s="5">
        <v>44835</v>
      </c>
      <c r="B2483">
        <v>75</v>
      </c>
    </row>
    <row r="2484" spans="1:2" x14ac:dyDescent="0.3">
      <c r="A2484" s="5">
        <v>44836</v>
      </c>
      <c r="B2484">
        <v>75</v>
      </c>
    </row>
    <row r="2485" spans="1:2" x14ac:dyDescent="0.3">
      <c r="A2485" s="5">
        <v>44837</v>
      </c>
      <c r="B2485">
        <v>75</v>
      </c>
    </row>
    <row r="2486" spans="1:2" x14ac:dyDescent="0.3">
      <c r="A2486" s="5">
        <v>44838</v>
      </c>
      <c r="B2486">
        <v>75</v>
      </c>
    </row>
    <row r="2487" spans="1:2" x14ac:dyDescent="0.3">
      <c r="A2487" s="5">
        <v>44839</v>
      </c>
      <c r="B2487">
        <v>75</v>
      </c>
    </row>
    <row r="2488" spans="1:2" x14ac:dyDescent="0.3">
      <c r="A2488" s="5">
        <v>44840</v>
      </c>
      <c r="B2488">
        <v>75</v>
      </c>
    </row>
    <row r="2489" spans="1:2" x14ac:dyDescent="0.3">
      <c r="A2489" s="5">
        <v>44841</v>
      </c>
      <c r="B2489">
        <v>75</v>
      </c>
    </row>
    <row r="2490" spans="1:2" x14ac:dyDescent="0.3">
      <c r="A2490" s="5">
        <v>44842</v>
      </c>
      <c r="B2490">
        <v>75</v>
      </c>
    </row>
    <row r="2491" spans="1:2" x14ac:dyDescent="0.3">
      <c r="A2491" s="5">
        <v>44843</v>
      </c>
      <c r="B2491">
        <v>75</v>
      </c>
    </row>
    <row r="2492" spans="1:2" x14ac:dyDescent="0.3">
      <c r="A2492" s="5">
        <v>44844</v>
      </c>
      <c r="B2492">
        <v>75</v>
      </c>
    </row>
    <row r="2493" spans="1:2" x14ac:dyDescent="0.3">
      <c r="A2493" s="5">
        <v>44845</v>
      </c>
      <c r="B2493">
        <v>75</v>
      </c>
    </row>
    <row r="2494" spans="1:2" x14ac:dyDescent="0.3">
      <c r="A2494" s="5">
        <v>44846</v>
      </c>
      <c r="B2494">
        <v>75</v>
      </c>
    </row>
    <row r="2495" spans="1:2" x14ac:dyDescent="0.3">
      <c r="A2495" s="5">
        <v>44847</v>
      </c>
      <c r="B2495">
        <v>75</v>
      </c>
    </row>
    <row r="2496" spans="1:2" x14ac:dyDescent="0.3">
      <c r="A2496" s="5">
        <v>44848</v>
      </c>
      <c r="B2496">
        <v>75</v>
      </c>
    </row>
    <row r="2497" spans="1:2" x14ac:dyDescent="0.3">
      <c r="A2497" s="5">
        <v>44849</v>
      </c>
      <c r="B2497">
        <v>75</v>
      </c>
    </row>
    <row r="2498" spans="1:2" x14ac:dyDescent="0.3">
      <c r="A2498" s="5">
        <v>44850</v>
      </c>
      <c r="B2498">
        <v>75</v>
      </c>
    </row>
    <row r="2499" spans="1:2" x14ac:dyDescent="0.3">
      <c r="A2499" s="5">
        <v>44851</v>
      </c>
      <c r="B2499">
        <v>75</v>
      </c>
    </row>
    <row r="2500" spans="1:2" x14ac:dyDescent="0.3">
      <c r="A2500" s="5">
        <v>44852</v>
      </c>
      <c r="B2500">
        <v>75</v>
      </c>
    </row>
    <row r="2501" spans="1:2" x14ac:dyDescent="0.3">
      <c r="A2501" s="5">
        <v>44853</v>
      </c>
      <c r="B2501">
        <v>75</v>
      </c>
    </row>
    <row r="2502" spans="1:2" x14ac:dyDescent="0.3">
      <c r="A2502" s="5">
        <v>44854</v>
      </c>
      <c r="B2502">
        <v>75</v>
      </c>
    </row>
    <row r="2503" spans="1:2" x14ac:dyDescent="0.3">
      <c r="A2503" s="5">
        <v>44855</v>
      </c>
      <c r="B2503">
        <v>75</v>
      </c>
    </row>
    <row r="2504" spans="1:2" x14ac:dyDescent="0.3">
      <c r="A2504" s="5">
        <v>44856</v>
      </c>
      <c r="B2504">
        <v>75</v>
      </c>
    </row>
    <row r="2505" spans="1:2" x14ac:dyDescent="0.3">
      <c r="A2505" s="5">
        <v>44857</v>
      </c>
      <c r="B2505">
        <v>75</v>
      </c>
    </row>
    <row r="2506" spans="1:2" x14ac:dyDescent="0.3">
      <c r="A2506" s="5">
        <v>44858</v>
      </c>
      <c r="B2506">
        <v>75</v>
      </c>
    </row>
    <row r="2507" spans="1:2" x14ac:dyDescent="0.3">
      <c r="A2507" s="5">
        <v>44859</v>
      </c>
      <c r="B2507">
        <v>75</v>
      </c>
    </row>
    <row r="2508" spans="1:2" x14ac:dyDescent="0.3">
      <c r="A2508" s="5">
        <v>44860</v>
      </c>
      <c r="B2508">
        <v>75</v>
      </c>
    </row>
    <row r="2509" spans="1:2" x14ac:dyDescent="0.3">
      <c r="A2509" s="5">
        <v>44861</v>
      </c>
      <c r="B2509">
        <v>75</v>
      </c>
    </row>
    <row r="2510" spans="1:2" x14ac:dyDescent="0.3">
      <c r="A2510" s="5">
        <v>44862</v>
      </c>
      <c r="B2510">
        <v>75</v>
      </c>
    </row>
    <row r="2511" spans="1:2" x14ac:dyDescent="0.3">
      <c r="A2511" s="5">
        <v>44863</v>
      </c>
      <c r="B2511">
        <v>75</v>
      </c>
    </row>
    <row r="2512" spans="1:2" x14ac:dyDescent="0.3">
      <c r="A2512" s="5">
        <v>44864</v>
      </c>
      <c r="B2512">
        <v>75</v>
      </c>
    </row>
    <row r="2513" spans="1:2" x14ac:dyDescent="0.3">
      <c r="A2513" s="5">
        <v>44865</v>
      </c>
      <c r="B2513">
        <v>75</v>
      </c>
    </row>
    <row r="2514" spans="1:2" x14ac:dyDescent="0.3">
      <c r="A2514" s="5">
        <v>44866</v>
      </c>
      <c r="B2514">
        <v>75</v>
      </c>
    </row>
    <row r="2515" spans="1:2" x14ac:dyDescent="0.3">
      <c r="A2515" s="5">
        <v>44867</v>
      </c>
      <c r="B2515">
        <v>75</v>
      </c>
    </row>
    <row r="2516" spans="1:2" x14ac:dyDescent="0.3">
      <c r="A2516" s="5">
        <v>44868</v>
      </c>
      <c r="B2516">
        <v>75</v>
      </c>
    </row>
    <row r="2517" spans="1:2" x14ac:dyDescent="0.3">
      <c r="A2517" s="5">
        <v>44869</v>
      </c>
      <c r="B2517">
        <v>75</v>
      </c>
    </row>
    <row r="2518" spans="1:2" x14ac:dyDescent="0.3">
      <c r="A2518" s="5">
        <v>44870</v>
      </c>
      <c r="B2518">
        <v>75</v>
      </c>
    </row>
    <row r="2519" spans="1:2" x14ac:dyDescent="0.3">
      <c r="A2519" s="5">
        <v>44871</v>
      </c>
      <c r="B2519">
        <v>75</v>
      </c>
    </row>
    <row r="2520" spans="1:2" x14ac:dyDescent="0.3">
      <c r="A2520" s="5">
        <v>44872</v>
      </c>
      <c r="B2520">
        <v>75</v>
      </c>
    </row>
    <row r="2521" spans="1:2" x14ac:dyDescent="0.3">
      <c r="A2521" s="5">
        <v>44873</v>
      </c>
      <c r="B2521">
        <v>75</v>
      </c>
    </row>
    <row r="2522" spans="1:2" x14ac:dyDescent="0.3">
      <c r="A2522" s="5">
        <v>44874</v>
      </c>
      <c r="B2522">
        <v>75</v>
      </c>
    </row>
    <row r="2523" spans="1:2" x14ac:dyDescent="0.3">
      <c r="A2523" s="5">
        <v>44875</v>
      </c>
      <c r="B2523">
        <v>75</v>
      </c>
    </row>
    <row r="2524" spans="1:2" x14ac:dyDescent="0.3">
      <c r="A2524" s="5">
        <v>44876</v>
      </c>
      <c r="B2524">
        <v>75</v>
      </c>
    </row>
    <row r="2525" spans="1:2" x14ac:dyDescent="0.3">
      <c r="A2525" s="5">
        <v>44877</v>
      </c>
      <c r="B2525">
        <v>75</v>
      </c>
    </row>
    <row r="2526" spans="1:2" x14ac:dyDescent="0.3">
      <c r="A2526" s="5">
        <v>44878</v>
      </c>
      <c r="B2526">
        <v>75</v>
      </c>
    </row>
    <row r="2527" spans="1:2" x14ac:dyDescent="0.3">
      <c r="A2527" s="5">
        <v>44879</v>
      </c>
      <c r="B2527">
        <v>75</v>
      </c>
    </row>
    <row r="2528" spans="1:2" x14ac:dyDescent="0.3">
      <c r="A2528" s="5">
        <v>44880</v>
      </c>
      <c r="B2528">
        <v>75</v>
      </c>
    </row>
    <row r="2529" spans="1:2" x14ac:dyDescent="0.3">
      <c r="A2529" s="5">
        <v>44881</v>
      </c>
      <c r="B2529">
        <v>75</v>
      </c>
    </row>
    <row r="2530" spans="1:2" x14ac:dyDescent="0.3">
      <c r="A2530" s="5">
        <v>44882</v>
      </c>
      <c r="B2530">
        <v>75</v>
      </c>
    </row>
    <row r="2531" spans="1:2" x14ac:dyDescent="0.3">
      <c r="A2531" s="5">
        <v>44883</v>
      </c>
      <c r="B2531">
        <v>75</v>
      </c>
    </row>
    <row r="2532" spans="1:2" x14ac:dyDescent="0.3">
      <c r="A2532" s="5">
        <v>44884</v>
      </c>
      <c r="B2532">
        <v>75</v>
      </c>
    </row>
    <row r="2533" spans="1:2" x14ac:dyDescent="0.3">
      <c r="A2533" s="5">
        <v>44885</v>
      </c>
      <c r="B2533">
        <v>75</v>
      </c>
    </row>
    <row r="2534" spans="1:2" x14ac:dyDescent="0.3">
      <c r="A2534" s="5">
        <v>44886</v>
      </c>
      <c r="B2534">
        <v>75</v>
      </c>
    </row>
    <row r="2535" spans="1:2" x14ac:dyDescent="0.3">
      <c r="A2535" s="5">
        <v>44887</v>
      </c>
      <c r="B2535">
        <v>75</v>
      </c>
    </row>
    <row r="2536" spans="1:2" x14ac:dyDescent="0.3">
      <c r="A2536" s="5">
        <v>44888</v>
      </c>
      <c r="B2536">
        <v>75</v>
      </c>
    </row>
    <row r="2537" spans="1:2" x14ac:dyDescent="0.3">
      <c r="A2537" s="5">
        <v>44889</v>
      </c>
      <c r="B2537">
        <v>75</v>
      </c>
    </row>
    <row r="2538" spans="1:2" x14ac:dyDescent="0.3">
      <c r="A2538" s="5">
        <v>44890</v>
      </c>
      <c r="B2538">
        <v>75</v>
      </c>
    </row>
    <row r="2539" spans="1:2" x14ac:dyDescent="0.3">
      <c r="A2539" s="5">
        <v>44891</v>
      </c>
      <c r="B2539">
        <v>75</v>
      </c>
    </row>
    <row r="2540" spans="1:2" x14ac:dyDescent="0.3">
      <c r="A2540" s="5">
        <v>44892</v>
      </c>
      <c r="B2540">
        <v>75</v>
      </c>
    </row>
    <row r="2541" spans="1:2" x14ac:dyDescent="0.3">
      <c r="A2541" s="5">
        <v>44893</v>
      </c>
      <c r="B2541">
        <v>75</v>
      </c>
    </row>
    <row r="2542" spans="1:2" x14ac:dyDescent="0.3">
      <c r="A2542" s="5">
        <v>44894</v>
      </c>
      <c r="B2542">
        <v>75</v>
      </c>
    </row>
    <row r="2543" spans="1:2" x14ac:dyDescent="0.3">
      <c r="A2543" s="5">
        <v>44895</v>
      </c>
      <c r="B2543">
        <v>75</v>
      </c>
    </row>
    <row r="2544" spans="1:2" x14ac:dyDescent="0.3">
      <c r="A2544" s="5">
        <v>44896</v>
      </c>
      <c r="B2544">
        <v>75</v>
      </c>
    </row>
    <row r="2545" spans="1:2" x14ac:dyDescent="0.3">
      <c r="A2545" s="5">
        <v>44897</v>
      </c>
      <c r="B2545">
        <v>75</v>
      </c>
    </row>
    <row r="2546" spans="1:2" x14ac:dyDescent="0.3">
      <c r="A2546" s="5">
        <v>44898</v>
      </c>
      <c r="B2546">
        <v>75</v>
      </c>
    </row>
    <row r="2547" spans="1:2" x14ac:dyDescent="0.3">
      <c r="A2547" s="5">
        <v>44899</v>
      </c>
      <c r="B2547">
        <v>75</v>
      </c>
    </row>
    <row r="2548" spans="1:2" x14ac:dyDescent="0.3">
      <c r="A2548" s="5">
        <v>44900</v>
      </c>
      <c r="B2548">
        <v>75</v>
      </c>
    </row>
    <row r="2549" spans="1:2" x14ac:dyDescent="0.3">
      <c r="A2549" s="5">
        <v>44901</v>
      </c>
      <c r="B2549">
        <v>75</v>
      </c>
    </row>
    <row r="2550" spans="1:2" x14ac:dyDescent="0.3">
      <c r="A2550" s="5">
        <v>44902</v>
      </c>
      <c r="B2550">
        <v>75</v>
      </c>
    </row>
    <row r="2551" spans="1:2" x14ac:dyDescent="0.3">
      <c r="A2551" s="5">
        <v>44903</v>
      </c>
      <c r="B2551">
        <v>75</v>
      </c>
    </row>
    <row r="2552" spans="1:2" x14ac:dyDescent="0.3">
      <c r="A2552" s="5">
        <v>44904</v>
      </c>
      <c r="B2552">
        <v>75</v>
      </c>
    </row>
    <row r="2553" spans="1:2" x14ac:dyDescent="0.3">
      <c r="A2553" s="5">
        <v>44905</v>
      </c>
      <c r="B2553">
        <v>75</v>
      </c>
    </row>
    <row r="2554" spans="1:2" x14ac:dyDescent="0.3">
      <c r="A2554" s="5">
        <v>44906</v>
      </c>
      <c r="B2554">
        <v>75</v>
      </c>
    </row>
    <row r="2555" spans="1:2" x14ac:dyDescent="0.3">
      <c r="A2555" s="5">
        <v>44907</v>
      </c>
      <c r="B2555">
        <v>75</v>
      </c>
    </row>
    <row r="2556" spans="1:2" x14ac:dyDescent="0.3">
      <c r="A2556" s="5">
        <v>44908</v>
      </c>
      <c r="B2556">
        <v>75</v>
      </c>
    </row>
    <row r="2557" spans="1:2" x14ac:dyDescent="0.3">
      <c r="A2557" s="5">
        <v>44909</v>
      </c>
      <c r="B2557">
        <v>75</v>
      </c>
    </row>
    <row r="2558" spans="1:2" x14ac:dyDescent="0.3">
      <c r="A2558" s="5">
        <v>44910</v>
      </c>
      <c r="B2558">
        <v>75</v>
      </c>
    </row>
    <row r="2559" spans="1:2" x14ac:dyDescent="0.3">
      <c r="A2559" s="5">
        <v>44911</v>
      </c>
      <c r="B2559">
        <v>75</v>
      </c>
    </row>
    <row r="2560" spans="1:2" x14ac:dyDescent="0.3">
      <c r="A2560" s="5">
        <v>44912</v>
      </c>
      <c r="B2560">
        <v>75</v>
      </c>
    </row>
    <row r="2561" spans="1:2" x14ac:dyDescent="0.3">
      <c r="A2561" s="5">
        <v>44913</v>
      </c>
      <c r="B2561">
        <v>75</v>
      </c>
    </row>
    <row r="2562" spans="1:2" x14ac:dyDescent="0.3">
      <c r="A2562" s="5">
        <v>44914</v>
      </c>
      <c r="B2562">
        <v>75</v>
      </c>
    </row>
    <row r="2563" spans="1:2" x14ac:dyDescent="0.3">
      <c r="A2563" s="5">
        <v>44915</v>
      </c>
      <c r="B2563">
        <v>75</v>
      </c>
    </row>
    <row r="2564" spans="1:2" x14ac:dyDescent="0.3">
      <c r="A2564" s="5">
        <v>44916</v>
      </c>
      <c r="B2564">
        <v>75</v>
      </c>
    </row>
    <row r="2565" spans="1:2" x14ac:dyDescent="0.3">
      <c r="A2565" s="5">
        <v>44917</v>
      </c>
      <c r="B2565">
        <v>75</v>
      </c>
    </row>
    <row r="2566" spans="1:2" x14ac:dyDescent="0.3">
      <c r="A2566" s="5">
        <v>44918</v>
      </c>
      <c r="B2566">
        <v>75</v>
      </c>
    </row>
    <row r="2567" spans="1:2" x14ac:dyDescent="0.3">
      <c r="A2567" s="5">
        <v>44919</v>
      </c>
      <c r="B2567">
        <v>75</v>
      </c>
    </row>
    <row r="2568" spans="1:2" x14ac:dyDescent="0.3">
      <c r="A2568" s="5">
        <v>44920</v>
      </c>
      <c r="B2568">
        <v>75</v>
      </c>
    </row>
    <row r="2569" spans="1:2" x14ac:dyDescent="0.3">
      <c r="A2569" s="5">
        <v>44921</v>
      </c>
      <c r="B2569">
        <v>75</v>
      </c>
    </row>
    <row r="2570" spans="1:2" x14ac:dyDescent="0.3">
      <c r="A2570" s="5">
        <v>44922</v>
      </c>
      <c r="B2570">
        <v>75</v>
      </c>
    </row>
    <row r="2571" spans="1:2" x14ac:dyDescent="0.3">
      <c r="A2571" s="5">
        <v>44923</v>
      </c>
      <c r="B2571">
        <v>75</v>
      </c>
    </row>
    <row r="2572" spans="1:2" x14ac:dyDescent="0.3">
      <c r="A2572" s="5">
        <v>44924</v>
      </c>
      <c r="B2572">
        <v>75</v>
      </c>
    </row>
    <row r="2573" spans="1:2" x14ac:dyDescent="0.3">
      <c r="A2573" s="5">
        <v>44925</v>
      </c>
      <c r="B2573">
        <v>75</v>
      </c>
    </row>
    <row r="2574" spans="1:2" x14ac:dyDescent="0.3">
      <c r="A2574" s="5">
        <v>44926</v>
      </c>
      <c r="B2574">
        <v>75</v>
      </c>
    </row>
    <row r="2575" spans="1:2" x14ac:dyDescent="0.3">
      <c r="A2575" s="5">
        <v>44927</v>
      </c>
      <c r="B2575">
        <v>75</v>
      </c>
    </row>
    <row r="2576" spans="1:2" x14ac:dyDescent="0.3">
      <c r="A2576" s="5">
        <v>44928</v>
      </c>
      <c r="B2576">
        <v>75</v>
      </c>
    </row>
    <row r="2577" spans="1:2" x14ac:dyDescent="0.3">
      <c r="A2577" s="5">
        <v>44929</v>
      </c>
      <c r="B2577">
        <v>75</v>
      </c>
    </row>
    <row r="2578" spans="1:2" x14ac:dyDescent="0.3">
      <c r="A2578" s="5">
        <v>44930</v>
      </c>
      <c r="B2578">
        <v>75</v>
      </c>
    </row>
    <row r="2579" spans="1:2" x14ac:dyDescent="0.3">
      <c r="A2579" s="5">
        <v>44931</v>
      </c>
      <c r="B2579">
        <v>75</v>
      </c>
    </row>
    <row r="2580" spans="1:2" x14ac:dyDescent="0.3">
      <c r="A2580" s="5">
        <v>44932</v>
      </c>
      <c r="B2580">
        <v>75</v>
      </c>
    </row>
    <row r="2581" spans="1:2" x14ac:dyDescent="0.3">
      <c r="A2581" s="5">
        <v>44933</v>
      </c>
      <c r="B2581">
        <v>75</v>
      </c>
    </row>
    <row r="2582" spans="1:2" x14ac:dyDescent="0.3">
      <c r="A2582" s="5">
        <v>44934</v>
      </c>
      <c r="B2582">
        <v>75</v>
      </c>
    </row>
    <row r="2583" spans="1:2" x14ac:dyDescent="0.3">
      <c r="A2583" s="5">
        <v>44935</v>
      </c>
      <c r="B2583">
        <v>75</v>
      </c>
    </row>
    <row r="2584" spans="1:2" x14ac:dyDescent="0.3">
      <c r="A2584" s="5">
        <v>44936</v>
      </c>
      <c r="B2584">
        <v>75</v>
      </c>
    </row>
    <row r="2585" spans="1:2" x14ac:dyDescent="0.3">
      <c r="A2585" s="5">
        <v>44937</v>
      </c>
      <c r="B2585">
        <v>75</v>
      </c>
    </row>
    <row r="2586" spans="1:2" x14ac:dyDescent="0.3">
      <c r="A2586" s="5">
        <v>44938</v>
      </c>
      <c r="B2586">
        <v>75</v>
      </c>
    </row>
    <row r="2587" spans="1:2" x14ac:dyDescent="0.3">
      <c r="A2587" s="5">
        <v>44939</v>
      </c>
      <c r="B2587">
        <v>75</v>
      </c>
    </row>
    <row r="2588" spans="1:2" x14ac:dyDescent="0.3">
      <c r="A2588" s="5">
        <v>44940</v>
      </c>
      <c r="B2588">
        <v>75</v>
      </c>
    </row>
    <row r="2589" spans="1:2" x14ac:dyDescent="0.3">
      <c r="A2589" s="5">
        <v>44941</v>
      </c>
      <c r="B2589">
        <v>75</v>
      </c>
    </row>
    <row r="2590" spans="1:2" x14ac:dyDescent="0.3">
      <c r="A2590" s="5">
        <v>44942</v>
      </c>
      <c r="B2590">
        <v>75</v>
      </c>
    </row>
    <row r="2591" spans="1:2" x14ac:dyDescent="0.3">
      <c r="A2591" s="5">
        <v>44943</v>
      </c>
      <c r="B2591">
        <v>75</v>
      </c>
    </row>
    <row r="2592" spans="1:2" x14ac:dyDescent="0.3">
      <c r="A2592" s="5">
        <v>44944</v>
      </c>
      <c r="B2592">
        <v>75</v>
      </c>
    </row>
    <row r="2593" spans="1:2" x14ac:dyDescent="0.3">
      <c r="A2593" s="5">
        <v>44945</v>
      </c>
      <c r="B2593">
        <v>75</v>
      </c>
    </row>
    <row r="2594" spans="1:2" x14ac:dyDescent="0.3">
      <c r="A2594" s="5">
        <v>44946</v>
      </c>
      <c r="B2594">
        <v>75</v>
      </c>
    </row>
    <row r="2595" spans="1:2" x14ac:dyDescent="0.3">
      <c r="A2595" s="5">
        <v>44947</v>
      </c>
      <c r="B2595">
        <v>75</v>
      </c>
    </row>
    <row r="2596" spans="1:2" x14ac:dyDescent="0.3">
      <c r="A2596" s="5">
        <v>44948</v>
      </c>
      <c r="B2596">
        <v>75</v>
      </c>
    </row>
    <row r="2597" spans="1:2" x14ac:dyDescent="0.3">
      <c r="A2597" s="5">
        <v>44949</v>
      </c>
      <c r="B2597">
        <v>75</v>
      </c>
    </row>
    <row r="2598" spans="1:2" x14ac:dyDescent="0.3">
      <c r="A2598" s="5">
        <v>44950</v>
      </c>
      <c r="B2598">
        <v>75</v>
      </c>
    </row>
    <row r="2599" spans="1:2" x14ac:dyDescent="0.3">
      <c r="A2599" s="5">
        <v>44951</v>
      </c>
      <c r="B2599">
        <v>75</v>
      </c>
    </row>
    <row r="2600" spans="1:2" x14ac:dyDescent="0.3">
      <c r="A2600" s="5">
        <v>44952</v>
      </c>
      <c r="B2600">
        <v>75</v>
      </c>
    </row>
    <row r="2601" spans="1:2" x14ac:dyDescent="0.3">
      <c r="A2601" s="5">
        <v>44953</v>
      </c>
      <c r="B2601">
        <v>75</v>
      </c>
    </row>
    <row r="2602" spans="1:2" x14ac:dyDescent="0.3">
      <c r="A2602" s="5">
        <v>44954</v>
      </c>
      <c r="B2602">
        <v>75</v>
      </c>
    </row>
    <row r="2603" spans="1:2" x14ac:dyDescent="0.3">
      <c r="A2603" s="5">
        <v>44955</v>
      </c>
      <c r="B2603">
        <v>75</v>
      </c>
    </row>
    <row r="2604" spans="1:2" x14ac:dyDescent="0.3">
      <c r="A2604" s="5">
        <v>44956</v>
      </c>
      <c r="B2604">
        <v>75</v>
      </c>
    </row>
    <row r="2605" spans="1:2" x14ac:dyDescent="0.3">
      <c r="A2605" s="5">
        <v>44957</v>
      </c>
      <c r="B2605">
        <v>75</v>
      </c>
    </row>
    <row r="2606" spans="1:2" x14ac:dyDescent="0.3">
      <c r="A2606" s="5">
        <v>44958</v>
      </c>
      <c r="B2606">
        <v>75</v>
      </c>
    </row>
    <row r="2607" spans="1:2" x14ac:dyDescent="0.3">
      <c r="A2607" s="5">
        <v>44959</v>
      </c>
      <c r="B2607">
        <v>75</v>
      </c>
    </row>
    <row r="2608" spans="1:2" x14ac:dyDescent="0.3">
      <c r="A2608" s="5">
        <v>44960</v>
      </c>
      <c r="B2608">
        <v>75</v>
      </c>
    </row>
    <row r="2609" spans="1:2" x14ac:dyDescent="0.3">
      <c r="A2609" s="5">
        <v>44961</v>
      </c>
      <c r="B2609">
        <v>75</v>
      </c>
    </row>
    <row r="2610" spans="1:2" x14ac:dyDescent="0.3">
      <c r="A2610" s="5">
        <v>44962</v>
      </c>
      <c r="B2610">
        <v>75</v>
      </c>
    </row>
    <row r="2611" spans="1:2" x14ac:dyDescent="0.3">
      <c r="A2611" s="5">
        <v>44963</v>
      </c>
      <c r="B2611">
        <v>75</v>
      </c>
    </row>
    <row r="2612" spans="1:2" x14ac:dyDescent="0.3">
      <c r="A2612" s="5">
        <v>44964</v>
      </c>
      <c r="B2612">
        <v>75</v>
      </c>
    </row>
    <row r="2613" spans="1:2" x14ac:dyDescent="0.3">
      <c r="A2613" s="5">
        <v>44965</v>
      </c>
      <c r="B2613">
        <v>75</v>
      </c>
    </row>
    <row r="2614" spans="1:2" x14ac:dyDescent="0.3">
      <c r="A2614" s="5">
        <v>44966</v>
      </c>
      <c r="B2614">
        <v>75</v>
      </c>
    </row>
    <row r="2615" spans="1:2" x14ac:dyDescent="0.3">
      <c r="A2615" s="5">
        <v>44967</v>
      </c>
      <c r="B2615">
        <v>75</v>
      </c>
    </row>
    <row r="2616" spans="1:2" x14ac:dyDescent="0.3">
      <c r="A2616" s="5">
        <v>44968</v>
      </c>
      <c r="B2616">
        <v>75</v>
      </c>
    </row>
    <row r="2617" spans="1:2" x14ac:dyDescent="0.3">
      <c r="A2617" s="5">
        <v>44969</v>
      </c>
      <c r="B2617">
        <v>75</v>
      </c>
    </row>
    <row r="2618" spans="1:2" x14ac:dyDescent="0.3">
      <c r="A2618" s="5">
        <v>44970</v>
      </c>
      <c r="B2618">
        <v>75</v>
      </c>
    </row>
    <row r="2619" spans="1:2" x14ac:dyDescent="0.3">
      <c r="A2619" s="5">
        <v>44971</v>
      </c>
      <c r="B2619">
        <v>75</v>
      </c>
    </row>
    <row r="2620" spans="1:2" x14ac:dyDescent="0.3">
      <c r="A2620" s="5">
        <v>44972</v>
      </c>
      <c r="B2620">
        <v>75</v>
      </c>
    </row>
    <row r="2621" spans="1:2" x14ac:dyDescent="0.3">
      <c r="A2621" s="5">
        <v>44973</v>
      </c>
      <c r="B2621">
        <v>75</v>
      </c>
    </row>
    <row r="2622" spans="1:2" x14ac:dyDescent="0.3">
      <c r="A2622" s="5">
        <v>44974</v>
      </c>
      <c r="B2622">
        <v>75</v>
      </c>
    </row>
    <row r="2623" spans="1:2" x14ac:dyDescent="0.3">
      <c r="A2623" s="5">
        <v>44975</v>
      </c>
      <c r="B2623">
        <v>75</v>
      </c>
    </row>
    <row r="2624" spans="1:2" x14ac:dyDescent="0.3">
      <c r="A2624" s="5">
        <v>44976</v>
      </c>
      <c r="B2624">
        <v>75</v>
      </c>
    </row>
    <row r="2625" spans="1:2" x14ac:dyDescent="0.3">
      <c r="A2625" s="5">
        <v>44977</v>
      </c>
      <c r="B2625">
        <v>75</v>
      </c>
    </row>
    <row r="2626" spans="1:2" x14ac:dyDescent="0.3">
      <c r="A2626" s="5">
        <v>44978</v>
      </c>
      <c r="B2626">
        <v>75</v>
      </c>
    </row>
    <row r="2627" spans="1:2" x14ac:dyDescent="0.3">
      <c r="A2627" s="5">
        <v>44979</v>
      </c>
      <c r="B2627">
        <v>75</v>
      </c>
    </row>
    <row r="2628" spans="1:2" x14ac:dyDescent="0.3">
      <c r="A2628" s="5">
        <v>44980</v>
      </c>
      <c r="B2628">
        <v>75</v>
      </c>
    </row>
    <row r="2629" spans="1:2" x14ac:dyDescent="0.3">
      <c r="A2629" s="5">
        <v>44981</v>
      </c>
      <c r="B2629">
        <v>75</v>
      </c>
    </row>
    <row r="2630" spans="1:2" x14ac:dyDescent="0.3">
      <c r="A2630" s="5">
        <v>44982</v>
      </c>
      <c r="B2630">
        <v>75</v>
      </c>
    </row>
    <row r="2631" spans="1:2" x14ac:dyDescent="0.3">
      <c r="A2631" s="5">
        <v>44983</v>
      </c>
      <c r="B2631">
        <v>75</v>
      </c>
    </row>
    <row r="2632" spans="1:2" x14ac:dyDescent="0.3">
      <c r="A2632" s="5">
        <v>44984</v>
      </c>
      <c r="B2632">
        <v>75</v>
      </c>
    </row>
    <row r="2633" spans="1:2" x14ac:dyDescent="0.3">
      <c r="A2633" s="5">
        <v>44985</v>
      </c>
      <c r="B2633">
        <v>75</v>
      </c>
    </row>
    <row r="2634" spans="1:2" x14ac:dyDescent="0.3">
      <c r="A2634" s="5">
        <v>44986</v>
      </c>
      <c r="B2634">
        <v>75</v>
      </c>
    </row>
    <row r="2635" spans="1:2" x14ac:dyDescent="0.3">
      <c r="A2635" s="5">
        <v>44987</v>
      </c>
      <c r="B2635">
        <v>75</v>
      </c>
    </row>
    <row r="2636" spans="1:2" x14ac:dyDescent="0.3">
      <c r="A2636" s="5">
        <v>44988</v>
      </c>
      <c r="B2636">
        <v>75</v>
      </c>
    </row>
    <row r="2637" spans="1:2" x14ac:dyDescent="0.3">
      <c r="A2637" s="5">
        <v>44989</v>
      </c>
      <c r="B2637">
        <v>75</v>
      </c>
    </row>
    <row r="2638" spans="1:2" x14ac:dyDescent="0.3">
      <c r="A2638" s="5">
        <v>44990</v>
      </c>
      <c r="B2638">
        <v>75</v>
      </c>
    </row>
    <row r="2639" spans="1:2" x14ac:dyDescent="0.3">
      <c r="A2639" s="5">
        <v>44991</v>
      </c>
      <c r="B2639">
        <v>75</v>
      </c>
    </row>
    <row r="2640" spans="1:2" x14ac:dyDescent="0.3">
      <c r="A2640" s="5">
        <v>44992</v>
      </c>
      <c r="B2640">
        <v>75</v>
      </c>
    </row>
    <row r="2641" spans="1:2" x14ac:dyDescent="0.3">
      <c r="A2641" s="5">
        <v>44993</v>
      </c>
      <c r="B2641">
        <v>75</v>
      </c>
    </row>
    <row r="2642" spans="1:2" x14ac:dyDescent="0.3">
      <c r="A2642" s="5">
        <v>44994</v>
      </c>
      <c r="B2642">
        <v>75</v>
      </c>
    </row>
    <row r="2643" spans="1:2" x14ac:dyDescent="0.3">
      <c r="A2643" s="5">
        <v>44995</v>
      </c>
      <c r="B2643">
        <v>75</v>
      </c>
    </row>
    <row r="2644" spans="1:2" x14ac:dyDescent="0.3">
      <c r="A2644" s="5">
        <v>44996</v>
      </c>
      <c r="B2644">
        <v>75</v>
      </c>
    </row>
    <row r="2645" spans="1:2" x14ac:dyDescent="0.3">
      <c r="A2645" s="5">
        <v>44997</v>
      </c>
      <c r="B2645">
        <v>75</v>
      </c>
    </row>
    <row r="2646" spans="1:2" x14ac:dyDescent="0.3">
      <c r="A2646" s="5">
        <v>44998</v>
      </c>
      <c r="B2646">
        <v>75</v>
      </c>
    </row>
    <row r="2647" spans="1:2" x14ac:dyDescent="0.3">
      <c r="A2647" s="5">
        <v>44999</v>
      </c>
      <c r="B2647">
        <v>75</v>
      </c>
    </row>
    <row r="2648" spans="1:2" x14ac:dyDescent="0.3">
      <c r="A2648" s="5">
        <v>45000</v>
      </c>
      <c r="B2648">
        <v>75</v>
      </c>
    </row>
    <row r="2649" spans="1:2" x14ac:dyDescent="0.3">
      <c r="A2649" s="5">
        <v>45001</v>
      </c>
      <c r="B2649">
        <v>78</v>
      </c>
    </row>
    <row r="2650" spans="1:2" x14ac:dyDescent="0.3">
      <c r="A2650" s="5">
        <v>45002</v>
      </c>
      <c r="B2650">
        <v>78</v>
      </c>
    </row>
    <row r="2651" spans="1:2" x14ac:dyDescent="0.3">
      <c r="A2651" s="5">
        <v>45003</v>
      </c>
      <c r="B2651">
        <v>78</v>
      </c>
    </row>
    <row r="2652" spans="1:2" x14ac:dyDescent="0.3">
      <c r="A2652" s="5">
        <v>45004</v>
      </c>
      <c r="B2652">
        <v>78</v>
      </c>
    </row>
    <row r="2653" spans="1:2" x14ac:dyDescent="0.3">
      <c r="A2653" s="5">
        <v>45005</v>
      </c>
      <c r="B2653">
        <v>78</v>
      </c>
    </row>
    <row r="2654" spans="1:2" x14ac:dyDescent="0.3">
      <c r="A2654" s="5">
        <v>45006</v>
      </c>
      <c r="B2654">
        <v>78</v>
      </c>
    </row>
    <row r="2655" spans="1:2" x14ac:dyDescent="0.3">
      <c r="A2655" s="5">
        <v>45007</v>
      </c>
      <c r="B2655">
        <v>78</v>
      </c>
    </row>
    <row r="2656" spans="1:2" x14ac:dyDescent="0.3">
      <c r="A2656" s="5">
        <v>45008</v>
      </c>
      <c r="B2656">
        <v>78</v>
      </c>
    </row>
    <row r="2657" spans="1:2" x14ac:dyDescent="0.3">
      <c r="A2657" s="5">
        <v>45009</v>
      </c>
      <c r="B2657">
        <v>78</v>
      </c>
    </row>
    <row r="2658" spans="1:2" x14ac:dyDescent="0.3">
      <c r="A2658" s="5">
        <v>45010</v>
      </c>
      <c r="B2658">
        <v>78</v>
      </c>
    </row>
    <row r="2659" spans="1:2" x14ac:dyDescent="0.3">
      <c r="A2659" s="5">
        <v>45011</v>
      </c>
      <c r="B2659">
        <v>78</v>
      </c>
    </row>
    <row r="2660" spans="1:2" x14ac:dyDescent="0.3">
      <c r="A2660" s="5">
        <v>45012</v>
      </c>
      <c r="B2660">
        <v>78</v>
      </c>
    </row>
    <row r="2661" spans="1:2" x14ac:dyDescent="0.3">
      <c r="A2661" s="5">
        <v>45013</v>
      </c>
      <c r="B2661">
        <v>78</v>
      </c>
    </row>
    <row r="2662" spans="1:2" x14ac:dyDescent="0.3">
      <c r="A2662" s="5">
        <v>45014</v>
      </c>
      <c r="B2662">
        <v>78</v>
      </c>
    </row>
    <row r="2663" spans="1:2" x14ac:dyDescent="0.3">
      <c r="A2663" s="5">
        <v>45015</v>
      </c>
      <c r="B2663">
        <v>78</v>
      </c>
    </row>
    <row r="2664" spans="1:2" x14ac:dyDescent="0.3">
      <c r="A2664" s="5">
        <v>45016</v>
      </c>
      <c r="B2664">
        <v>78</v>
      </c>
    </row>
    <row r="2665" spans="1:2" x14ac:dyDescent="0.3">
      <c r="A2665" s="5">
        <v>45017</v>
      </c>
      <c r="B2665">
        <v>78</v>
      </c>
    </row>
    <row r="2666" spans="1:2" x14ac:dyDescent="0.3">
      <c r="A2666" s="5">
        <v>45018</v>
      </c>
      <c r="B2666">
        <v>78</v>
      </c>
    </row>
    <row r="2667" spans="1:2" x14ac:dyDescent="0.3">
      <c r="A2667" s="5">
        <v>45019</v>
      </c>
      <c r="B2667">
        <v>78</v>
      </c>
    </row>
    <row r="2668" spans="1:2" x14ac:dyDescent="0.3">
      <c r="A2668" s="5">
        <v>45020</v>
      </c>
      <c r="B2668">
        <v>78</v>
      </c>
    </row>
    <row r="2669" spans="1:2" x14ac:dyDescent="0.3">
      <c r="A2669" s="5">
        <v>45021</v>
      </c>
      <c r="B2669">
        <v>78</v>
      </c>
    </row>
    <row r="2670" spans="1:2" x14ac:dyDescent="0.3">
      <c r="A2670" s="5">
        <v>45022</v>
      </c>
      <c r="B2670">
        <v>78</v>
      </c>
    </row>
    <row r="2671" spans="1:2" x14ac:dyDescent="0.3">
      <c r="A2671" s="5">
        <v>45023</v>
      </c>
      <c r="B2671">
        <v>78</v>
      </c>
    </row>
    <row r="2672" spans="1:2" x14ac:dyDescent="0.3">
      <c r="A2672" s="5">
        <v>45024</v>
      </c>
      <c r="B2672">
        <v>78</v>
      </c>
    </row>
    <row r="2673" spans="1:2" x14ac:dyDescent="0.3">
      <c r="A2673" s="5">
        <v>45025</v>
      </c>
      <c r="B2673">
        <v>78</v>
      </c>
    </row>
    <row r="2674" spans="1:2" x14ac:dyDescent="0.3">
      <c r="A2674" s="5">
        <v>45026</v>
      </c>
      <c r="B2674">
        <v>78</v>
      </c>
    </row>
    <row r="2675" spans="1:2" x14ac:dyDescent="0.3">
      <c r="A2675" s="5">
        <v>45027</v>
      </c>
      <c r="B2675">
        <v>78</v>
      </c>
    </row>
    <row r="2676" spans="1:2" x14ac:dyDescent="0.3">
      <c r="A2676" s="5">
        <v>45028</v>
      </c>
      <c r="B2676">
        <v>78</v>
      </c>
    </row>
    <row r="2677" spans="1:2" x14ac:dyDescent="0.3">
      <c r="A2677" s="5">
        <v>45029</v>
      </c>
      <c r="B2677">
        <v>78</v>
      </c>
    </row>
    <row r="2678" spans="1:2" x14ac:dyDescent="0.3">
      <c r="A2678" s="5">
        <v>45030</v>
      </c>
      <c r="B2678">
        <v>78</v>
      </c>
    </row>
    <row r="2679" spans="1:2" x14ac:dyDescent="0.3">
      <c r="A2679" s="5">
        <v>45031</v>
      </c>
      <c r="B2679">
        <v>78</v>
      </c>
    </row>
    <row r="2680" spans="1:2" x14ac:dyDescent="0.3">
      <c r="A2680" s="5">
        <v>45032</v>
      </c>
      <c r="B2680">
        <v>78</v>
      </c>
    </row>
    <row r="2681" spans="1:2" x14ac:dyDescent="0.3">
      <c r="A2681" s="5">
        <v>45033</v>
      </c>
      <c r="B2681">
        <v>78</v>
      </c>
    </row>
    <row r="2682" spans="1:2" x14ac:dyDescent="0.3">
      <c r="A2682" s="5">
        <v>45034</v>
      </c>
      <c r="B2682">
        <v>78</v>
      </c>
    </row>
    <row r="2683" spans="1:2" x14ac:dyDescent="0.3">
      <c r="A2683" s="5">
        <v>45035</v>
      </c>
      <c r="B2683">
        <v>78</v>
      </c>
    </row>
    <row r="2684" spans="1:2" x14ac:dyDescent="0.3">
      <c r="A2684" s="5">
        <v>45036</v>
      </c>
      <c r="B2684">
        <v>81</v>
      </c>
    </row>
    <row r="2685" spans="1:2" x14ac:dyDescent="0.3">
      <c r="A2685" s="5">
        <v>45037</v>
      </c>
      <c r="B2685">
        <v>81</v>
      </c>
    </row>
    <row r="2686" spans="1:2" x14ac:dyDescent="0.3">
      <c r="A2686" s="5">
        <v>45038</v>
      </c>
      <c r="B2686">
        <v>81</v>
      </c>
    </row>
    <row r="2687" spans="1:2" x14ac:dyDescent="0.3">
      <c r="A2687" s="5">
        <v>45039</v>
      </c>
      <c r="B2687">
        <v>81</v>
      </c>
    </row>
    <row r="2688" spans="1:2" x14ac:dyDescent="0.3">
      <c r="A2688" s="5">
        <v>45040</v>
      </c>
      <c r="B2688">
        <v>81</v>
      </c>
    </row>
    <row r="2689" spans="1:2" x14ac:dyDescent="0.3">
      <c r="A2689" s="5">
        <v>45041</v>
      </c>
      <c r="B2689">
        <v>81</v>
      </c>
    </row>
    <row r="2690" spans="1:2" x14ac:dyDescent="0.3">
      <c r="A2690" s="5">
        <v>45042</v>
      </c>
      <c r="B2690">
        <v>81</v>
      </c>
    </row>
    <row r="2691" spans="1:2" x14ac:dyDescent="0.3">
      <c r="A2691" s="5">
        <v>45043</v>
      </c>
      <c r="B2691">
        <v>91</v>
      </c>
    </row>
    <row r="2692" spans="1:2" x14ac:dyDescent="0.3">
      <c r="A2692" s="5">
        <v>45044</v>
      </c>
      <c r="B2692">
        <v>91</v>
      </c>
    </row>
    <row r="2693" spans="1:2" x14ac:dyDescent="0.3">
      <c r="A2693" s="5">
        <v>45045</v>
      </c>
      <c r="B2693">
        <v>91</v>
      </c>
    </row>
    <row r="2694" spans="1:2" x14ac:dyDescent="0.3">
      <c r="A2694" s="5">
        <v>45046</v>
      </c>
      <c r="B2694">
        <v>91</v>
      </c>
    </row>
    <row r="2695" spans="1:2" x14ac:dyDescent="0.3">
      <c r="A2695" s="5">
        <v>45047</v>
      </c>
      <c r="B2695">
        <v>91</v>
      </c>
    </row>
    <row r="2696" spans="1:2" x14ac:dyDescent="0.3">
      <c r="A2696" s="5">
        <v>45048</v>
      </c>
      <c r="B2696">
        <v>91</v>
      </c>
    </row>
    <row r="2697" spans="1:2" x14ac:dyDescent="0.3">
      <c r="A2697" s="5">
        <v>45049</v>
      </c>
      <c r="B2697">
        <v>91</v>
      </c>
    </row>
    <row r="2698" spans="1:2" x14ac:dyDescent="0.3">
      <c r="A2698" s="5">
        <v>45050</v>
      </c>
      <c r="B2698">
        <v>91</v>
      </c>
    </row>
    <row r="2699" spans="1:2" x14ac:dyDescent="0.3">
      <c r="A2699" s="5">
        <v>45051</v>
      </c>
      <c r="B2699">
        <v>91</v>
      </c>
    </row>
    <row r="2700" spans="1:2" x14ac:dyDescent="0.3">
      <c r="A2700" s="5">
        <v>45052</v>
      </c>
      <c r="B2700">
        <v>91</v>
      </c>
    </row>
    <row r="2701" spans="1:2" x14ac:dyDescent="0.3">
      <c r="A2701" s="5">
        <v>45053</v>
      </c>
      <c r="B2701">
        <v>91</v>
      </c>
    </row>
    <row r="2702" spans="1:2" x14ac:dyDescent="0.3">
      <c r="A2702" s="5">
        <v>45054</v>
      </c>
      <c r="B2702">
        <v>91</v>
      </c>
    </row>
    <row r="2703" spans="1:2" x14ac:dyDescent="0.3">
      <c r="A2703" s="5">
        <v>45055</v>
      </c>
      <c r="B2703">
        <v>91</v>
      </c>
    </row>
    <row r="2704" spans="1:2" x14ac:dyDescent="0.3">
      <c r="A2704" s="5">
        <v>45056</v>
      </c>
      <c r="B2704">
        <v>91</v>
      </c>
    </row>
    <row r="2705" spans="1:2" x14ac:dyDescent="0.3">
      <c r="A2705" s="5">
        <v>45057</v>
      </c>
      <c r="B2705">
        <v>91</v>
      </c>
    </row>
    <row r="2706" spans="1:2" x14ac:dyDescent="0.3">
      <c r="A2706" s="5">
        <v>45058</v>
      </c>
      <c r="B2706">
        <v>91</v>
      </c>
    </row>
    <row r="2707" spans="1:2" x14ac:dyDescent="0.3">
      <c r="A2707" s="5">
        <v>45059</v>
      </c>
      <c r="B2707">
        <v>91</v>
      </c>
    </row>
    <row r="2708" spans="1:2" x14ac:dyDescent="0.3">
      <c r="A2708" s="5">
        <v>45060</v>
      </c>
      <c r="B2708">
        <v>91</v>
      </c>
    </row>
    <row r="2709" spans="1:2" x14ac:dyDescent="0.3">
      <c r="A2709" s="5">
        <v>45061</v>
      </c>
      <c r="B2709">
        <v>97</v>
      </c>
    </row>
    <row r="2710" spans="1:2" x14ac:dyDescent="0.3">
      <c r="A2710" s="5">
        <v>45062</v>
      </c>
      <c r="B2710">
        <v>97</v>
      </c>
    </row>
    <row r="2711" spans="1:2" x14ac:dyDescent="0.3">
      <c r="A2711" s="5">
        <v>45063</v>
      </c>
      <c r="B2711">
        <v>97</v>
      </c>
    </row>
    <row r="2712" spans="1:2" x14ac:dyDescent="0.3">
      <c r="A2712" s="5">
        <v>45064</v>
      </c>
      <c r="B2712">
        <v>97</v>
      </c>
    </row>
    <row r="2713" spans="1:2" x14ac:dyDescent="0.3">
      <c r="A2713" s="5">
        <v>45065</v>
      </c>
      <c r="B2713">
        <v>97</v>
      </c>
    </row>
    <row r="2714" spans="1:2" x14ac:dyDescent="0.3">
      <c r="A2714" s="5">
        <v>45066</v>
      </c>
      <c r="B2714">
        <v>97</v>
      </c>
    </row>
    <row r="2715" spans="1:2" x14ac:dyDescent="0.3">
      <c r="A2715" s="5">
        <v>45067</v>
      </c>
      <c r="B2715">
        <v>97</v>
      </c>
    </row>
    <row r="2716" spans="1:2" x14ac:dyDescent="0.3">
      <c r="A2716" s="5">
        <v>45068</v>
      </c>
      <c r="B2716">
        <v>97</v>
      </c>
    </row>
    <row r="2717" spans="1:2" x14ac:dyDescent="0.3">
      <c r="A2717" s="5">
        <v>45069</v>
      </c>
      <c r="B2717">
        <v>97</v>
      </c>
    </row>
    <row r="2718" spans="1:2" x14ac:dyDescent="0.3">
      <c r="A2718" s="5">
        <v>45070</v>
      </c>
      <c r="B2718">
        <v>97</v>
      </c>
    </row>
    <row r="2719" spans="1:2" x14ac:dyDescent="0.3">
      <c r="A2719" s="5">
        <v>45071</v>
      </c>
      <c r="B2719">
        <v>97</v>
      </c>
    </row>
    <row r="2720" spans="1:2" x14ac:dyDescent="0.3">
      <c r="A2720" s="5">
        <v>45072</v>
      </c>
      <c r="B2720">
        <v>97</v>
      </c>
    </row>
    <row r="2721" spans="1:2" x14ac:dyDescent="0.3">
      <c r="A2721" s="5">
        <v>45073</v>
      </c>
      <c r="B2721">
        <v>97</v>
      </c>
    </row>
    <row r="2722" spans="1:2" x14ac:dyDescent="0.3">
      <c r="A2722" s="5">
        <v>45074</v>
      </c>
      <c r="B2722">
        <v>97</v>
      </c>
    </row>
    <row r="2723" spans="1:2" x14ac:dyDescent="0.3">
      <c r="A2723" s="5">
        <v>45075</v>
      </c>
      <c r="B2723">
        <v>97</v>
      </c>
    </row>
    <row r="2724" spans="1:2" x14ac:dyDescent="0.3">
      <c r="A2724" s="5">
        <v>45076</v>
      </c>
      <c r="B2724">
        <v>97</v>
      </c>
    </row>
    <row r="2725" spans="1:2" x14ac:dyDescent="0.3">
      <c r="A2725" s="5">
        <v>45077</v>
      </c>
      <c r="B2725">
        <v>97</v>
      </c>
    </row>
    <row r="2726" spans="1:2" x14ac:dyDescent="0.3">
      <c r="A2726" s="5">
        <v>45078</v>
      </c>
      <c r="B2726">
        <v>97</v>
      </c>
    </row>
    <row r="2727" spans="1:2" x14ac:dyDescent="0.3">
      <c r="A2727" s="5">
        <v>45079</v>
      </c>
      <c r="B2727">
        <v>97</v>
      </c>
    </row>
    <row r="2728" spans="1:2" x14ac:dyDescent="0.3">
      <c r="A2728" s="5">
        <v>45080</v>
      </c>
      <c r="B2728">
        <v>97</v>
      </c>
    </row>
    <row r="2729" spans="1:2" x14ac:dyDescent="0.3">
      <c r="A2729" s="5">
        <v>45081</v>
      </c>
      <c r="B2729">
        <v>97</v>
      </c>
    </row>
    <row r="2730" spans="1:2" x14ac:dyDescent="0.3">
      <c r="A2730" s="5">
        <v>45082</v>
      </c>
      <c r="B2730">
        <v>97</v>
      </c>
    </row>
    <row r="2731" spans="1:2" x14ac:dyDescent="0.3">
      <c r="A2731" s="5">
        <v>45083</v>
      </c>
      <c r="B2731">
        <v>97</v>
      </c>
    </row>
    <row r="2732" spans="1:2" x14ac:dyDescent="0.3">
      <c r="A2732" s="5">
        <v>45084</v>
      </c>
      <c r="B2732">
        <v>97</v>
      </c>
    </row>
    <row r="2733" spans="1:2" x14ac:dyDescent="0.3">
      <c r="A2733" s="5">
        <v>45085</v>
      </c>
      <c r="B2733">
        <v>97</v>
      </c>
    </row>
    <row r="2734" spans="1:2" x14ac:dyDescent="0.3">
      <c r="A2734" s="5">
        <v>45086</v>
      </c>
      <c r="B2734">
        <v>97</v>
      </c>
    </row>
    <row r="2735" spans="1:2" x14ac:dyDescent="0.3">
      <c r="A2735" s="5">
        <v>45087</v>
      </c>
      <c r="B2735">
        <v>97</v>
      </c>
    </row>
    <row r="2736" spans="1:2" x14ac:dyDescent="0.3">
      <c r="A2736" s="5">
        <v>45088</v>
      </c>
      <c r="B2736">
        <v>97</v>
      </c>
    </row>
    <row r="2737" spans="1:2" x14ac:dyDescent="0.3">
      <c r="A2737" s="5">
        <v>45089</v>
      </c>
      <c r="B2737">
        <v>97</v>
      </c>
    </row>
    <row r="2738" spans="1:2" x14ac:dyDescent="0.3">
      <c r="A2738" s="5">
        <v>45090</v>
      </c>
      <c r="B2738">
        <v>97</v>
      </c>
    </row>
    <row r="2739" spans="1:2" x14ac:dyDescent="0.3">
      <c r="A2739" s="5">
        <v>45091</v>
      </c>
      <c r="B2739">
        <v>97</v>
      </c>
    </row>
    <row r="2740" spans="1:2" x14ac:dyDescent="0.3">
      <c r="A2740" s="5">
        <v>45092</v>
      </c>
      <c r="B2740">
        <v>97</v>
      </c>
    </row>
    <row r="2741" spans="1:2" x14ac:dyDescent="0.3">
      <c r="A2741" s="5">
        <v>45093</v>
      </c>
      <c r="B2741">
        <v>97</v>
      </c>
    </row>
    <row r="2742" spans="1:2" x14ac:dyDescent="0.3">
      <c r="A2742" s="5">
        <v>45094</v>
      </c>
      <c r="B2742">
        <v>97</v>
      </c>
    </row>
    <row r="2743" spans="1:2" x14ac:dyDescent="0.3">
      <c r="A2743" s="5">
        <v>45095</v>
      </c>
      <c r="B2743">
        <v>97</v>
      </c>
    </row>
    <row r="2744" spans="1:2" x14ac:dyDescent="0.3">
      <c r="A2744" s="5">
        <v>45096</v>
      </c>
      <c r="B2744">
        <v>97</v>
      </c>
    </row>
    <row r="2745" spans="1:2" x14ac:dyDescent="0.3">
      <c r="A2745" s="5">
        <v>45097</v>
      </c>
      <c r="B2745">
        <v>97</v>
      </c>
    </row>
    <row r="2746" spans="1:2" x14ac:dyDescent="0.3">
      <c r="A2746" s="5">
        <v>45098</v>
      </c>
      <c r="B2746">
        <v>97</v>
      </c>
    </row>
    <row r="2747" spans="1:2" x14ac:dyDescent="0.3">
      <c r="A2747" s="5">
        <v>45099</v>
      </c>
      <c r="B2747">
        <v>97</v>
      </c>
    </row>
    <row r="2748" spans="1:2" x14ac:dyDescent="0.3">
      <c r="A2748" s="5">
        <v>45100</v>
      </c>
      <c r="B2748">
        <v>97</v>
      </c>
    </row>
    <row r="2749" spans="1:2" x14ac:dyDescent="0.3">
      <c r="A2749" s="5">
        <v>45101</v>
      </c>
      <c r="B2749">
        <v>97</v>
      </c>
    </row>
    <row r="2750" spans="1:2" x14ac:dyDescent="0.3">
      <c r="A2750" s="5">
        <v>45102</v>
      </c>
      <c r="B2750">
        <v>97</v>
      </c>
    </row>
    <row r="2751" spans="1:2" x14ac:dyDescent="0.3">
      <c r="A2751" s="5">
        <v>45103</v>
      </c>
      <c r="B2751">
        <v>97</v>
      </c>
    </row>
    <row r="2752" spans="1:2" x14ac:dyDescent="0.3">
      <c r="A2752" s="5">
        <v>45104</v>
      </c>
      <c r="B2752">
        <v>97</v>
      </c>
    </row>
    <row r="2753" spans="1:2" x14ac:dyDescent="0.3">
      <c r="A2753" s="5">
        <v>45105</v>
      </c>
      <c r="B2753">
        <v>97</v>
      </c>
    </row>
    <row r="2754" spans="1:2" x14ac:dyDescent="0.3">
      <c r="A2754" s="5">
        <v>45106</v>
      </c>
      <c r="B2754">
        <v>97</v>
      </c>
    </row>
    <row r="2755" spans="1:2" x14ac:dyDescent="0.3">
      <c r="A2755" s="5">
        <v>45107</v>
      </c>
      <c r="B2755">
        <v>97</v>
      </c>
    </row>
    <row r="2756" spans="1:2" x14ac:dyDescent="0.3">
      <c r="A2756" s="5">
        <v>45108</v>
      </c>
      <c r="B2756">
        <v>97</v>
      </c>
    </row>
    <row r="2757" spans="1:2" x14ac:dyDescent="0.3">
      <c r="A2757" s="5">
        <v>45109</v>
      </c>
      <c r="B2757">
        <v>97</v>
      </c>
    </row>
    <row r="2758" spans="1:2" x14ac:dyDescent="0.3">
      <c r="A2758" s="5">
        <v>45110</v>
      </c>
      <c r="B2758">
        <v>97</v>
      </c>
    </row>
    <row r="2759" spans="1:2" x14ac:dyDescent="0.3">
      <c r="A2759" s="5">
        <v>45111</v>
      </c>
      <c r="B2759">
        <v>97</v>
      </c>
    </row>
    <row r="2760" spans="1:2" x14ac:dyDescent="0.3">
      <c r="A2760" s="5">
        <v>45112</v>
      </c>
      <c r="B2760">
        <v>97</v>
      </c>
    </row>
    <row r="2761" spans="1:2" x14ac:dyDescent="0.3">
      <c r="A2761" s="5">
        <v>45113</v>
      </c>
      <c r="B2761">
        <v>97</v>
      </c>
    </row>
    <row r="2762" spans="1:2" x14ac:dyDescent="0.3">
      <c r="A2762" s="5">
        <v>45114</v>
      </c>
      <c r="B2762">
        <v>97</v>
      </c>
    </row>
    <row r="2763" spans="1:2" x14ac:dyDescent="0.3">
      <c r="A2763" s="5">
        <v>45115</v>
      </c>
      <c r="B2763">
        <v>97</v>
      </c>
    </row>
    <row r="2764" spans="1:2" x14ac:dyDescent="0.3">
      <c r="A2764" s="5">
        <v>45116</v>
      </c>
      <c r="B2764">
        <v>97</v>
      </c>
    </row>
    <row r="2765" spans="1:2" x14ac:dyDescent="0.3">
      <c r="A2765" s="5">
        <v>45117</v>
      </c>
      <c r="B2765">
        <v>97</v>
      </c>
    </row>
    <row r="2766" spans="1:2" x14ac:dyDescent="0.3">
      <c r="A2766" s="5">
        <v>45118</v>
      </c>
      <c r="B2766">
        <v>97</v>
      </c>
    </row>
    <row r="2767" spans="1:2" x14ac:dyDescent="0.3">
      <c r="A2767" s="5">
        <v>45119</v>
      </c>
      <c r="B2767">
        <v>97</v>
      </c>
    </row>
    <row r="2768" spans="1:2" x14ac:dyDescent="0.3">
      <c r="A2768" s="5">
        <v>45120</v>
      </c>
      <c r="B2768">
        <v>97</v>
      </c>
    </row>
    <row r="2769" spans="1:2" x14ac:dyDescent="0.3">
      <c r="A2769" s="5">
        <v>45121</v>
      </c>
      <c r="B2769">
        <v>97</v>
      </c>
    </row>
    <row r="2770" spans="1:2" x14ac:dyDescent="0.3">
      <c r="A2770" s="5">
        <v>45122</v>
      </c>
      <c r="B2770">
        <v>97</v>
      </c>
    </row>
    <row r="2771" spans="1:2" x14ac:dyDescent="0.3">
      <c r="A2771" s="5">
        <v>45123</v>
      </c>
      <c r="B2771">
        <v>97</v>
      </c>
    </row>
    <row r="2772" spans="1:2" x14ac:dyDescent="0.3">
      <c r="A2772" s="5">
        <v>45124</v>
      </c>
      <c r="B2772">
        <v>97</v>
      </c>
    </row>
    <row r="2773" spans="1:2" x14ac:dyDescent="0.3">
      <c r="A2773" s="5">
        <v>45125</v>
      </c>
      <c r="B2773">
        <v>97</v>
      </c>
    </row>
    <row r="2774" spans="1:2" x14ac:dyDescent="0.3">
      <c r="A2774" s="5">
        <v>45126</v>
      </c>
      <c r="B2774">
        <v>97</v>
      </c>
    </row>
    <row r="2775" spans="1:2" x14ac:dyDescent="0.3">
      <c r="A2775" s="5">
        <v>45127</v>
      </c>
      <c r="B2775">
        <v>97</v>
      </c>
    </row>
    <row r="2776" spans="1:2" x14ac:dyDescent="0.3">
      <c r="A2776" s="5">
        <v>45128</v>
      </c>
      <c r="B2776">
        <v>97</v>
      </c>
    </row>
    <row r="2777" spans="1:2" x14ac:dyDescent="0.3">
      <c r="A2777" s="5">
        <v>45129</v>
      </c>
      <c r="B2777">
        <v>97</v>
      </c>
    </row>
    <row r="2778" spans="1:2" x14ac:dyDescent="0.3">
      <c r="A2778" s="5">
        <v>45130</v>
      </c>
      <c r="B2778">
        <v>97</v>
      </c>
    </row>
    <row r="2779" spans="1:2" x14ac:dyDescent="0.3">
      <c r="A2779" s="5">
        <v>45131</v>
      </c>
      <c r="B2779">
        <v>97</v>
      </c>
    </row>
    <row r="2780" spans="1:2" x14ac:dyDescent="0.3">
      <c r="A2780" s="5">
        <v>45132</v>
      </c>
      <c r="B2780">
        <v>97</v>
      </c>
    </row>
    <row r="2781" spans="1:2" x14ac:dyDescent="0.3">
      <c r="A2781" s="5">
        <v>45133</v>
      </c>
      <c r="B2781">
        <v>97</v>
      </c>
    </row>
    <row r="2782" spans="1:2" x14ac:dyDescent="0.3">
      <c r="A2782" s="5">
        <v>45134</v>
      </c>
      <c r="B2782">
        <v>97</v>
      </c>
    </row>
    <row r="2783" spans="1:2" x14ac:dyDescent="0.3">
      <c r="A2783" s="5">
        <v>45135</v>
      </c>
      <c r="B2783">
        <v>97</v>
      </c>
    </row>
    <row r="2784" spans="1:2" x14ac:dyDescent="0.3">
      <c r="A2784" s="5">
        <v>45136</v>
      </c>
      <c r="B2784">
        <v>97</v>
      </c>
    </row>
    <row r="2785" spans="1:2" x14ac:dyDescent="0.3">
      <c r="A2785" s="5">
        <v>45137</v>
      </c>
      <c r="B2785">
        <v>97</v>
      </c>
    </row>
    <row r="2786" spans="1:2" x14ac:dyDescent="0.3">
      <c r="A2786" s="5">
        <v>45138</v>
      </c>
      <c r="B2786">
        <v>97</v>
      </c>
    </row>
    <row r="2787" spans="1:2" x14ac:dyDescent="0.3">
      <c r="A2787" s="5">
        <v>45139</v>
      </c>
      <c r="B2787">
        <v>97</v>
      </c>
    </row>
    <row r="2788" spans="1:2" x14ac:dyDescent="0.3">
      <c r="A2788" s="5">
        <v>45140</v>
      </c>
      <c r="B2788">
        <v>97</v>
      </c>
    </row>
    <row r="2789" spans="1:2" x14ac:dyDescent="0.3">
      <c r="A2789" s="5">
        <v>45141</v>
      </c>
      <c r="B2789">
        <v>97</v>
      </c>
    </row>
    <row r="2790" spans="1:2" x14ac:dyDescent="0.3">
      <c r="A2790" s="5">
        <v>45142</v>
      </c>
      <c r="B2790">
        <v>97</v>
      </c>
    </row>
    <row r="2791" spans="1:2" x14ac:dyDescent="0.3">
      <c r="A2791" s="5">
        <v>45143</v>
      </c>
      <c r="B2791">
        <v>97</v>
      </c>
    </row>
    <row r="2792" spans="1:2" x14ac:dyDescent="0.3">
      <c r="A2792" s="5">
        <v>45144</v>
      </c>
      <c r="B2792">
        <v>97</v>
      </c>
    </row>
    <row r="2793" spans="1:2" x14ac:dyDescent="0.3">
      <c r="A2793" s="5">
        <v>45145</v>
      </c>
      <c r="B2793">
        <v>97</v>
      </c>
    </row>
    <row r="2794" spans="1:2" x14ac:dyDescent="0.3">
      <c r="A2794" s="5">
        <v>45146</v>
      </c>
      <c r="B2794">
        <v>97</v>
      </c>
    </row>
    <row r="2795" spans="1:2" x14ac:dyDescent="0.3">
      <c r="A2795" s="5">
        <v>45147</v>
      </c>
      <c r="B2795">
        <v>97</v>
      </c>
    </row>
    <row r="2796" spans="1:2" x14ac:dyDescent="0.3">
      <c r="A2796" s="5">
        <v>45148</v>
      </c>
      <c r="B2796">
        <v>97</v>
      </c>
    </row>
    <row r="2797" spans="1:2" x14ac:dyDescent="0.3">
      <c r="A2797" s="5">
        <v>45149</v>
      </c>
      <c r="B2797">
        <v>97</v>
      </c>
    </row>
    <row r="2798" spans="1:2" x14ac:dyDescent="0.3">
      <c r="A2798" s="5">
        <v>45150</v>
      </c>
      <c r="B2798">
        <v>97</v>
      </c>
    </row>
    <row r="2799" spans="1:2" x14ac:dyDescent="0.3">
      <c r="A2799" s="5">
        <v>45151</v>
      </c>
      <c r="B2799">
        <v>97</v>
      </c>
    </row>
    <row r="2800" spans="1:2" x14ac:dyDescent="0.3">
      <c r="A2800" s="5">
        <v>45152</v>
      </c>
      <c r="B2800">
        <v>118</v>
      </c>
    </row>
    <row r="2801" spans="1:2" x14ac:dyDescent="0.3">
      <c r="A2801" s="5">
        <v>45153</v>
      </c>
      <c r="B2801">
        <v>118</v>
      </c>
    </row>
    <row r="2802" spans="1:2" x14ac:dyDescent="0.3">
      <c r="A2802" s="5">
        <v>45154</v>
      </c>
      <c r="B2802">
        <v>118</v>
      </c>
    </row>
    <row r="2803" spans="1:2" x14ac:dyDescent="0.3">
      <c r="A2803" s="5">
        <v>45155</v>
      </c>
      <c r="B2803">
        <v>118</v>
      </c>
    </row>
    <row r="2804" spans="1:2" x14ac:dyDescent="0.3">
      <c r="A2804" s="5">
        <v>45156</v>
      </c>
      <c r="B2804">
        <v>118</v>
      </c>
    </row>
    <row r="2805" spans="1:2" x14ac:dyDescent="0.3">
      <c r="A2805" s="5">
        <v>45157</v>
      </c>
      <c r="B2805">
        <v>118</v>
      </c>
    </row>
    <row r="2806" spans="1:2" x14ac:dyDescent="0.3">
      <c r="A2806" s="5">
        <v>45158</v>
      </c>
      <c r="B2806">
        <v>118</v>
      </c>
    </row>
    <row r="2807" spans="1:2" x14ac:dyDescent="0.3">
      <c r="A2807" s="5">
        <v>45159</v>
      </c>
      <c r="B2807">
        <v>118</v>
      </c>
    </row>
    <row r="2808" spans="1:2" x14ac:dyDescent="0.3">
      <c r="A2808" s="5">
        <v>45160</v>
      </c>
      <c r="B2808">
        <v>118</v>
      </c>
    </row>
    <row r="2809" spans="1:2" x14ac:dyDescent="0.3">
      <c r="A2809" s="5">
        <v>45161</v>
      </c>
      <c r="B2809">
        <v>118</v>
      </c>
    </row>
    <row r="2810" spans="1:2" x14ac:dyDescent="0.3">
      <c r="A2810" s="5">
        <v>45162</v>
      </c>
      <c r="B2810">
        <v>118</v>
      </c>
    </row>
    <row r="2811" spans="1:2" x14ac:dyDescent="0.3">
      <c r="A2811" s="5">
        <v>45163</v>
      </c>
      <c r="B2811">
        <v>118</v>
      </c>
    </row>
    <row r="2812" spans="1:2" x14ac:dyDescent="0.3">
      <c r="A2812" s="5">
        <v>45164</v>
      </c>
      <c r="B2812">
        <v>118</v>
      </c>
    </row>
    <row r="2813" spans="1:2" x14ac:dyDescent="0.3">
      <c r="A2813" s="5">
        <v>45165</v>
      </c>
      <c r="B2813">
        <v>118</v>
      </c>
    </row>
    <row r="2814" spans="1:2" x14ac:dyDescent="0.3">
      <c r="A2814" s="5">
        <v>45166</v>
      </c>
      <c r="B2814">
        <v>118</v>
      </c>
    </row>
    <row r="2815" spans="1:2" x14ac:dyDescent="0.3">
      <c r="A2815" s="5">
        <v>45167</v>
      </c>
      <c r="B2815">
        <v>118</v>
      </c>
    </row>
    <row r="2816" spans="1:2" x14ac:dyDescent="0.3">
      <c r="A2816" s="5">
        <v>45168</v>
      </c>
      <c r="B2816">
        <v>118</v>
      </c>
    </row>
    <row r="2817" spans="1:2" x14ac:dyDescent="0.3">
      <c r="A2817" s="5">
        <v>45169</v>
      </c>
      <c r="B2817">
        <v>118</v>
      </c>
    </row>
    <row r="2818" spans="1:2" x14ac:dyDescent="0.3">
      <c r="A2818" s="5">
        <v>45170</v>
      </c>
      <c r="B2818">
        <v>118</v>
      </c>
    </row>
    <row r="2819" spans="1:2" x14ac:dyDescent="0.3">
      <c r="A2819" s="5">
        <v>45171</v>
      </c>
      <c r="B2819">
        <v>118</v>
      </c>
    </row>
    <row r="2820" spans="1:2" x14ac:dyDescent="0.3">
      <c r="A2820" s="5">
        <v>45172</v>
      </c>
      <c r="B2820">
        <v>118</v>
      </c>
    </row>
    <row r="2821" spans="1:2" x14ac:dyDescent="0.3">
      <c r="A2821" s="5">
        <v>45173</v>
      </c>
      <c r="B2821">
        <v>118</v>
      </c>
    </row>
    <row r="2822" spans="1:2" x14ac:dyDescent="0.3">
      <c r="A2822" s="5">
        <v>45174</v>
      </c>
      <c r="B2822">
        <v>118</v>
      </c>
    </row>
    <row r="2823" spans="1:2" x14ac:dyDescent="0.3">
      <c r="A2823" s="5">
        <v>45175</v>
      </c>
      <c r="B2823">
        <v>118</v>
      </c>
    </row>
    <row r="2824" spans="1:2" x14ac:dyDescent="0.3">
      <c r="A2824" s="5">
        <v>45176</v>
      </c>
      <c r="B2824">
        <v>118</v>
      </c>
    </row>
    <row r="2825" spans="1:2" x14ac:dyDescent="0.3">
      <c r="A2825" s="5">
        <v>45177</v>
      </c>
      <c r="B2825">
        <v>118</v>
      </c>
    </row>
    <row r="2826" spans="1:2" x14ac:dyDescent="0.3">
      <c r="A2826" s="5">
        <v>45178</v>
      </c>
      <c r="B2826">
        <v>118</v>
      </c>
    </row>
    <row r="2827" spans="1:2" x14ac:dyDescent="0.3">
      <c r="A2827" s="5">
        <v>45179</v>
      </c>
      <c r="B2827">
        <v>118</v>
      </c>
    </row>
    <row r="2828" spans="1:2" x14ac:dyDescent="0.3">
      <c r="A2828" s="5">
        <v>45180</v>
      </c>
      <c r="B2828">
        <v>118</v>
      </c>
    </row>
    <row r="2829" spans="1:2" x14ac:dyDescent="0.3">
      <c r="A2829" s="5">
        <v>45181</v>
      </c>
      <c r="B2829">
        <v>118</v>
      </c>
    </row>
    <row r="2830" spans="1:2" x14ac:dyDescent="0.3">
      <c r="A2830" s="5">
        <v>45182</v>
      </c>
      <c r="B2830">
        <v>118</v>
      </c>
    </row>
    <row r="2831" spans="1:2" x14ac:dyDescent="0.3">
      <c r="A2831" s="5">
        <v>45183</v>
      </c>
      <c r="B2831">
        <v>118</v>
      </c>
    </row>
    <row r="2832" spans="1:2" x14ac:dyDescent="0.3">
      <c r="A2832" s="5">
        <v>45184</v>
      </c>
      <c r="B2832">
        <v>118</v>
      </c>
    </row>
    <row r="2833" spans="1:2" x14ac:dyDescent="0.3">
      <c r="A2833" s="5">
        <v>45185</v>
      </c>
      <c r="B2833">
        <v>118</v>
      </c>
    </row>
    <row r="2834" spans="1:2" x14ac:dyDescent="0.3">
      <c r="A2834" s="5">
        <v>45186</v>
      </c>
      <c r="B2834">
        <v>118</v>
      </c>
    </row>
    <row r="2835" spans="1:2" x14ac:dyDescent="0.3">
      <c r="A2835" s="5">
        <v>45187</v>
      </c>
      <c r="B2835">
        <v>118</v>
      </c>
    </row>
    <row r="2836" spans="1:2" x14ac:dyDescent="0.3">
      <c r="A2836" s="5">
        <v>45188</v>
      </c>
      <c r="B2836">
        <v>118</v>
      </c>
    </row>
    <row r="2837" spans="1:2" x14ac:dyDescent="0.3">
      <c r="A2837" s="5">
        <v>45189</v>
      </c>
      <c r="B2837">
        <v>118</v>
      </c>
    </row>
    <row r="2838" spans="1:2" x14ac:dyDescent="0.3">
      <c r="A2838" s="5">
        <v>45190</v>
      </c>
      <c r="B2838">
        <v>118</v>
      </c>
    </row>
    <row r="2839" spans="1:2" x14ac:dyDescent="0.3">
      <c r="A2839" s="5">
        <v>45191</v>
      </c>
      <c r="B2839">
        <v>118</v>
      </c>
    </row>
    <row r="2840" spans="1:2" x14ac:dyDescent="0.3">
      <c r="A2840" s="5">
        <v>45192</v>
      </c>
      <c r="B2840">
        <v>118</v>
      </c>
    </row>
    <row r="2841" spans="1:2" x14ac:dyDescent="0.3">
      <c r="A2841" s="5">
        <v>45193</v>
      </c>
      <c r="B2841">
        <v>118</v>
      </c>
    </row>
    <row r="2842" spans="1:2" x14ac:dyDescent="0.3">
      <c r="A2842" s="5">
        <v>45194</v>
      </c>
      <c r="B2842">
        <v>118</v>
      </c>
    </row>
    <row r="2843" spans="1:2" x14ac:dyDescent="0.3">
      <c r="A2843" s="5">
        <v>45195</v>
      </c>
      <c r="B2843">
        <v>118</v>
      </c>
    </row>
    <row r="2844" spans="1:2" x14ac:dyDescent="0.3">
      <c r="A2844" s="5">
        <v>45196</v>
      </c>
      <c r="B2844">
        <v>118</v>
      </c>
    </row>
    <row r="2845" spans="1:2" x14ac:dyDescent="0.3">
      <c r="A2845" s="5">
        <v>45197</v>
      </c>
      <c r="B2845">
        <v>118</v>
      </c>
    </row>
    <row r="2846" spans="1:2" x14ac:dyDescent="0.3">
      <c r="A2846" s="5">
        <v>45198</v>
      </c>
      <c r="B2846">
        <v>118</v>
      </c>
    </row>
    <row r="2847" spans="1:2" x14ac:dyDescent="0.3">
      <c r="A2847" s="5">
        <v>45199</v>
      </c>
      <c r="B2847">
        <v>118</v>
      </c>
    </row>
    <row r="2848" spans="1:2" x14ac:dyDescent="0.3">
      <c r="A2848" s="5">
        <v>45200</v>
      </c>
      <c r="B2848">
        <v>118</v>
      </c>
    </row>
    <row r="2849" spans="1:2" x14ac:dyDescent="0.3">
      <c r="A2849" s="5">
        <v>45201</v>
      </c>
      <c r="B2849">
        <v>118</v>
      </c>
    </row>
    <row r="2850" spans="1:2" x14ac:dyDescent="0.3">
      <c r="A2850" s="5">
        <v>45202</v>
      </c>
      <c r="B2850">
        <v>118</v>
      </c>
    </row>
    <row r="2851" spans="1:2" x14ac:dyDescent="0.3">
      <c r="A2851" s="5">
        <v>45203</v>
      </c>
      <c r="B2851">
        <v>118</v>
      </c>
    </row>
    <row r="2852" spans="1:2" x14ac:dyDescent="0.3">
      <c r="A2852" s="5">
        <v>45204</v>
      </c>
      <c r="B2852">
        <v>118</v>
      </c>
    </row>
    <row r="2853" spans="1:2" x14ac:dyDescent="0.3">
      <c r="A2853" s="5">
        <v>45205</v>
      </c>
      <c r="B2853">
        <v>118</v>
      </c>
    </row>
    <row r="2854" spans="1:2" x14ac:dyDescent="0.3">
      <c r="A2854" s="5">
        <v>45206</v>
      </c>
      <c r="B2854">
        <v>118</v>
      </c>
    </row>
    <row r="2855" spans="1:2" x14ac:dyDescent="0.3">
      <c r="A2855" s="5">
        <v>45207</v>
      </c>
      <c r="B2855">
        <v>118</v>
      </c>
    </row>
    <row r="2856" spans="1:2" x14ac:dyDescent="0.3">
      <c r="A2856" s="5">
        <v>45208</v>
      </c>
      <c r="B2856">
        <v>118</v>
      </c>
    </row>
    <row r="2857" spans="1:2" x14ac:dyDescent="0.3">
      <c r="A2857" s="5">
        <v>45209</v>
      </c>
      <c r="B2857">
        <v>118</v>
      </c>
    </row>
    <row r="2858" spans="1:2" x14ac:dyDescent="0.3">
      <c r="A2858" s="5">
        <v>45210</v>
      </c>
      <c r="B2858">
        <v>118</v>
      </c>
    </row>
    <row r="2859" spans="1:2" x14ac:dyDescent="0.3">
      <c r="A2859" s="5">
        <v>45211</v>
      </c>
      <c r="B2859">
        <v>133</v>
      </c>
    </row>
    <row r="2860" spans="1:2" x14ac:dyDescent="0.3">
      <c r="A2860" s="5">
        <v>45212</v>
      </c>
      <c r="B2860">
        <v>133</v>
      </c>
    </row>
    <row r="2861" spans="1:2" x14ac:dyDescent="0.3">
      <c r="A2861" s="5">
        <v>45213</v>
      </c>
      <c r="B2861">
        <v>133</v>
      </c>
    </row>
    <row r="2862" spans="1:2" x14ac:dyDescent="0.3">
      <c r="A2862" s="5">
        <v>45214</v>
      </c>
      <c r="B2862">
        <v>133</v>
      </c>
    </row>
    <row r="2863" spans="1:2" x14ac:dyDescent="0.3">
      <c r="A2863" s="5">
        <v>45215</v>
      </c>
      <c r="B2863">
        <v>133</v>
      </c>
    </row>
    <row r="2864" spans="1:2" x14ac:dyDescent="0.3">
      <c r="A2864" s="5">
        <v>45216</v>
      </c>
      <c r="B2864">
        <v>133</v>
      </c>
    </row>
    <row r="2865" spans="1:2" x14ac:dyDescent="0.3">
      <c r="A2865" s="5">
        <v>45217</v>
      </c>
      <c r="B2865">
        <v>133</v>
      </c>
    </row>
    <row r="2866" spans="1:2" x14ac:dyDescent="0.3">
      <c r="A2866" s="5">
        <v>45218</v>
      </c>
      <c r="B2866">
        <v>133</v>
      </c>
    </row>
    <row r="2867" spans="1:2" x14ac:dyDescent="0.3">
      <c r="A2867" s="5">
        <v>45219</v>
      </c>
      <c r="B2867">
        <v>133</v>
      </c>
    </row>
    <row r="2868" spans="1:2" x14ac:dyDescent="0.3">
      <c r="A2868" s="5">
        <v>45220</v>
      </c>
      <c r="B2868">
        <v>133</v>
      </c>
    </row>
    <row r="2869" spans="1:2" x14ac:dyDescent="0.3">
      <c r="A2869" s="5">
        <v>45221</v>
      </c>
      <c r="B2869">
        <v>133</v>
      </c>
    </row>
    <row r="2870" spans="1:2" x14ac:dyDescent="0.3">
      <c r="A2870" s="5">
        <v>45222</v>
      </c>
      <c r="B2870">
        <v>133</v>
      </c>
    </row>
    <row r="2871" spans="1:2" x14ac:dyDescent="0.3">
      <c r="A2871" s="5">
        <v>45223</v>
      </c>
      <c r="B2871">
        <v>133</v>
      </c>
    </row>
    <row r="2872" spans="1:2" x14ac:dyDescent="0.3">
      <c r="A2872" s="5">
        <v>45224</v>
      </c>
      <c r="B2872">
        <v>133</v>
      </c>
    </row>
    <row r="2873" spans="1:2" x14ac:dyDescent="0.3">
      <c r="A2873" s="5">
        <v>45225</v>
      </c>
      <c r="B2873">
        <v>133</v>
      </c>
    </row>
    <row r="2874" spans="1:2" x14ac:dyDescent="0.3">
      <c r="A2874" s="5">
        <v>45226</v>
      </c>
      <c r="B2874">
        <v>133</v>
      </c>
    </row>
    <row r="2875" spans="1:2" x14ac:dyDescent="0.3">
      <c r="A2875" s="5">
        <v>45227</v>
      </c>
      <c r="B2875">
        <v>133</v>
      </c>
    </row>
    <row r="2876" spans="1:2" x14ac:dyDescent="0.3">
      <c r="A2876" s="5">
        <v>45228</v>
      </c>
      <c r="B2876">
        <v>133</v>
      </c>
    </row>
    <row r="2877" spans="1:2" x14ac:dyDescent="0.3">
      <c r="A2877" s="5">
        <v>45229</v>
      </c>
      <c r="B2877">
        <v>133</v>
      </c>
    </row>
    <row r="2878" spans="1:2" x14ac:dyDescent="0.3">
      <c r="A2878" s="5">
        <v>45230</v>
      </c>
      <c r="B2878">
        <v>133</v>
      </c>
    </row>
    <row r="2879" spans="1:2" x14ac:dyDescent="0.3">
      <c r="A2879" s="5">
        <v>45231</v>
      </c>
      <c r="B2879">
        <v>133</v>
      </c>
    </row>
    <row r="2880" spans="1:2" x14ac:dyDescent="0.3">
      <c r="A2880" s="5">
        <v>45232</v>
      </c>
      <c r="B2880">
        <v>133</v>
      </c>
    </row>
    <row r="2881" spans="1:2" x14ac:dyDescent="0.3">
      <c r="A2881" s="5">
        <v>45233</v>
      </c>
      <c r="B2881">
        <v>133</v>
      </c>
    </row>
    <row r="2882" spans="1:2" x14ac:dyDescent="0.3">
      <c r="A2882" s="5">
        <v>45234</v>
      </c>
      <c r="B2882">
        <v>133</v>
      </c>
    </row>
    <row r="2883" spans="1:2" x14ac:dyDescent="0.3">
      <c r="A2883" s="5">
        <v>45235</v>
      </c>
      <c r="B2883">
        <v>133</v>
      </c>
    </row>
    <row r="2884" spans="1:2" x14ac:dyDescent="0.3">
      <c r="A2884" s="5">
        <v>45236</v>
      </c>
      <c r="B2884">
        <v>133</v>
      </c>
    </row>
    <row r="2885" spans="1:2" x14ac:dyDescent="0.3">
      <c r="A2885" s="5">
        <v>45237</v>
      </c>
      <c r="B2885">
        <v>133</v>
      </c>
    </row>
    <row r="2886" spans="1:2" x14ac:dyDescent="0.3">
      <c r="A2886" s="5">
        <v>45238</v>
      </c>
      <c r="B2886">
        <v>133</v>
      </c>
    </row>
    <row r="2887" spans="1:2" x14ac:dyDescent="0.3">
      <c r="A2887" s="5">
        <v>45239</v>
      </c>
      <c r="B2887">
        <v>133</v>
      </c>
    </row>
    <row r="2888" spans="1:2" x14ac:dyDescent="0.3">
      <c r="A2888" s="5">
        <v>45240</v>
      </c>
      <c r="B2888">
        <v>133</v>
      </c>
    </row>
    <row r="2889" spans="1:2" x14ac:dyDescent="0.3">
      <c r="A2889" s="5">
        <v>45241</v>
      </c>
      <c r="B2889">
        <v>133</v>
      </c>
    </row>
    <row r="2890" spans="1:2" x14ac:dyDescent="0.3">
      <c r="A2890" s="5">
        <v>45242</v>
      </c>
      <c r="B2890">
        <v>133</v>
      </c>
    </row>
    <row r="2891" spans="1:2" x14ac:dyDescent="0.3">
      <c r="A2891" s="5">
        <v>45243</v>
      </c>
      <c r="B2891">
        <v>133</v>
      </c>
    </row>
    <row r="2892" spans="1:2" x14ac:dyDescent="0.3">
      <c r="A2892" s="5">
        <v>45244</v>
      </c>
      <c r="B2892">
        <v>133</v>
      </c>
    </row>
    <row r="2893" spans="1:2" x14ac:dyDescent="0.3">
      <c r="A2893" s="5">
        <v>45245</v>
      </c>
      <c r="B2893">
        <v>133</v>
      </c>
    </row>
    <row r="2894" spans="1:2" x14ac:dyDescent="0.3">
      <c r="A2894" s="5">
        <v>45246</v>
      </c>
      <c r="B2894">
        <v>133</v>
      </c>
    </row>
    <row r="2895" spans="1:2" x14ac:dyDescent="0.3">
      <c r="A2895" s="5">
        <v>45247</v>
      </c>
      <c r="B2895">
        <v>133</v>
      </c>
    </row>
    <row r="2896" spans="1:2" x14ac:dyDescent="0.3">
      <c r="A2896" s="5">
        <v>45248</v>
      </c>
      <c r="B2896">
        <v>133</v>
      </c>
    </row>
    <row r="2897" spans="1:2" x14ac:dyDescent="0.3">
      <c r="A2897" s="5">
        <v>45249</v>
      </c>
      <c r="B2897">
        <v>133</v>
      </c>
    </row>
    <row r="2898" spans="1:2" x14ac:dyDescent="0.3">
      <c r="A2898" s="5">
        <v>45250</v>
      </c>
      <c r="B2898">
        <v>133</v>
      </c>
    </row>
    <row r="2899" spans="1:2" x14ac:dyDescent="0.3">
      <c r="A2899" s="5">
        <v>45251</v>
      </c>
      <c r="B2899">
        <v>133</v>
      </c>
    </row>
    <row r="2900" spans="1:2" x14ac:dyDescent="0.3">
      <c r="A2900" s="5">
        <v>45252</v>
      </c>
      <c r="B2900">
        <v>133</v>
      </c>
    </row>
    <row r="2901" spans="1:2" x14ac:dyDescent="0.3">
      <c r="A2901" s="5">
        <v>45253</v>
      </c>
      <c r="B2901">
        <v>133</v>
      </c>
    </row>
    <row r="2902" spans="1:2" x14ac:dyDescent="0.3">
      <c r="A2902" s="5">
        <v>45254</v>
      </c>
      <c r="B2902">
        <v>133</v>
      </c>
    </row>
    <row r="2903" spans="1:2" x14ac:dyDescent="0.3">
      <c r="A2903" s="5">
        <v>45255</v>
      </c>
      <c r="B2903">
        <v>133</v>
      </c>
    </row>
    <row r="2904" spans="1:2" x14ac:dyDescent="0.3">
      <c r="A2904" s="5">
        <v>45256</v>
      </c>
      <c r="B2904">
        <v>133</v>
      </c>
    </row>
    <row r="2905" spans="1:2" x14ac:dyDescent="0.3">
      <c r="A2905" s="5">
        <v>45257</v>
      </c>
      <c r="B2905">
        <v>133</v>
      </c>
    </row>
    <row r="2906" spans="1:2" x14ac:dyDescent="0.3">
      <c r="A2906" s="5">
        <v>45258</v>
      </c>
      <c r="B2906">
        <v>133</v>
      </c>
    </row>
    <row r="2907" spans="1:2" x14ac:dyDescent="0.3">
      <c r="A2907" s="5">
        <v>45259</v>
      </c>
      <c r="B2907">
        <v>133</v>
      </c>
    </row>
    <row r="2908" spans="1:2" x14ac:dyDescent="0.3">
      <c r="A2908" s="5">
        <v>45260</v>
      </c>
      <c r="B2908">
        <v>133</v>
      </c>
    </row>
    <row r="2909" spans="1:2" x14ac:dyDescent="0.3">
      <c r="A2909" s="5">
        <v>45261</v>
      </c>
      <c r="B2909">
        <v>133</v>
      </c>
    </row>
    <row r="2910" spans="1:2" x14ac:dyDescent="0.3">
      <c r="A2910" s="5">
        <v>45262</v>
      </c>
      <c r="B2910">
        <v>133</v>
      </c>
    </row>
    <row r="2911" spans="1:2" x14ac:dyDescent="0.3">
      <c r="A2911" s="5">
        <v>45263</v>
      </c>
      <c r="B2911">
        <v>133</v>
      </c>
    </row>
    <row r="2912" spans="1:2" x14ac:dyDescent="0.3">
      <c r="A2912" s="5">
        <v>45264</v>
      </c>
      <c r="B2912">
        <v>133</v>
      </c>
    </row>
    <row r="2913" spans="1:2" x14ac:dyDescent="0.3">
      <c r="A2913" s="5">
        <v>45265</v>
      </c>
      <c r="B2913">
        <v>133</v>
      </c>
    </row>
    <row r="2914" spans="1:2" x14ac:dyDescent="0.3">
      <c r="A2914" s="5">
        <v>45266</v>
      </c>
      <c r="B2914">
        <v>133</v>
      </c>
    </row>
    <row r="2915" spans="1:2" x14ac:dyDescent="0.3">
      <c r="A2915" s="5">
        <v>45267</v>
      </c>
      <c r="B2915">
        <v>133</v>
      </c>
    </row>
    <row r="2916" spans="1:2" x14ac:dyDescent="0.3">
      <c r="A2916" s="5">
        <v>45268</v>
      </c>
      <c r="B2916">
        <v>133</v>
      </c>
    </row>
    <row r="2917" spans="1:2" x14ac:dyDescent="0.3">
      <c r="A2917" s="5">
        <v>45269</v>
      </c>
      <c r="B2917">
        <v>133</v>
      </c>
    </row>
    <row r="2918" spans="1:2" x14ac:dyDescent="0.3">
      <c r="A2918" s="5">
        <v>45270</v>
      </c>
      <c r="B2918">
        <v>133</v>
      </c>
    </row>
    <row r="2919" spans="1:2" x14ac:dyDescent="0.3">
      <c r="A2919" s="5">
        <v>45271</v>
      </c>
      <c r="B2919">
        <v>133</v>
      </c>
    </row>
    <row r="2920" spans="1:2" x14ac:dyDescent="0.3">
      <c r="A2920" s="5">
        <v>45272</v>
      </c>
      <c r="B2920">
        <v>133</v>
      </c>
    </row>
    <row r="2921" spans="1:2" x14ac:dyDescent="0.3">
      <c r="A2921" s="5">
        <v>45273</v>
      </c>
      <c r="B2921">
        <v>133</v>
      </c>
    </row>
    <row r="2922" spans="1:2" x14ac:dyDescent="0.3">
      <c r="A2922" s="5">
        <v>45274</v>
      </c>
      <c r="B2922">
        <v>133</v>
      </c>
    </row>
    <row r="2923" spans="1:2" x14ac:dyDescent="0.3">
      <c r="A2923" s="5">
        <v>45275</v>
      </c>
      <c r="B2923">
        <v>133</v>
      </c>
    </row>
    <row r="2924" spans="1:2" x14ac:dyDescent="0.3">
      <c r="A2924" s="5">
        <v>45276</v>
      </c>
      <c r="B2924">
        <v>133</v>
      </c>
    </row>
    <row r="2925" spans="1:2" x14ac:dyDescent="0.3">
      <c r="A2925" s="5">
        <v>45277</v>
      </c>
      <c r="B2925">
        <v>133</v>
      </c>
    </row>
    <row r="2926" spans="1:2" x14ac:dyDescent="0.3">
      <c r="A2926" s="5">
        <v>45278</v>
      </c>
      <c r="B2926">
        <v>100</v>
      </c>
    </row>
    <row r="2927" spans="1:2" x14ac:dyDescent="0.3">
      <c r="A2927" s="5">
        <v>45279</v>
      </c>
      <c r="B2927">
        <v>100</v>
      </c>
    </row>
    <row r="2928" spans="1:2" x14ac:dyDescent="0.3">
      <c r="A2928" s="5">
        <v>45280</v>
      </c>
      <c r="B2928">
        <v>100</v>
      </c>
    </row>
    <row r="2929" spans="1:2" x14ac:dyDescent="0.3">
      <c r="A2929" s="5">
        <v>45281</v>
      </c>
      <c r="B2929">
        <v>100</v>
      </c>
    </row>
    <row r="2930" spans="1:2" x14ac:dyDescent="0.3">
      <c r="A2930" s="5">
        <v>45282</v>
      </c>
      <c r="B2930">
        <v>100</v>
      </c>
    </row>
    <row r="2931" spans="1:2" x14ac:dyDescent="0.3">
      <c r="A2931" s="5">
        <v>45283</v>
      </c>
      <c r="B2931">
        <v>100</v>
      </c>
    </row>
    <row r="2932" spans="1:2" x14ac:dyDescent="0.3">
      <c r="A2932" s="5">
        <v>45284</v>
      </c>
      <c r="B2932">
        <v>100</v>
      </c>
    </row>
    <row r="2933" spans="1:2" x14ac:dyDescent="0.3">
      <c r="A2933" s="5">
        <v>45285</v>
      </c>
      <c r="B2933">
        <v>100</v>
      </c>
    </row>
    <row r="2934" spans="1:2" x14ac:dyDescent="0.3">
      <c r="A2934" s="5">
        <v>45286</v>
      </c>
      <c r="B2934">
        <v>100</v>
      </c>
    </row>
    <row r="2935" spans="1:2" x14ac:dyDescent="0.3">
      <c r="A2935" s="5">
        <v>45287</v>
      </c>
      <c r="B2935">
        <v>100</v>
      </c>
    </row>
    <row r="2936" spans="1:2" x14ac:dyDescent="0.3">
      <c r="A2936" s="5">
        <v>45288</v>
      </c>
      <c r="B2936">
        <v>100</v>
      </c>
    </row>
    <row r="2937" spans="1:2" x14ac:dyDescent="0.3">
      <c r="A2937" s="5">
        <v>45289</v>
      </c>
      <c r="B2937">
        <v>100</v>
      </c>
    </row>
    <row r="2938" spans="1:2" x14ac:dyDescent="0.3">
      <c r="A2938" s="5">
        <v>45290</v>
      </c>
      <c r="B2938">
        <v>100</v>
      </c>
    </row>
    <row r="2939" spans="1:2" x14ac:dyDescent="0.3">
      <c r="A2939" s="5">
        <v>45291</v>
      </c>
      <c r="B2939">
        <v>100</v>
      </c>
    </row>
    <row r="2940" spans="1:2" x14ac:dyDescent="0.3">
      <c r="A2940" s="5">
        <v>45293</v>
      </c>
      <c r="B2940">
        <v>100</v>
      </c>
    </row>
    <row r="2941" spans="1:2" x14ac:dyDescent="0.3">
      <c r="A2941" s="5">
        <v>45294</v>
      </c>
      <c r="B2941">
        <v>100</v>
      </c>
    </row>
    <row r="2942" spans="1:2" x14ac:dyDescent="0.3">
      <c r="A2942" s="5">
        <v>45295</v>
      </c>
      <c r="B2942">
        <v>100</v>
      </c>
    </row>
    <row r="2943" spans="1:2" x14ac:dyDescent="0.3">
      <c r="A2943" s="5">
        <v>45296</v>
      </c>
      <c r="B2943">
        <v>100</v>
      </c>
    </row>
    <row r="2944" spans="1:2" x14ac:dyDescent="0.3">
      <c r="A2944" s="5">
        <v>45299</v>
      </c>
      <c r="B2944">
        <v>100</v>
      </c>
    </row>
    <row r="2945" spans="1:2" x14ac:dyDescent="0.3">
      <c r="A2945" s="5">
        <v>45300</v>
      </c>
      <c r="B2945">
        <v>100</v>
      </c>
    </row>
    <row r="2946" spans="1:2" x14ac:dyDescent="0.3">
      <c r="A2946" s="5">
        <v>45301</v>
      </c>
      <c r="B2946">
        <v>100</v>
      </c>
    </row>
    <row r="2947" spans="1:2" x14ac:dyDescent="0.3">
      <c r="A2947" s="5">
        <v>45302</v>
      </c>
      <c r="B2947">
        <v>100</v>
      </c>
    </row>
    <row r="2948" spans="1:2" x14ac:dyDescent="0.3">
      <c r="A2948" s="5">
        <v>45303</v>
      </c>
      <c r="B2948">
        <v>100</v>
      </c>
    </row>
    <row r="2949" spans="1:2" x14ac:dyDescent="0.3">
      <c r="A2949" s="5">
        <v>45306</v>
      </c>
      <c r="B2949">
        <v>100</v>
      </c>
    </row>
    <row r="2950" spans="1:2" x14ac:dyDescent="0.3">
      <c r="A2950" s="5">
        <v>45307</v>
      </c>
      <c r="B2950">
        <v>100</v>
      </c>
    </row>
    <row r="2951" spans="1:2" x14ac:dyDescent="0.3">
      <c r="A2951" s="5">
        <v>45308</v>
      </c>
      <c r="B2951">
        <v>100</v>
      </c>
    </row>
    <row r="2952" spans="1:2" x14ac:dyDescent="0.3">
      <c r="A2952" s="5">
        <v>45309</v>
      </c>
      <c r="B2952">
        <v>100</v>
      </c>
    </row>
    <row r="2953" spans="1:2" x14ac:dyDescent="0.3">
      <c r="A2953" s="5">
        <v>45310</v>
      </c>
      <c r="B2953">
        <v>100</v>
      </c>
    </row>
    <row r="2954" spans="1:2" x14ac:dyDescent="0.3">
      <c r="A2954" s="5">
        <v>45313</v>
      </c>
      <c r="B2954">
        <v>100</v>
      </c>
    </row>
    <row r="2955" spans="1:2" x14ac:dyDescent="0.3">
      <c r="A2955" s="5">
        <v>45314</v>
      </c>
      <c r="B2955">
        <v>100</v>
      </c>
    </row>
    <row r="2956" spans="1:2" x14ac:dyDescent="0.3">
      <c r="A2956" s="5">
        <v>45315</v>
      </c>
      <c r="B2956">
        <v>100</v>
      </c>
    </row>
    <row r="2957" spans="1:2" x14ac:dyDescent="0.3">
      <c r="A2957" s="5">
        <v>45316</v>
      </c>
      <c r="B2957">
        <v>100</v>
      </c>
    </row>
    <row r="2958" spans="1:2" x14ac:dyDescent="0.3">
      <c r="A2958" s="5">
        <v>45317</v>
      </c>
      <c r="B2958">
        <v>100</v>
      </c>
    </row>
    <row r="2959" spans="1:2" x14ac:dyDescent="0.3">
      <c r="A2959" s="5">
        <v>45320</v>
      </c>
      <c r="B2959">
        <v>100</v>
      </c>
    </row>
    <row r="2960" spans="1:2" x14ac:dyDescent="0.3">
      <c r="A2960" s="5">
        <v>45321</v>
      </c>
      <c r="B2960">
        <v>100</v>
      </c>
    </row>
    <row r="2961" spans="1:2" x14ac:dyDescent="0.3">
      <c r="A2961" s="5">
        <v>45322</v>
      </c>
      <c r="B2961">
        <v>100</v>
      </c>
    </row>
    <row r="2962" spans="1:2" x14ac:dyDescent="0.3">
      <c r="A2962" s="5">
        <v>45323</v>
      </c>
      <c r="B2962">
        <v>100</v>
      </c>
    </row>
    <row r="2963" spans="1:2" x14ac:dyDescent="0.3">
      <c r="A2963" s="5">
        <v>45324</v>
      </c>
      <c r="B2963">
        <v>100</v>
      </c>
    </row>
    <row r="2964" spans="1:2" x14ac:dyDescent="0.3">
      <c r="A2964" s="5">
        <v>45327</v>
      </c>
      <c r="B2964">
        <v>100</v>
      </c>
    </row>
    <row r="2965" spans="1:2" x14ac:dyDescent="0.3">
      <c r="A2965" s="5">
        <v>45328</v>
      </c>
      <c r="B2965">
        <v>100</v>
      </c>
    </row>
    <row r="2966" spans="1:2" x14ac:dyDescent="0.3">
      <c r="A2966" s="5">
        <v>45329</v>
      </c>
      <c r="B2966">
        <v>100</v>
      </c>
    </row>
    <row r="2967" spans="1:2" x14ac:dyDescent="0.3">
      <c r="A2967" s="5">
        <v>45330</v>
      </c>
      <c r="B2967">
        <v>100</v>
      </c>
    </row>
    <row r="2968" spans="1:2" x14ac:dyDescent="0.3">
      <c r="A2968" s="5">
        <v>45331</v>
      </c>
      <c r="B2968">
        <v>100</v>
      </c>
    </row>
    <row r="2969" spans="1:2" x14ac:dyDescent="0.3">
      <c r="A2969" s="5">
        <v>45336</v>
      </c>
      <c r="B2969">
        <v>100</v>
      </c>
    </row>
    <row r="2970" spans="1:2" x14ac:dyDescent="0.3">
      <c r="A2970" s="5">
        <v>45337</v>
      </c>
      <c r="B2970">
        <v>100</v>
      </c>
    </row>
    <row r="2971" spans="1:2" x14ac:dyDescent="0.3">
      <c r="A2971" s="5">
        <v>45338</v>
      </c>
      <c r="B2971">
        <v>100</v>
      </c>
    </row>
    <row r="2972" spans="1:2" x14ac:dyDescent="0.3">
      <c r="A2972" s="5">
        <v>45341</v>
      </c>
      <c r="B2972">
        <v>100</v>
      </c>
    </row>
    <row r="2973" spans="1:2" x14ac:dyDescent="0.3">
      <c r="A2973" s="5">
        <v>45342</v>
      </c>
      <c r="B2973">
        <v>100</v>
      </c>
    </row>
    <row r="2974" spans="1:2" x14ac:dyDescent="0.3">
      <c r="A2974" s="5">
        <v>45343</v>
      </c>
      <c r="B2974">
        <v>100</v>
      </c>
    </row>
    <row r="2975" spans="1:2" x14ac:dyDescent="0.3">
      <c r="A2975" s="5">
        <v>45344</v>
      </c>
      <c r="B2975">
        <v>100</v>
      </c>
    </row>
    <row r="2976" spans="1:2" x14ac:dyDescent="0.3">
      <c r="A2976" s="5">
        <v>45345</v>
      </c>
      <c r="B2976">
        <v>100</v>
      </c>
    </row>
    <row r="2977" spans="1:2" x14ac:dyDescent="0.3">
      <c r="A2977" s="5">
        <v>45348</v>
      </c>
      <c r="B2977">
        <v>100</v>
      </c>
    </row>
    <row r="2978" spans="1:2" x14ac:dyDescent="0.3">
      <c r="A2978" s="5">
        <v>45349</v>
      </c>
      <c r="B2978">
        <v>100</v>
      </c>
    </row>
    <row r="2979" spans="1:2" x14ac:dyDescent="0.3">
      <c r="A2979" s="5">
        <v>45350</v>
      </c>
      <c r="B2979">
        <v>100</v>
      </c>
    </row>
    <row r="2980" spans="1:2" x14ac:dyDescent="0.3">
      <c r="A2980" s="5">
        <v>45351</v>
      </c>
      <c r="B2980">
        <v>100</v>
      </c>
    </row>
    <row r="2981" spans="1:2" x14ac:dyDescent="0.3">
      <c r="A2981" s="5">
        <v>45352</v>
      </c>
      <c r="B2981">
        <v>100</v>
      </c>
    </row>
    <row r="2982" spans="1:2" x14ac:dyDescent="0.3">
      <c r="A2982" s="5">
        <v>45355</v>
      </c>
      <c r="B2982">
        <v>100</v>
      </c>
    </row>
    <row r="2983" spans="1:2" x14ac:dyDescent="0.3">
      <c r="A2983" s="5">
        <v>45356</v>
      </c>
      <c r="B2983">
        <v>100</v>
      </c>
    </row>
    <row r="2984" spans="1:2" x14ac:dyDescent="0.3">
      <c r="A2984" s="5">
        <v>45357</v>
      </c>
      <c r="B2984">
        <v>100</v>
      </c>
    </row>
    <row r="2985" spans="1:2" x14ac:dyDescent="0.3">
      <c r="A2985" s="5">
        <v>45358</v>
      </c>
      <c r="B2985">
        <v>100</v>
      </c>
    </row>
    <row r="2986" spans="1:2" x14ac:dyDescent="0.3">
      <c r="A2986" s="5">
        <v>45359</v>
      </c>
      <c r="B2986">
        <v>100</v>
      </c>
    </row>
    <row r="2987" spans="1:2" x14ac:dyDescent="0.3">
      <c r="A2987" s="5">
        <v>45362</v>
      </c>
      <c r="B2987">
        <v>100</v>
      </c>
    </row>
    <row r="2988" spans="1:2" x14ac:dyDescent="0.3">
      <c r="A2988" s="5">
        <v>45363</v>
      </c>
      <c r="B2988">
        <v>80</v>
      </c>
    </row>
    <row r="2989" spans="1:2" x14ac:dyDescent="0.3">
      <c r="A2989" s="5">
        <v>45364</v>
      </c>
      <c r="B2989">
        <v>80</v>
      </c>
    </row>
    <row r="2990" spans="1:2" x14ac:dyDescent="0.3">
      <c r="A2990" s="5">
        <v>45365</v>
      </c>
      <c r="B2990">
        <v>80</v>
      </c>
    </row>
    <row r="2991" spans="1:2" x14ac:dyDescent="0.3">
      <c r="A2991" s="5">
        <v>45366</v>
      </c>
      <c r="B2991">
        <v>80</v>
      </c>
    </row>
    <row r="2992" spans="1:2" x14ac:dyDescent="0.3">
      <c r="A2992" s="5">
        <v>45369</v>
      </c>
      <c r="B2992">
        <v>80</v>
      </c>
    </row>
    <row r="2993" spans="1:2" x14ac:dyDescent="0.3">
      <c r="A2993" s="5">
        <v>45370</v>
      </c>
      <c r="B2993">
        <v>80</v>
      </c>
    </row>
    <row r="2994" spans="1:2" x14ac:dyDescent="0.3">
      <c r="A2994" s="5">
        <v>45371</v>
      </c>
      <c r="B2994">
        <v>80</v>
      </c>
    </row>
    <row r="2995" spans="1:2" x14ac:dyDescent="0.3">
      <c r="A2995" s="5">
        <v>45372</v>
      </c>
      <c r="B2995">
        <v>80</v>
      </c>
    </row>
    <row r="2996" spans="1:2" x14ac:dyDescent="0.3">
      <c r="A2996" s="5">
        <v>45373</v>
      </c>
      <c r="B2996">
        <v>80</v>
      </c>
    </row>
    <row r="2997" spans="1:2" x14ac:dyDescent="0.3">
      <c r="A2997" s="5">
        <v>45376</v>
      </c>
      <c r="B2997">
        <v>80</v>
      </c>
    </row>
    <row r="2998" spans="1:2" x14ac:dyDescent="0.3">
      <c r="A2998" s="5">
        <v>45377</v>
      </c>
      <c r="B2998">
        <v>80</v>
      </c>
    </row>
    <row r="2999" spans="1:2" x14ac:dyDescent="0.3">
      <c r="A2999" s="5">
        <v>45378</v>
      </c>
      <c r="B2999">
        <v>80</v>
      </c>
    </row>
    <row r="3000" spans="1:2" x14ac:dyDescent="0.3">
      <c r="A3000" s="5">
        <v>45385</v>
      </c>
      <c r="B3000">
        <v>80</v>
      </c>
    </row>
    <row r="3001" spans="1:2" x14ac:dyDescent="0.3">
      <c r="A3001" s="5">
        <v>45386</v>
      </c>
      <c r="B3001">
        <v>80</v>
      </c>
    </row>
    <row r="3002" spans="1:2" x14ac:dyDescent="0.3">
      <c r="A3002" s="5">
        <v>45387</v>
      </c>
      <c r="B3002">
        <v>80</v>
      </c>
    </row>
    <row r="3003" spans="1:2" x14ac:dyDescent="0.3">
      <c r="A3003" s="5">
        <v>45390</v>
      </c>
      <c r="B3003">
        <v>80</v>
      </c>
    </row>
    <row r="3004" spans="1:2" x14ac:dyDescent="0.3">
      <c r="A3004" s="5">
        <v>45391</v>
      </c>
      <c r="B3004">
        <v>80</v>
      </c>
    </row>
    <row r="3005" spans="1:2" x14ac:dyDescent="0.3">
      <c r="A3005" s="5">
        <v>45392</v>
      </c>
      <c r="B3005">
        <v>80</v>
      </c>
    </row>
    <row r="3006" spans="1:2" x14ac:dyDescent="0.3">
      <c r="A3006" s="5">
        <v>45393</v>
      </c>
      <c r="B3006">
        <v>70</v>
      </c>
    </row>
    <row r="3007" spans="1:2" x14ac:dyDescent="0.3">
      <c r="A3007" s="5">
        <v>45394</v>
      </c>
      <c r="B3007">
        <v>70</v>
      </c>
    </row>
    <row r="3008" spans="1:2" x14ac:dyDescent="0.3">
      <c r="A3008" s="5">
        <v>45397</v>
      </c>
      <c r="B3008">
        <v>70</v>
      </c>
    </row>
    <row r="3009" spans="1:2" x14ac:dyDescent="0.3">
      <c r="A3009" s="5">
        <v>45398</v>
      </c>
      <c r="B3009">
        <v>70</v>
      </c>
    </row>
    <row r="3010" spans="1:2" x14ac:dyDescent="0.3">
      <c r="A3010" s="5">
        <v>45399</v>
      </c>
      <c r="B3010">
        <v>70</v>
      </c>
    </row>
    <row r="3011" spans="1:2" x14ac:dyDescent="0.3">
      <c r="A3011" s="5">
        <v>45400</v>
      </c>
      <c r="B3011">
        <v>70</v>
      </c>
    </row>
    <row r="3012" spans="1:2" x14ac:dyDescent="0.3">
      <c r="A3012" s="5">
        <v>45401</v>
      </c>
      <c r="B3012">
        <v>70</v>
      </c>
    </row>
    <row r="3013" spans="1:2" x14ac:dyDescent="0.3">
      <c r="A3013" s="5">
        <v>45404</v>
      </c>
      <c r="B3013">
        <v>70</v>
      </c>
    </row>
    <row r="3014" spans="1:2" x14ac:dyDescent="0.3">
      <c r="A3014" s="5">
        <v>45405</v>
      </c>
      <c r="B3014">
        <v>70</v>
      </c>
    </row>
    <row r="3015" spans="1:2" x14ac:dyDescent="0.3">
      <c r="A3015" s="5">
        <v>45406</v>
      </c>
      <c r="B3015">
        <v>70</v>
      </c>
    </row>
    <row r="3016" spans="1:2" x14ac:dyDescent="0.3">
      <c r="A3016" s="5">
        <v>45407</v>
      </c>
      <c r="B3016">
        <v>60</v>
      </c>
    </row>
    <row r="3017" spans="1:2" x14ac:dyDescent="0.3">
      <c r="A3017" s="5">
        <v>45408</v>
      </c>
      <c r="B3017">
        <v>60</v>
      </c>
    </row>
    <row r="3018" spans="1:2" x14ac:dyDescent="0.3">
      <c r="A3018" s="5">
        <v>45411</v>
      </c>
      <c r="B3018">
        <v>60</v>
      </c>
    </row>
    <row r="3019" spans="1:2" x14ac:dyDescent="0.3">
      <c r="A3019" s="5">
        <v>45412</v>
      </c>
      <c r="B3019">
        <v>60</v>
      </c>
    </row>
    <row r="3020" spans="1:2" x14ac:dyDescent="0.3">
      <c r="A3020" s="5">
        <v>45414</v>
      </c>
      <c r="B3020">
        <v>50</v>
      </c>
    </row>
    <row r="3021" spans="1:2" x14ac:dyDescent="0.3">
      <c r="A3021" s="5">
        <v>45415</v>
      </c>
      <c r="B3021">
        <v>50</v>
      </c>
    </row>
    <row r="3022" spans="1:2" x14ac:dyDescent="0.3">
      <c r="A3022" s="5">
        <v>45418</v>
      </c>
      <c r="B3022">
        <v>50</v>
      </c>
    </row>
    <row r="3023" spans="1:2" x14ac:dyDescent="0.3">
      <c r="A3023" s="5">
        <v>45419</v>
      </c>
      <c r="B3023">
        <v>50</v>
      </c>
    </row>
    <row r="3024" spans="1:2" x14ac:dyDescent="0.3">
      <c r="A3024" s="5">
        <v>45420</v>
      </c>
      <c r="B3024">
        <v>50</v>
      </c>
    </row>
    <row r="3025" spans="1:2" x14ac:dyDescent="0.3">
      <c r="A3025" s="5">
        <v>45421</v>
      </c>
      <c r="B3025">
        <v>50</v>
      </c>
    </row>
    <row r="3026" spans="1:2" x14ac:dyDescent="0.3">
      <c r="A3026" s="5">
        <v>45422</v>
      </c>
      <c r="B3026">
        <v>50</v>
      </c>
    </row>
    <row r="3027" spans="1:2" x14ac:dyDescent="0.3">
      <c r="A3027" s="5">
        <v>45425</v>
      </c>
      <c r="B3027">
        <v>50</v>
      </c>
    </row>
    <row r="3028" spans="1:2" x14ac:dyDescent="0.3">
      <c r="A3028" s="5">
        <v>45426</v>
      </c>
      <c r="B3028">
        <v>40</v>
      </c>
    </row>
    <row r="3029" spans="1:2" x14ac:dyDescent="0.3">
      <c r="A3029" s="5">
        <v>45427</v>
      </c>
      <c r="B3029">
        <v>40</v>
      </c>
    </row>
    <row r="3030" spans="1:2" x14ac:dyDescent="0.3">
      <c r="A3030" s="5">
        <v>45428</v>
      </c>
      <c r="B3030">
        <v>40</v>
      </c>
    </row>
    <row r="3031" spans="1:2" x14ac:dyDescent="0.3">
      <c r="A3031" s="5">
        <v>45429</v>
      </c>
      <c r="B3031">
        <v>40</v>
      </c>
    </row>
    <row r="3032" spans="1:2" x14ac:dyDescent="0.3">
      <c r="A3032" s="5">
        <v>45432</v>
      </c>
      <c r="B3032">
        <v>40</v>
      </c>
    </row>
    <row r="3033" spans="1:2" x14ac:dyDescent="0.3">
      <c r="A3033" s="5">
        <v>45433</v>
      </c>
      <c r="B3033">
        <v>40</v>
      </c>
    </row>
    <row r="3034" spans="1:2" x14ac:dyDescent="0.3">
      <c r="A3034" s="5">
        <v>45434</v>
      </c>
      <c r="B3034">
        <v>40</v>
      </c>
    </row>
    <row r="3035" spans="1:2" x14ac:dyDescent="0.3">
      <c r="A3035" s="5">
        <v>45435</v>
      </c>
      <c r="B3035">
        <v>40</v>
      </c>
    </row>
    <row r="3036" spans="1:2" x14ac:dyDescent="0.3">
      <c r="A3036" s="5">
        <v>45436</v>
      </c>
      <c r="B3036">
        <v>40</v>
      </c>
    </row>
    <row r="3037" spans="1:2" x14ac:dyDescent="0.3">
      <c r="A3037" s="5">
        <v>45439</v>
      </c>
      <c r="B3037">
        <v>40</v>
      </c>
    </row>
    <row r="3038" spans="1:2" x14ac:dyDescent="0.3">
      <c r="A3038" s="5">
        <v>45440</v>
      </c>
      <c r="B3038">
        <v>40</v>
      </c>
    </row>
    <row r="3039" spans="1:2" x14ac:dyDescent="0.3">
      <c r="A3039" s="5">
        <v>45441</v>
      </c>
      <c r="B3039">
        <v>40</v>
      </c>
    </row>
    <row r="3040" spans="1:2" x14ac:dyDescent="0.3">
      <c r="A3040" s="5">
        <v>45442</v>
      </c>
      <c r="B3040">
        <v>40</v>
      </c>
    </row>
    <row r="3041" spans="1:2" x14ac:dyDescent="0.3">
      <c r="A3041" s="5">
        <v>45443</v>
      </c>
      <c r="B3041">
        <v>40</v>
      </c>
    </row>
    <row r="3042" spans="1:2" x14ac:dyDescent="0.3">
      <c r="A3042" s="5">
        <v>45446</v>
      </c>
      <c r="B3042">
        <v>40</v>
      </c>
    </row>
    <row r="3043" spans="1:2" x14ac:dyDescent="0.3">
      <c r="A3043" s="5">
        <v>45447</v>
      </c>
      <c r="B3043">
        <v>40</v>
      </c>
    </row>
    <row r="3044" spans="1:2" x14ac:dyDescent="0.3">
      <c r="A3044" s="5">
        <v>45448</v>
      </c>
      <c r="B3044">
        <v>40</v>
      </c>
    </row>
    <row r="3045" spans="1:2" x14ac:dyDescent="0.3">
      <c r="A3045" s="5">
        <v>45449</v>
      </c>
      <c r="B3045">
        <v>40</v>
      </c>
    </row>
    <row r="3046" spans="1:2" x14ac:dyDescent="0.3">
      <c r="A3046" s="5">
        <v>45450</v>
      </c>
      <c r="B3046">
        <v>40</v>
      </c>
    </row>
    <row r="3047" spans="1:2" x14ac:dyDescent="0.3">
      <c r="A3047" s="5">
        <v>45453</v>
      </c>
      <c r="B3047">
        <v>40</v>
      </c>
    </row>
    <row r="3048" spans="1:2" x14ac:dyDescent="0.3">
      <c r="A3048" s="5">
        <v>45454</v>
      </c>
      <c r="B3048">
        <v>40</v>
      </c>
    </row>
    <row r="3049" spans="1:2" x14ac:dyDescent="0.3">
      <c r="A3049" s="5">
        <v>45455</v>
      </c>
      <c r="B3049">
        <v>40</v>
      </c>
    </row>
    <row r="3050" spans="1:2" x14ac:dyDescent="0.3">
      <c r="A3050" s="5">
        <v>45456</v>
      </c>
      <c r="B3050">
        <v>40</v>
      </c>
    </row>
    <row r="3051" spans="1:2" x14ac:dyDescent="0.3">
      <c r="A3051" s="5">
        <v>45457</v>
      </c>
      <c r="B3051">
        <v>40</v>
      </c>
    </row>
    <row r="3052" spans="1:2" x14ac:dyDescent="0.3">
      <c r="A3052" s="5">
        <v>45461</v>
      </c>
      <c r="B3052">
        <v>40</v>
      </c>
    </row>
    <row r="3053" spans="1:2" x14ac:dyDescent="0.3">
      <c r="A3053" s="5">
        <v>45462</v>
      </c>
      <c r="B3053">
        <v>40</v>
      </c>
    </row>
    <row r="3054" spans="1:2" x14ac:dyDescent="0.3">
      <c r="A3054" s="5">
        <v>45467</v>
      </c>
      <c r="B3054">
        <v>40</v>
      </c>
    </row>
    <row r="3055" spans="1:2" x14ac:dyDescent="0.3">
      <c r="A3055" s="5">
        <v>45468</v>
      </c>
      <c r="B3055">
        <v>40</v>
      </c>
    </row>
    <row r="3056" spans="1:2" x14ac:dyDescent="0.3">
      <c r="A3056" s="5">
        <v>45469</v>
      </c>
      <c r="B3056">
        <v>40</v>
      </c>
    </row>
    <row r="3057" spans="1:2" x14ac:dyDescent="0.3">
      <c r="A3057" s="5">
        <v>45470</v>
      </c>
      <c r="B3057">
        <v>40</v>
      </c>
    </row>
    <row r="3058" spans="1:2" x14ac:dyDescent="0.3">
      <c r="A3058" s="5">
        <v>45471</v>
      </c>
      <c r="B3058">
        <v>40</v>
      </c>
    </row>
    <row r="3059" spans="1:2" x14ac:dyDescent="0.3">
      <c r="A3059" s="5">
        <v>45474</v>
      </c>
      <c r="B3059">
        <v>40</v>
      </c>
    </row>
    <row r="3060" spans="1:2" x14ac:dyDescent="0.3">
      <c r="A3060" s="5">
        <v>45475</v>
      </c>
      <c r="B3060">
        <v>40</v>
      </c>
    </row>
    <row r="3061" spans="1:2" x14ac:dyDescent="0.3">
      <c r="A3061" s="5">
        <v>45476</v>
      </c>
      <c r="B3061">
        <v>40</v>
      </c>
    </row>
    <row r="3062" spans="1:2" x14ac:dyDescent="0.3">
      <c r="A3062" s="5">
        <v>45477</v>
      </c>
      <c r="B3062">
        <v>40</v>
      </c>
    </row>
    <row r="3063" spans="1:2" x14ac:dyDescent="0.3">
      <c r="A3063" s="5">
        <v>45478</v>
      </c>
      <c r="B3063">
        <v>40</v>
      </c>
    </row>
    <row r="3064" spans="1:2" x14ac:dyDescent="0.3">
      <c r="A3064" s="5">
        <v>45481</v>
      </c>
      <c r="B3064">
        <v>40</v>
      </c>
    </row>
    <row r="3065" spans="1:2" x14ac:dyDescent="0.3">
      <c r="A3065" s="5">
        <v>45483</v>
      </c>
      <c r="B3065">
        <v>40</v>
      </c>
    </row>
    <row r="3066" spans="1:2" x14ac:dyDescent="0.3">
      <c r="A3066" s="5">
        <v>45484</v>
      </c>
      <c r="B3066">
        <v>40</v>
      </c>
    </row>
    <row r="3067" spans="1:2" x14ac:dyDescent="0.3">
      <c r="A3067" s="5">
        <v>45485</v>
      </c>
      <c r="B3067">
        <v>40</v>
      </c>
    </row>
    <row r="3068" spans="1:2" x14ac:dyDescent="0.3">
      <c r="A3068" s="5">
        <v>45488</v>
      </c>
      <c r="B3068">
        <v>40</v>
      </c>
    </row>
    <row r="3069" spans="1:2" x14ac:dyDescent="0.3">
      <c r="A3069" s="5">
        <v>45489</v>
      </c>
      <c r="B3069">
        <v>40</v>
      </c>
    </row>
    <row r="3070" spans="1:2" x14ac:dyDescent="0.3">
      <c r="A3070" s="5">
        <v>45490</v>
      </c>
      <c r="B3070">
        <v>40</v>
      </c>
    </row>
    <row r="3071" spans="1:2" x14ac:dyDescent="0.3">
      <c r="A3071" s="5">
        <v>45491</v>
      </c>
      <c r="B3071">
        <v>40</v>
      </c>
    </row>
    <row r="3072" spans="1:2" x14ac:dyDescent="0.3">
      <c r="A3072" s="5">
        <v>45492</v>
      </c>
      <c r="B3072">
        <v>40</v>
      </c>
    </row>
    <row r="3073" spans="1:2" x14ac:dyDescent="0.3">
      <c r="A3073" s="5">
        <v>45495</v>
      </c>
      <c r="B3073">
        <v>40</v>
      </c>
    </row>
    <row r="3074" spans="1:2" x14ac:dyDescent="0.3">
      <c r="A3074" s="5">
        <v>45496</v>
      </c>
      <c r="B3074">
        <v>40</v>
      </c>
    </row>
    <row r="3075" spans="1:2" x14ac:dyDescent="0.3">
      <c r="A3075" s="5">
        <v>45497</v>
      </c>
      <c r="B3075">
        <v>40</v>
      </c>
    </row>
    <row r="3076" spans="1:2" x14ac:dyDescent="0.3">
      <c r="A3076" s="5">
        <v>45498</v>
      </c>
      <c r="B3076">
        <v>40</v>
      </c>
    </row>
    <row r="3077" spans="1:2" x14ac:dyDescent="0.3">
      <c r="A3077" s="5">
        <v>45499</v>
      </c>
      <c r="B3077">
        <v>40</v>
      </c>
    </row>
    <row r="3078" spans="1:2" x14ac:dyDescent="0.3">
      <c r="A3078" s="5">
        <v>45502</v>
      </c>
      <c r="B3078">
        <v>40</v>
      </c>
    </row>
    <row r="3079" spans="1:2" x14ac:dyDescent="0.3">
      <c r="A3079" s="5">
        <v>45503</v>
      </c>
      <c r="B3079">
        <v>40</v>
      </c>
    </row>
    <row r="3080" spans="1:2" x14ac:dyDescent="0.3">
      <c r="A3080" s="5">
        <v>45504</v>
      </c>
      <c r="B3080">
        <v>40</v>
      </c>
    </row>
    <row r="3081" spans="1:2" x14ac:dyDescent="0.3">
      <c r="A3081" s="5">
        <v>45505</v>
      </c>
      <c r="B3081">
        <v>40</v>
      </c>
    </row>
    <row r="3082" spans="1:2" x14ac:dyDescent="0.3">
      <c r="A3082" s="5">
        <v>45506</v>
      </c>
      <c r="B3082">
        <v>40</v>
      </c>
    </row>
    <row r="3083" spans="1:2" x14ac:dyDescent="0.3">
      <c r="A3083" s="5">
        <v>45509</v>
      </c>
      <c r="B3083">
        <v>40</v>
      </c>
    </row>
    <row r="3084" spans="1:2" x14ac:dyDescent="0.3">
      <c r="A3084" s="5">
        <v>45510</v>
      </c>
      <c r="B3084">
        <v>40</v>
      </c>
    </row>
    <row r="3085" spans="1:2" x14ac:dyDescent="0.3">
      <c r="A3085" s="5">
        <v>45511</v>
      </c>
      <c r="B3085">
        <v>40</v>
      </c>
    </row>
    <row r="3086" spans="1:2" x14ac:dyDescent="0.3">
      <c r="A3086" s="5">
        <v>45512</v>
      </c>
      <c r="B3086">
        <v>40</v>
      </c>
    </row>
    <row r="3087" spans="1:2" x14ac:dyDescent="0.3">
      <c r="A3087" s="5">
        <v>45513</v>
      </c>
      <c r="B3087">
        <v>40</v>
      </c>
    </row>
    <row r="3088" spans="1:2" x14ac:dyDescent="0.3">
      <c r="A3088" s="5">
        <v>45516</v>
      </c>
      <c r="B3088">
        <v>40</v>
      </c>
    </row>
    <row r="3089" spans="1:2" x14ac:dyDescent="0.3">
      <c r="A3089" s="5">
        <v>45517</v>
      </c>
      <c r="B3089">
        <v>40</v>
      </c>
    </row>
    <row r="3090" spans="1:2" x14ac:dyDescent="0.3">
      <c r="A3090" s="5">
        <v>45518</v>
      </c>
      <c r="B3090">
        <v>40</v>
      </c>
    </row>
    <row r="3091" spans="1:2" x14ac:dyDescent="0.3">
      <c r="A3091" s="5">
        <v>45519</v>
      </c>
      <c r="B3091">
        <v>40</v>
      </c>
    </row>
    <row r="3092" spans="1:2" x14ac:dyDescent="0.3">
      <c r="A3092" s="5">
        <v>45520</v>
      </c>
      <c r="B3092">
        <v>40</v>
      </c>
    </row>
    <row r="3093" spans="1:2" x14ac:dyDescent="0.3">
      <c r="A3093" s="5">
        <v>45523</v>
      </c>
      <c r="B3093">
        <v>40</v>
      </c>
    </row>
    <row r="3094" spans="1:2" x14ac:dyDescent="0.3">
      <c r="A3094" s="5">
        <v>45524</v>
      </c>
      <c r="B3094">
        <v>40</v>
      </c>
    </row>
    <row r="3095" spans="1:2" x14ac:dyDescent="0.3">
      <c r="A3095" s="5">
        <v>45525</v>
      </c>
      <c r="B3095">
        <v>40</v>
      </c>
    </row>
    <row r="3096" spans="1:2" x14ac:dyDescent="0.3">
      <c r="A3096" s="5">
        <v>45526</v>
      </c>
      <c r="B3096">
        <v>40</v>
      </c>
    </row>
    <row r="3097" spans="1:2" x14ac:dyDescent="0.3">
      <c r="A3097" s="5">
        <v>45527</v>
      </c>
      <c r="B3097">
        <v>40</v>
      </c>
    </row>
    <row r="3098" spans="1:2" x14ac:dyDescent="0.3">
      <c r="A3098" s="5">
        <v>45530</v>
      </c>
      <c r="B3098">
        <v>40</v>
      </c>
    </row>
    <row r="3099" spans="1:2" x14ac:dyDescent="0.3">
      <c r="A3099" s="5">
        <v>45531</v>
      </c>
      <c r="B3099">
        <v>40</v>
      </c>
    </row>
    <row r="3100" spans="1:2" x14ac:dyDescent="0.3">
      <c r="A3100" s="5">
        <v>45532</v>
      </c>
      <c r="B3100">
        <v>40</v>
      </c>
    </row>
    <row r="3101" spans="1:2" x14ac:dyDescent="0.3">
      <c r="A3101" s="5">
        <v>45533</v>
      </c>
      <c r="B3101">
        <v>40</v>
      </c>
    </row>
    <row r="3102" spans="1:2" x14ac:dyDescent="0.3">
      <c r="A3102" s="5">
        <v>45534</v>
      </c>
      <c r="B3102">
        <v>40</v>
      </c>
    </row>
    <row r="3103" spans="1:2" x14ac:dyDescent="0.3">
      <c r="A3103" s="5">
        <v>45537</v>
      </c>
      <c r="B3103">
        <v>40</v>
      </c>
    </row>
    <row r="3104" spans="1:2" x14ac:dyDescent="0.3">
      <c r="A3104" s="5">
        <v>45538</v>
      </c>
      <c r="B3104">
        <v>40</v>
      </c>
    </row>
    <row r="3105" spans="1:2" x14ac:dyDescent="0.3">
      <c r="A3105" s="5">
        <v>45539</v>
      </c>
      <c r="B3105">
        <v>40</v>
      </c>
    </row>
    <row r="3106" spans="1:2" x14ac:dyDescent="0.3">
      <c r="A3106" s="5">
        <v>45540</v>
      </c>
      <c r="B3106">
        <v>40</v>
      </c>
    </row>
    <row r="3107" spans="1:2" x14ac:dyDescent="0.3">
      <c r="A3107" s="5">
        <v>45541</v>
      </c>
      <c r="B3107">
        <v>40</v>
      </c>
    </row>
    <row r="3108" spans="1:2" x14ac:dyDescent="0.3">
      <c r="A3108" s="5">
        <v>45544</v>
      </c>
      <c r="B3108">
        <v>40</v>
      </c>
    </row>
    <row r="3109" spans="1:2" x14ac:dyDescent="0.3">
      <c r="A3109" s="5">
        <v>45545</v>
      </c>
      <c r="B3109">
        <v>40</v>
      </c>
    </row>
    <row r="3110" spans="1:2" x14ac:dyDescent="0.3">
      <c r="A3110" s="5">
        <v>45546</v>
      </c>
      <c r="B3110">
        <v>40</v>
      </c>
    </row>
    <row r="3111" spans="1:2" x14ac:dyDescent="0.3">
      <c r="A3111" s="5">
        <v>45547</v>
      </c>
      <c r="B3111">
        <v>40</v>
      </c>
    </row>
    <row r="3112" spans="1:2" x14ac:dyDescent="0.3">
      <c r="A3112" s="5">
        <v>45548</v>
      </c>
      <c r="B3112">
        <v>40</v>
      </c>
    </row>
    <row r="3113" spans="1:2" x14ac:dyDescent="0.3">
      <c r="A3113" s="5">
        <v>45551</v>
      </c>
      <c r="B3113">
        <v>40</v>
      </c>
    </row>
    <row r="3114" spans="1:2" x14ac:dyDescent="0.3">
      <c r="A3114" s="5">
        <v>45552</v>
      </c>
      <c r="B3114">
        <v>40</v>
      </c>
    </row>
    <row r="3115" spans="1:2" x14ac:dyDescent="0.3">
      <c r="A3115" s="5">
        <v>45553</v>
      </c>
      <c r="B3115">
        <v>40</v>
      </c>
    </row>
    <row r="3116" spans="1:2" x14ac:dyDescent="0.3">
      <c r="A3116" s="5">
        <v>45554</v>
      </c>
      <c r="B3116">
        <v>40</v>
      </c>
    </row>
    <row r="3117" spans="1:2" x14ac:dyDescent="0.3">
      <c r="A3117" s="5">
        <v>45555</v>
      </c>
      <c r="B3117">
        <v>40</v>
      </c>
    </row>
    <row r="3118" spans="1:2" x14ac:dyDescent="0.3">
      <c r="A3118" s="5">
        <v>45558</v>
      </c>
      <c r="B3118">
        <v>40</v>
      </c>
    </row>
    <row r="3119" spans="1:2" x14ac:dyDescent="0.3">
      <c r="A3119" s="5">
        <v>45559</v>
      </c>
      <c r="B3119">
        <v>40</v>
      </c>
    </row>
    <row r="3120" spans="1:2" x14ac:dyDescent="0.3">
      <c r="A3120" s="5">
        <v>45560</v>
      </c>
      <c r="B3120">
        <v>40</v>
      </c>
    </row>
    <row r="3121" spans="1:2" x14ac:dyDescent="0.3">
      <c r="A3121" s="5">
        <v>45561</v>
      </c>
      <c r="B3121">
        <v>40</v>
      </c>
    </row>
    <row r="3122" spans="1:2" x14ac:dyDescent="0.3">
      <c r="A3122" s="5">
        <v>45562</v>
      </c>
      <c r="B3122">
        <v>40</v>
      </c>
    </row>
    <row r="3123" spans="1:2" x14ac:dyDescent="0.3">
      <c r="A3123" s="5">
        <v>45565</v>
      </c>
      <c r="B3123">
        <v>40</v>
      </c>
    </row>
    <row r="3124" spans="1:2" x14ac:dyDescent="0.3">
      <c r="A3124" s="5">
        <v>45566</v>
      </c>
      <c r="B3124">
        <v>40</v>
      </c>
    </row>
    <row r="3125" spans="1:2" x14ac:dyDescent="0.3">
      <c r="A3125" s="5">
        <v>45567</v>
      </c>
      <c r="B3125">
        <v>40</v>
      </c>
    </row>
    <row r="3126" spans="1:2" x14ac:dyDescent="0.3">
      <c r="A3126" s="5">
        <v>45568</v>
      </c>
      <c r="B3126">
        <v>40</v>
      </c>
    </row>
    <row r="3127" spans="1:2" x14ac:dyDescent="0.3">
      <c r="A3127" s="5">
        <v>45569</v>
      </c>
      <c r="B3127">
        <v>40</v>
      </c>
    </row>
    <row r="3128" spans="1:2" x14ac:dyDescent="0.3">
      <c r="A3128" s="5">
        <v>45572</v>
      </c>
      <c r="B3128">
        <v>40</v>
      </c>
    </row>
    <row r="3129" spans="1:2" x14ac:dyDescent="0.3">
      <c r="A3129" s="5">
        <v>45573</v>
      </c>
      <c r="B3129">
        <v>40</v>
      </c>
    </row>
    <row r="3130" spans="1:2" x14ac:dyDescent="0.3">
      <c r="A3130" s="5">
        <v>45574</v>
      </c>
      <c r="B3130">
        <v>40</v>
      </c>
    </row>
    <row r="3131" spans="1:2" x14ac:dyDescent="0.3">
      <c r="A3131" s="5">
        <v>45575</v>
      </c>
      <c r="B3131">
        <v>40</v>
      </c>
    </row>
    <row r="3132" spans="1:2" x14ac:dyDescent="0.3">
      <c r="A3132" s="5">
        <v>45579</v>
      </c>
      <c r="B3132">
        <v>40</v>
      </c>
    </row>
    <row r="3133" spans="1:2" x14ac:dyDescent="0.3">
      <c r="A3133" s="5">
        <v>45580</v>
      </c>
      <c r="B3133">
        <v>40</v>
      </c>
    </row>
    <row r="3134" spans="1:2" x14ac:dyDescent="0.3">
      <c r="A3134" s="5">
        <v>45581</v>
      </c>
      <c r="B3134">
        <v>40</v>
      </c>
    </row>
    <row r="3135" spans="1:2" x14ac:dyDescent="0.3">
      <c r="A3135" s="5">
        <v>45582</v>
      </c>
      <c r="B3135">
        <v>40</v>
      </c>
    </row>
    <row r="3136" spans="1:2" x14ac:dyDescent="0.3">
      <c r="A3136" s="5">
        <v>45583</v>
      </c>
      <c r="B3136">
        <v>40</v>
      </c>
    </row>
    <row r="3137" spans="1:2" x14ac:dyDescent="0.3">
      <c r="A3137" s="5">
        <v>45586</v>
      </c>
      <c r="B3137">
        <v>40</v>
      </c>
    </row>
    <row r="3138" spans="1:2" x14ac:dyDescent="0.3">
      <c r="A3138" s="5">
        <v>45587</v>
      </c>
      <c r="B3138">
        <v>40</v>
      </c>
    </row>
    <row r="3139" spans="1:2" x14ac:dyDescent="0.3">
      <c r="A3139" s="5">
        <v>45588</v>
      </c>
      <c r="B3139">
        <v>40</v>
      </c>
    </row>
    <row r="3140" spans="1:2" x14ac:dyDescent="0.3">
      <c r="A3140" s="5">
        <v>45589</v>
      </c>
      <c r="B3140">
        <v>40</v>
      </c>
    </row>
    <row r="3141" spans="1:2" x14ac:dyDescent="0.3">
      <c r="A3141" s="5">
        <v>45590</v>
      </c>
      <c r="B3141">
        <v>40</v>
      </c>
    </row>
    <row r="3142" spans="1:2" x14ac:dyDescent="0.3">
      <c r="A3142" s="5">
        <v>45593</v>
      </c>
      <c r="B3142">
        <v>40</v>
      </c>
    </row>
    <row r="3143" spans="1:2" x14ac:dyDescent="0.3">
      <c r="A3143" s="5">
        <v>45594</v>
      </c>
      <c r="B3143">
        <v>40</v>
      </c>
    </row>
    <row r="3144" spans="1:2" x14ac:dyDescent="0.3">
      <c r="A3144" s="5">
        <v>45595</v>
      </c>
      <c r="B3144">
        <v>40</v>
      </c>
    </row>
    <row r="3145" spans="1:2" x14ac:dyDescent="0.3">
      <c r="A3145" s="5">
        <v>45596</v>
      </c>
      <c r="B3145">
        <v>40</v>
      </c>
    </row>
    <row r="3146" spans="1:2" x14ac:dyDescent="0.3">
      <c r="A3146" s="5">
        <v>45597</v>
      </c>
      <c r="B3146">
        <v>35</v>
      </c>
    </row>
    <row r="3147" spans="1:2" x14ac:dyDescent="0.3">
      <c r="A3147" s="5">
        <v>45600</v>
      </c>
      <c r="B3147">
        <v>35</v>
      </c>
    </row>
    <row r="3148" spans="1:2" x14ac:dyDescent="0.3">
      <c r="A3148" s="5">
        <v>45601</v>
      </c>
      <c r="B3148">
        <v>35</v>
      </c>
    </row>
    <row r="3149" spans="1:2" x14ac:dyDescent="0.3">
      <c r="A3149" s="5">
        <v>45603</v>
      </c>
      <c r="B3149">
        <v>35</v>
      </c>
    </row>
    <row r="3150" spans="1:2" x14ac:dyDescent="0.3">
      <c r="A3150" s="5">
        <v>45604</v>
      </c>
      <c r="B3150">
        <v>35</v>
      </c>
    </row>
    <row r="3151" spans="1:2" x14ac:dyDescent="0.3">
      <c r="A3151" s="5">
        <v>45607</v>
      </c>
      <c r="B3151">
        <v>35</v>
      </c>
    </row>
    <row r="3152" spans="1:2" x14ac:dyDescent="0.3">
      <c r="A3152" s="5">
        <v>45608</v>
      </c>
      <c r="B3152">
        <v>35</v>
      </c>
    </row>
    <row r="3153" spans="1:2" x14ac:dyDescent="0.3">
      <c r="A3153" s="5">
        <v>45609</v>
      </c>
      <c r="B3153">
        <v>35</v>
      </c>
    </row>
    <row r="3154" spans="1:2" x14ac:dyDescent="0.3">
      <c r="A3154" s="5">
        <v>45610</v>
      </c>
      <c r="B3154">
        <v>35</v>
      </c>
    </row>
    <row r="3155" spans="1:2" x14ac:dyDescent="0.3">
      <c r="A3155" s="5">
        <v>45611</v>
      </c>
      <c r="B3155">
        <v>35</v>
      </c>
    </row>
    <row r="3156" spans="1:2" x14ac:dyDescent="0.3">
      <c r="A3156" s="5">
        <v>45615</v>
      </c>
      <c r="B3156">
        <v>35</v>
      </c>
    </row>
    <row r="3157" spans="1:2" x14ac:dyDescent="0.3">
      <c r="A3157" s="5">
        <v>45616</v>
      </c>
      <c r="B3157">
        <v>35</v>
      </c>
    </row>
    <row r="3158" spans="1:2" x14ac:dyDescent="0.3">
      <c r="A3158" s="5">
        <v>45617</v>
      </c>
      <c r="B3158">
        <v>35</v>
      </c>
    </row>
    <row r="3159" spans="1:2" x14ac:dyDescent="0.3">
      <c r="A3159" s="5">
        <v>45618</v>
      </c>
      <c r="B3159">
        <v>35</v>
      </c>
    </row>
    <row r="3160" spans="1:2" x14ac:dyDescent="0.3">
      <c r="A3160" s="5">
        <v>45621</v>
      </c>
      <c r="B3160">
        <v>35</v>
      </c>
    </row>
    <row r="3161" spans="1:2" x14ac:dyDescent="0.3">
      <c r="A3161" s="5">
        <v>45622</v>
      </c>
      <c r="B3161">
        <v>35</v>
      </c>
    </row>
    <row r="3162" spans="1:2" x14ac:dyDescent="0.3">
      <c r="A3162" s="5">
        <v>45623</v>
      </c>
      <c r="B3162">
        <v>35</v>
      </c>
    </row>
    <row r="3163" spans="1:2" x14ac:dyDescent="0.3">
      <c r="A3163" s="5">
        <v>45624</v>
      </c>
      <c r="B3163">
        <v>35</v>
      </c>
    </row>
    <row r="3164" spans="1:2" x14ac:dyDescent="0.3">
      <c r="A3164" s="5">
        <v>45625</v>
      </c>
      <c r="B3164">
        <v>35</v>
      </c>
    </row>
    <row r="3165" spans="1:2" x14ac:dyDescent="0.3">
      <c r="A3165" s="5">
        <v>45628</v>
      </c>
      <c r="B3165">
        <v>35</v>
      </c>
    </row>
    <row r="3166" spans="1:2" x14ac:dyDescent="0.3">
      <c r="A3166" s="5">
        <v>45629</v>
      </c>
      <c r="B3166">
        <v>35</v>
      </c>
    </row>
    <row r="3167" spans="1:2" x14ac:dyDescent="0.3">
      <c r="A3167" s="5">
        <v>45630</v>
      </c>
      <c r="B3167">
        <v>35</v>
      </c>
    </row>
    <row r="3168" spans="1:2" x14ac:dyDescent="0.3">
      <c r="A3168" s="5">
        <v>45631</v>
      </c>
      <c r="B3168">
        <v>35</v>
      </c>
    </row>
    <row r="3169" spans="1:2" x14ac:dyDescent="0.3">
      <c r="A3169" s="5">
        <v>45632</v>
      </c>
      <c r="B3169">
        <v>32</v>
      </c>
    </row>
    <row r="3170" spans="1:2" x14ac:dyDescent="0.3">
      <c r="A3170" s="5">
        <v>45635</v>
      </c>
      <c r="B3170">
        <v>32</v>
      </c>
    </row>
    <row r="3171" spans="1:2" x14ac:dyDescent="0.3">
      <c r="A3171" s="5">
        <v>45636</v>
      </c>
      <c r="B3171">
        <v>32</v>
      </c>
    </row>
    <row r="3172" spans="1:2" x14ac:dyDescent="0.3">
      <c r="A3172" s="5">
        <v>45637</v>
      </c>
      <c r="B3172">
        <v>32</v>
      </c>
    </row>
    <row r="3173" spans="1:2" x14ac:dyDescent="0.3">
      <c r="A3173" s="5">
        <v>45638</v>
      </c>
      <c r="B3173">
        <v>32</v>
      </c>
    </row>
    <row r="3174" spans="1:2" x14ac:dyDescent="0.3">
      <c r="A3174" s="5">
        <v>45639</v>
      </c>
      <c r="B3174">
        <v>32</v>
      </c>
    </row>
    <row r="3175" spans="1:2" x14ac:dyDescent="0.3">
      <c r="A3175" s="5">
        <v>45642</v>
      </c>
      <c r="B3175">
        <v>32</v>
      </c>
    </row>
    <row r="3176" spans="1:2" x14ac:dyDescent="0.3">
      <c r="A3176" s="5">
        <v>45643</v>
      </c>
      <c r="B3176">
        <v>32</v>
      </c>
    </row>
    <row r="3177" spans="1:2" x14ac:dyDescent="0.3">
      <c r="A3177" s="5">
        <v>45644</v>
      </c>
      <c r="B3177">
        <v>32</v>
      </c>
    </row>
    <row r="3178" spans="1:2" x14ac:dyDescent="0.3">
      <c r="A3178" s="5">
        <v>45645</v>
      </c>
      <c r="B3178">
        <v>32</v>
      </c>
    </row>
    <row r="3179" spans="1:2" x14ac:dyDescent="0.3">
      <c r="A3179" s="5">
        <v>45646</v>
      </c>
      <c r="B3179">
        <v>32</v>
      </c>
    </row>
    <row r="3180" spans="1:2" x14ac:dyDescent="0.3">
      <c r="A3180" s="5">
        <v>45649</v>
      </c>
      <c r="B3180">
        <v>32</v>
      </c>
    </row>
    <row r="3181" spans="1:2" x14ac:dyDescent="0.3">
      <c r="A3181" s="5">
        <v>45652</v>
      </c>
      <c r="B3181">
        <v>32</v>
      </c>
    </row>
    <row r="3182" spans="1:2" x14ac:dyDescent="0.3">
      <c r="A3182" s="5">
        <v>45653</v>
      </c>
      <c r="B3182">
        <v>32</v>
      </c>
    </row>
    <row r="3183" spans="1:2" x14ac:dyDescent="0.3">
      <c r="A3183" s="5">
        <v>45656</v>
      </c>
      <c r="B3183">
        <v>32</v>
      </c>
    </row>
    <row r="3184" spans="1:2" x14ac:dyDescent="0.3">
      <c r="A3184" s="5">
        <v>45659</v>
      </c>
      <c r="B3184">
        <v>32</v>
      </c>
    </row>
    <row r="3185" spans="1:2" x14ac:dyDescent="0.3">
      <c r="A3185" s="5">
        <v>45660</v>
      </c>
      <c r="B3185">
        <v>32</v>
      </c>
    </row>
    <row r="3186" spans="1:2" x14ac:dyDescent="0.3">
      <c r="A3186" s="5">
        <v>45663</v>
      </c>
      <c r="B3186">
        <v>32</v>
      </c>
    </row>
    <row r="3187" spans="1:2" x14ac:dyDescent="0.3">
      <c r="A3187" s="5">
        <v>45664</v>
      </c>
      <c r="B3187">
        <v>32</v>
      </c>
    </row>
    <row r="3188" spans="1:2" x14ac:dyDescent="0.3">
      <c r="A3188" s="5">
        <v>45665</v>
      </c>
      <c r="B3188">
        <v>32</v>
      </c>
    </row>
    <row r="3189" spans="1:2" x14ac:dyDescent="0.3">
      <c r="A3189" s="5">
        <v>45666</v>
      </c>
      <c r="B3189">
        <v>32</v>
      </c>
    </row>
    <row r="3190" spans="1:2" x14ac:dyDescent="0.3">
      <c r="A3190" s="5">
        <v>45667</v>
      </c>
      <c r="B3190">
        <v>32</v>
      </c>
    </row>
    <row r="3191" spans="1:2" x14ac:dyDescent="0.3">
      <c r="A3191" s="5">
        <v>45670</v>
      </c>
      <c r="B3191">
        <v>32</v>
      </c>
    </row>
    <row r="3192" spans="1:2" x14ac:dyDescent="0.3">
      <c r="A3192" s="5">
        <v>45671</v>
      </c>
      <c r="B3192">
        <v>32</v>
      </c>
    </row>
    <row r="3193" spans="1:2" x14ac:dyDescent="0.3">
      <c r="A3193" s="5">
        <v>45672</v>
      </c>
      <c r="B3193">
        <v>32</v>
      </c>
    </row>
    <row r="3194" spans="1:2" x14ac:dyDescent="0.3">
      <c r="A3194" s="5">
        <v>45673</v>
      </c>
      <c r="B3194">
        <v>32</v>
      </c>
    </row>
    <row r="3195" spans="1:2" x14ac:dyDescent="0.3">
      <c r="A3195" s="5">
        <v>45674</v>
      </c>
      <c r="B3195">
        <v>32</v>
      </c>
    </row>
    <row r="3196" spans="1:2" x14ac:dyDescent="0.3">
      <c r="A3196" s="5">
        <v>45677</v>
      </c>
      <c r="B3196">
        <v>32</v>
      </c>
    </row>
    <row r="3197" spans="1:2" x14ac:dyDescent="0.3">
      <c r="A3197" s="5">
        <v>45678</v>
      </c>
      <c r="B3197">
        <v>32</v>
      </c>
    </row>
    <row r="3198" spans="1:2" x14ac:dyDescent="0.3">
      <c r="A3198" s="5">
        <v>45679</v>
      </c>
      <c r="B3198">
        <v>32</v>
      </c>
    </row>
    <row r="3199" spans="1:2" x14ac:dyDescent="0.3">
      <c r="A3199" s="5">
        <v>45680</v>
      </c>
      <c r="B3199">
        <v>32</v>
      </c>
    </row>
    <row r="3200" spans="1:2" x14ac:dyDescent="0.3">
      <c r="A3200" s="5">
        <v>45681</v>
      </c>
      <c r="B3200">
        <v>32</v>
      </c>
    </row>
    <row r="3201" spans="1:2" x14ac:dyDescent="0.3">
      <c r="A3201" s="5">
        <v>45684</v>
      </c>
      <c r="B3201">
        <v>32</v>
      </c>
    </row>
    <row r="3202" spans="1:2" x14ac:dyDescent="0.3">
      <c r="A3202" s="5">
        <v>45685</v>
      </c>
      <c r="B3202">
        <v>32</v>
      </c>
    </row>
    <row r="3203" spans="1:2" x14ac:dyDescent="0.3">
      <c r="A3203" s="5">
        <v>45686</v>
      </c>
      <c r="B3203">
        <v>32</v>
      </c>
    </row>
    <row r="3204" spans="1:2" x14ac:dyDescent="0.3">
      <c r="A3204" s="5">
        <v>45687</v>
      </c>
      <c r="B3204">
        <v>32</v>
      </c>
    </row>
    <row r="3205" spans="1:2" x14ac:dyDescent="0.3">
      <c r="A3205" s="5">
        <v>45688</v>
      </c>
      <c r="B3205">
        <v>29</v>
      </c>
    </row>
    <row r="3206" spans="1:2" x14ac:dyDescent="0.3">
      <c r="A3206" s="5">
        <v>45691</v>
      </c>
      <c r="B3206">
        <v>29</v>
      </c>
    </row>
    <row r="3207" spans="1:2" x14ac:dyDescent="0.3">
      <c r="A3207" s="5">
        <v>45692</v>
      </c>
      <c r="B3207">
        <v>29</v>
      </c>
    </row>
    <row r="3208" spans="1:2" x14ac:dyDescent="0.3">
      <c r="A3208" s="5">
        <v>45693</v>
      </c>
      <c r="B3208">
        <v>29</v>
      </c>
    </row>
    <row r="3209" spans="1:2" x14ac:dyDescent="0.3">
      <c r="A3209" s="5">
        <v>45694</v>
      </c>
      <c r="B3209">
        <v>29</v>
      </c>
    </row>
    <row r="3210" spans="1:2" x14ac:dyDescent="0.3">
      <c r="A3210" s="5">
        <v>45695</v>
      </c>
      <c r="B3210">
        <v>29</v>
      </c>
    </row>
    <row r="3211" spans="1:2" x14ac:dyDescent="0.3">
      <c r="A3211" s="5">
        <v>45698</v>
      </c>
      <c r="B3211">
        <v>29</v>
      </c>
    </row>
    <row r="3212" spans="1:2" x14ac:dyDescent="0.3">
      <c r="A3212" s="5">
        <v>45699</v>
      </c>
      <c r="B3212">
        <v>29</v>
      </c>
    </row>
    <row r="3213" spans="1:2" x14ac:dyDescent="0.3">
      <c r="A3213" s="5">
        <v>45700</v>
      </c>
      <c r="B3213">
        <v>29</v>
      </c>
    </row>
    <row r="3214" spans="1:2" x14ac:dyDescent="0.3">
      <c r="A3214" s="5">
        <v>45701</v>
      </c>
      <c r="B3214">
        <v>29</v>
      </c>
    </row>
    <row r="3215" spans="1:2" x14ac:dyDescent="0.3">
      <c r="A3215" s="5">
        <v>45702</v>
      </c>
      <c r="B3215">
        <v>29</v>
      </c>
    </row>
    <row r="3216" spans="1:2" x14ac:dyDescent="0.3">
      <c r="A3216" s="5">
        <v>45705</v>
      </c>
      <c r="B3216">
        <v>29</v>
      </c>
    </row>
    <row r="3217" spans="1:2" x14ac:dyDescent="0.3">
      <c r="A3217" s="5">
        <v>45706</v>
      </c>
      <c r="B3217">
        <v>29</v>
      </c>
    </row>
    <row r="3218" spans="1:2" x14ac:dyDescent="0.3">
      <c r="A3218" s="5">
        <v>45707</v>
      </c>
      <c r="B3218">
        <v>29</v>
      </c>
    </row>
    <row r="3219" spans="1:2" x14ac:dyDescent="0.3">
      <c r="A3219" s="5">
        <v>45708</v>
      </c>
      <c r="B3219">
        <v>29</v>
      </c>
    </row>
    <row r="3220" spans="1:2" x14ac:dyDescent="0.3">
      <c r="A3220" s="5">
        <v>45709</v>
      </c>
      <c r="B3220">
        <v>29</v>
      </c>
    </row>
    <row r="3221" spans="1:2" x14ac:dyDescent="0.3">
      <c r="A3221" s="5">
        <v>45712</v>
      </c>
      <c r="B3221">
        <v>29</v>
      </c>
    </row>
    <row r="3222" spans="1:2" x14ac:dyDescent="0.3">
      <c r="A3222" s="5">
        <v>45713</v>
      </c>
      <c r="B3222">
        <v>29</v>
      </c>
    </row>
    <row r="3223" spans="1:2" x14ac:dyDescent="0.3">
      <c r="A3223" s="5">
        <v>45714</v>
      </c>
      <c r="B3223">
        <v>29</v>
      </c>
    </row>
    <row r="3224" spans="1:2" x14ac:dyDescent="0.3">
      <c r="A3224" s="5">
        <v>45715</v>
      </c>
      <c r="B3224">
        <v>29</v>
      </c>
    </row>
    <row r="3225" spans="1:2" x14ac:dyDescent="0.3">
      <c r="A3225" s="5">
        <v>45716</v>
      </c>
      <c r="B3225">
        <v>29</v>
      </c>
    </row>
    <row r="3226" spans="1:2" x14ac:dyDescent="0.3">
      <c r="A3226" s="5">
        <v>45721</v>
      </c>
      <c r="B3226">
        <v>29</v>
      </c>
    </row>
    <row r="3227" spans="1:2" x14ac:dyDescent="0.3">
      <c r="A3227" s="5">
        <v>45722</v>
      </c>
      <c r="B3227">
        <v>29</v>
      </c>
    </row>
    <row r="3228" spans="1:2" x14ac:dyDescent="0.3">
      <c r="A3228" s="5">
        <v>45723</v>
      </c>
      <c r="B3228">
        <v>29</v>
      </c>
    </row>
    <row r="3229" spans="1:2" x14ac:dyDescent="0.3">
      <c r="A3229" s="5">
        <v>45726</v>
      </c>
      <c r="B3229">
        <v>29</v>
      </c>
    </row>
    <row r="3230" spans="1:2" x14ac:dyDescent="0.3">
      <c r="A3230" s="5">
        <v>45727</v>
      </c>
      <c r="B3230">
        <v>29</v>
      </c>
    </row>
    <row r="3231" spans="1:2" x14ac:dyDescent="0.3">
      <c r="A3231" s="5">
        <v>45728</v>
      </c>
      <c r="B3231">
        <v>29</v>
      </c>
    </row>
    <row r="3232" spans="1:2" x14ac:dyDescent="0.3">
      <c r="A3232" s="5">
        <v>45729</v>
      </c>
      <c r="B3232">
        <v>29</v>
      </c>
    </row>
    <row r="3233" spans="1:2" x14ac:dyDescent="0.3">
      <c r="A3233" s="5">
        <v>45730</v>
      </c>
      <c r="B3233">
        <v>29</v>
      </c>
    </row>
    <row r="3234" spans="1:2" x14ac:dyDescent="0.3">
      <c r="A3234" s="5">
        <v>45733</v>
      </c>
      <c r="B3234">
        <v>29</v>
      </c>
    </row>
    <row r="3235" spans="1:2" x14ac:dyDescent="0.3">
      <c r="A3235" s="5">
        <v>45734</v>
      </c>
      <c r="B3235">
        <v>29</v>
      </c>
    </row>
    <row r="3236" spans="1:2" x14ac:dyDescent="0.3">
      <c r="A3236" s="5">
        <v>45735</v>
      </c>
      <c r="B3236">
        <v>29</v>
      </c>
    </row>
    <row r="3237" spans="1:2" x14ac:dyDescent="0.3">
      <c r="A3237" s="5">
        <v>45736</v>
      </c>
      <c r="B3237">
        <v>29</v>
      </c>
    </row>
    <row r="3238" spans="1:2" x14ac:dyDescent="0.3">
      <c r="A3238" s="5">
        <v>45737</v>
      </c>
      <c r="B3238">
        <v>29</v>
      </c>
    </row>
    <row r="3239" spans="1:2" x14ac:dyDescent="0.3">
      <c r="A3239" s="5">
        <v>45741</v>
      </c>
      <c r="B3239">
        <v>29</v>
      </c>
    </row>
    <row r="3240" spans="1:2" x14ac:dyDescent="0.3">
      <c r="A3240" s="5">
        <v>45742</v>
      </c>
      <c r="B3240">
        <v>29</v>
      </c>
    </row>
    <row r="3241" spans="1:2" x14ac:dyDescent="0.3">
      <c r="A3241" s="5">
        <v>45743</v>
      </c>
      <c r="B3241">
        <v>29</v>
      </c>
    </row>
    <row r="3242" spans="1:2" x14ac:dyDescent="0.3">
      <c r="A3242" s="5">
        <v>45744</v>
      </c>
      <c r="B3242">
        <v>29</v>
      </c>
    </row>
    <row r="3243" spans="1:2" x14ac:dyDescent="0.3">
      <c r="A3243" s="5">
        <v>45747</v>
      </c>
      <c r="B3243">
        <v>29</v>
      </c>
    </row>
    <row r="3244" spans="1:2" x14ac:dyDescent="0.3">
      <c r="A3244" s="5">
        <v>45748</v>
      </c>
      <c r="B3244">
        <v>29</v>
      </c>
    </row>
    <row r="3245" spans="1:2" x14ac:dyDescent="0.3">
      <c r="A3245" s="5">
        <v>45750</v>
      </c>
      <c r="B3245">
        <v>29</v>
      </c>
    </row>
    <row r="3246" spans="1:2" x14ac:dyDescent="0.3">
      <c r="A3246" s="5">
        <v>45751</v>
      </c>
      <c r="B3246">
        <v>29</v>
      </c>
    </row>
    <row r="3247" spans="1:2" x14ac:dyDescent="0.3">
      <c r="A3247" s="5">
        <v>45754</v>
      </c>
      <c r="B3247">
        <v>29</v>
      </c>
    </row>
    <row r="3248" spans="1:2" x14ac:dyDescent="0.3">
      <c r="A3248" s="5">
        <v>45755</v>
      </c>
      <c r="B3248">
        <v>29</v>
      </c>
    </row>
    <row r="3249" spans="1:2" x14ac:dyDescent="0.3">
      <c r="A3249" s="5">
        <v>45756</v>
      </c>
      <c r="B3249">
        <v>29</v>
      </c>
    </row>
    <row r="3250" spans="1:2" x14ac:dyDescent="0.3">
      <c r="A3250" s="5">
        <v>45757</v>
      </c>
      <c r="B3250">
        <v>29</v>
      </c>
    </row>
    <row r="3251" spans="1:2" x14ac:dyDescent="0.3">
      <c r="A3251" s="5">
        <v>45758</v>
      </c>
      <c r="B3251">
        <v>29</v>
      </c>
    </row>
    <row r="3252" spans="1:2" x14ac:dyDescent="0.3">
      <c r="A3252" s="5">
        <v>45761</v>
      </c>
      <c r="B3252">
        <v>29</v>
      </c>
    </row>
    <row r="3253" spans="1:2" x14ac:dyDescent="0.3">
      <c r="A3253" s="5">
        <v>45762</v>
      </c>
      <c r="B3253">
        <v>29</v>
      </c>
    </row>
    <row r="3254" spans="1:2" x14ac:dyDescent="0.3">
      <c r="A3254" s="5">
        <v>45763</v>
      </c>
      <c r="B3254">
        <v>29</v>
      </c>
    </row>
    <row r="3255" spans="1:2" x14ac:dyDescent="0.3">
      <c r="A3255" s="5">
        <v>45768</v>
      </c>
      <c r="B3255">
        <v>29</v>
      </c>
    </row>
    <row r="3256" spans="1:2" x14ac:dyDescent="0.3">
      <c r="A3256" s="5">
        <v>45769</v>
      </c>
      <c r="B3256">
        <v>29</v>
      </c>
    </row>
    <row r="3257" spans="1:2" x14ac:dyDescent="0.3">
      <c r="A3257" s="5">
        <v>45770</v>
      </c>
      <c r="B3257">
        <v>29</v>
      </c>
    </row>
    <row r="3258" spans="1:2" x14ac:dyDescent="0.3">
      <c r="A3258" s="5">
        <v>45771</v>
      </c>
      <c r="B3258">
        <v>29</v>
      </c>
    </row>
    <row r="3259" spans="1:2" x14ac:dyDescent="0.3">
      <c r="A3259" s="5">
        <v>45772</v>
      </c>
      <c r="B3259">
        <v>29</v>
      </c>
    </row>
    <row r="3260" spans="1:2" x14ac:dyDescent="0.3">
      <c r="A3260" s="5">
        <v>45775</v>
      </c>
      <c r="B3260">
        <v>29</v>
      </c>
    </row>
    <row r="3261" spans="1:2" x14ac:dyDescent="0.3">
      <c r="A3261" s="5">
        <v>45776</v>
      </c>
      <c r="B3261">
        <v>29</v>
      </c>
    </row>
    <row r="3262" spans="1:2" x14ac:dyDescent="0.3">
      <c r="A3262" s="5">
        <v>45777</v>
      </c>
      <c r="B3262">
        <v>29</v>
      </c>
    </row>
    <row r="3263" spans="1:2" x14ac:dyDescent="0.3">
      <c r="A3263" s="5">
        <v>45782</v>
      </c>
      <c r="B3263">
        <v>29</v>
      </c>
    </row>
    <row r="3264" spans="1:2" x14ac:dyDescent="0.3">
      <c r="A3264" s="5">
        <v>45783</v>
      </c>
      <c r="B3264">
        <v>29</v>
      </c>
    </row>
    <row r="3265" spans="1:2" x14ac:dyDescent="0.3">
      <c r="A3265" s="5">
        <v>45784</v>
      </c>
      <c r="B3265">
        <v>29</v>
      </c>
    </row>
    <row r="3266" spans="1:2" x14ac:dyDescent="0.3">
      <c r="A3266" s="5">
        <v>45785</v>
      </c>
      <c r="B3266">
        <v>29</v>
      </c>
    </row>
    <row r="3267" spans="1:2" x14ac:dyDescent="0.3">
      <c r="A3267" s="5">
        <v>45786</v>
      </c>
      <c r="B3267">
        <v>29</v>
      </c>
    </row>
    <row r="3268" spans="1:2" x14ac:dyDescent="0.3">
      <c r="A3268" s="5">
        <v>45789</v>
      </c>
      <c r="B3268">
        <v>29</v>
      </c>
    </row>
    <row r="3269" spans="1:2" x14ac:dyDescent="0.3">
      <c r="A3269" s="5">
        <v>45790</v>
      </c>
      <c r="B3269">
        <v>29</v>
      </c>
    </row>
    <row r="3270" spans="1:2" x14ac:dyDescent="0.3">
      <c r="A3270" s="5">
        <v>45791</v>
      </c>
      <c r="B3270">
        <v>29</v>
      </c>
    </row>
    <row r="3271" spans="1:2" x14ac:dyDescent="0.3">
      <c r="A3271" s="5">
        <v>45792</v>
      </c>
      <c r="B3271">
        <v>29</v>
      </c>
    </row>
    <row r="3272" spans="1:2" x14ac:dyDescent="0.3">
      <c r="A3272" s="5">
        <v>45793</v>
      </c>
      <c r="B3272">
        <v>29</v>
      </c>
    </row>
    <row r="3273" spans="1:2" x14ac:dyDescent="0.3">
      <c r="A3273" s="5">
        <v>45796</v>
      </c>
      <c r="B3273">
        <v>29</v>
      </c>
    </row>
    <row r="3274" spans="1:2" x14ac:dyDescent="0.3">
      <c r="A3274" s="5">
        <v>45797</v>
      </c>
      <c r="B3274">
        <v>29</v>
      </c>
    </row>
    <row r="3275" spans="1:2" x14ac:dyDescent="0.3">
      <c r="A3275" s="5">
        <v>45798</v>
      </c>
      <c r="B3275">
        <v>29</v>
      </c>
    </row>
    <row r="3276" spans="1:2" x14ac:dyDescent="0.3">
      <c r="A3276" s="5">
        <v>45799</v>
      </c>
      <c r="B3276">
        <v>29</v>
      </c>
    </row>
    <row r="3277" spans="1:2" x14ac:dyDescent="0.3">
      <c r="A3277" s="5">
        <v>45800</v>
      </c>
      <c r="B3277">
        <v>29</v>
      </c>
    </row>
    <row r="3278" spans="1:2" x14ac:dyDescent="0.3">
      <c r="A3278" s="5">
        <v>45803</v>
      </c>
      <c r="B3278">
        <v>29</v>
      </c>
    </row>
    <row r="3279" spans="1:2" x14ac:dyDescent="0.3">
      <c r="A3279" s="5">
        <v>45804</v>
      </c>
      <c r="B3279">
        <v>29</v>
      </c>
    </row>
    <row r="3280" spans="1:2" x14ac:dyDescent="0.3">
      <c r="A3280" s="5">
        <v>45805</v>
      </c>
      <c r="B3280">
        <v>29</v>
      </c>
    </row>
    <row r="3281" spans="1:2" x14ac:dyDescent="0.3">
      <c r="A3281" s="5">
        <v>45806</v>
      </c>
      <c r="B3281">
        <v>29</v>
      </c>
    </row>
    <row r="3282" spans="1:2" x14ac:dyDescent="0.3">
      <c r="A3282" s="5">
        <v>45807</v>
      </c>
      <c r="B3282">
        <v>29</v>
      </c>
    </row>
    <row r="3283" spans="1:2" x14ac:dyDescent="0.3">
      <c r="A3283" s="5">
        <v>45810</v>
      </c>
      <c r="B3283">
        <v>29</v>
      </c>
    </row>
    <row r="3284" spans="1:2" x14ac:dyDescent="0.3">
      <c r="A3284" s="5">
        <v>45811</v>
      </c>
      <c r="B3284">
        <v>29</v>
      </c>
    </row>
    <row r="3285" spans="1:2" x14ac:dyDescent="0.3">
      <c r="A3285" s="5">
        <v>45812</v>
      </c>
      <c r="B3285">
        <v>29</v>
      </c>
    </row>
    <row r="3286" spans="1:2" x14ac:dyDescent="0.3">
      <c r="A3286" s="5">
        <v>45813</v>
      </c>
      <c r="B3286">
        <v>29</v>
      </c>
    </row>
    <row r="3287" spans="1:2" x14ac:dyDescent="0.3">
      <c r="A3287" s="5">
        <v>45814</v>
      </c>
      <c r="B3287">
        <v>29</v>
      </c>
    </row>
    <row r="3288" spans="1:2" x14ac:dyDescent="0.3">
      <c r="A3288" s="5">
        <v>45817</v>
      </c>
      <c r="B3288">
        <v>29</v>
      </c>
    </row>
    <row r="3289" spans="1:2" x14ac:dyDescent="0.3">
      <c r="A3289" s="5">
        <v>45818</v>
      </c>
      <c r="B3289">
        <v>29</v>
      </c>
    </row>
    <row r="3290" spans="1:2" x14ac:dyDescent="0.3">
      <c r="A3290" s="5">
        <v>45819</v>
      </c>
      <c r="B3290">
        <v>29</v>
      </c>
    </row>
    <row r="3291" spans="1:2" x14ac:dyDescent="0.3">
      <c r="A3291" s="5">
        <v>45820</v>
      </c>
      <c r="B3291">
        <v>29</v>
      </c>
    </row>
    <row r="3292" spans="1:2" x14ac:dyDescent="0.3">
      <c r="A3292" s="5">
        <v>45821</v>
      </c>
      <c r="B3292">
        <v>29</v>
      </c>
    </row>
    <row r="3293" spans="1:2" x14ac:dyDescent="0.3">
      <c r="A3293" s="5">
        <v>45825</v>
      </c>
      <c r="B3293">
        <v>29</v>
      </c>
    </row>
    <row r="3294" spans="1:2" x14ac:dyDescent="0.3">
      <c r="A3294" s="5">
        <v>45826</v>
      </c>
      <c r="B3294">
        <v>29</v>
      </c>
    </row>
    <row r="3295" spans="1:2" x14ac:dyDescent="0.3">
      <c r="A3295" s="5">
        <v>45827</v>
      </c>
      <c r="B3295">
        <v>29</v>
      </c>
    </row>
    <row r="3296" spans="1:2" x14ac:dyDescent="0.3">
      <c r="A3296" s="5">
        <v>45831</v>
      </c>
      <c r="B3296">
        <v>29</v>
      </c>
    </row>
    <row r="3297" spans="1:2" x14ac:dyDescent="0.3">
      <c r="A3297" s="5">
        <v>45832</v>
      </c>
      <c r="B3297">
        <v>29</v>
      </c>
    </row>
    <row r="3298" spans="1:2" x14ac:dyDescent="0.3">
      <c r="A3298" s="5">
        <v>45833</v>
      </c>
      <c r="B3298">
        <v>29</v>
      </c>
    </row>
    <row r="3299" spans="1:2" x14ac:dyDescent="0.3">
      <c r="A3299" s="5">
        <v>45834</v>
      </c>
      <c r="B3299">
        <v>29</v>
      </c>
    </row>
    <row r="3300" spans="1:2" x14ac:dyDescent="0.3">
      <c r="A3300" s="5">
        <v>45835</v>
      </c>
      <c r="B3300">
        <v>29</v>
      </c>
    </row>
    <row r="3301" spans="1:2" x14ac:dyDescent="0.3">
      <c r="A3301" s="5">
        <v>45838</v>
      </c>
      <c r="B3301">
        <v>29</v>
      </c>
    </row>
    <row r="3302" spans="1:2" x14ac:dyDescent="0.3">
      <c r="A3302" s="5">
        <v>45839</v>
      </c>
      <c r="B3302">
        <v>29</v>
      </c>
    </row>
    <row r="3303" spans="1:2" x14ac:dyDescent="0.3">
      <c r="A3303" s="5">
        <v>45840</v>
      </c>
      <c r="B3303">
        <v>29</v>
      </c>
    </row>
    <row r="3304" spans="1:2" x14ac:dyDescent="0.3">
      <c r="A3304" s="5">
        <v>45841</v>
      </c>
      <c r="B3304">
        <v>29</v>
      </c>
    </row>
    <row r="3305" spans="1:2" x14ac:dyDescent="0.3">
      <c r="A3305" s="5">
        <v>45842</v>
      </c>
      <c r="B3305">
        <v>29</v>
      </c>
    </row>
    <row r="3306" spans="1:2" x14ac:dyDescent="0.3">
      <c r="A3306" s="5">
        <v>45845</v>
      </c>
      <c r="B3306">
        <v>29</v>
      </c>
    </row>
    <row r="3307" spans="1:2" x14ac:dyDescent="0.3">
      <c r="A3307" s="5">
        <v>45846</v>
      </c>
      <c r="B3307">
        <v>29</v>
      </c>
    </row>
    <row r="3308" spans="1:2" x14ac:dyDescent="0.3">
      <c r="A3308" s="5">
        <v>45848</v>
      </c>
      <c r="B3308">
        <v>29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51"/>
  <sheetViews>
    <sheetView workbookViewId="0">
      <selection activeCell="A7" sqref="A7"/>
    </sheetView>
  </sheetViews>
  <sheetFormatPr baseColWidth="10" defaultRowHeight="14.4" x14ac:dyDescent="0.3"/>
  <sheetData>
    <row r="1" spans="1:2" x14ac:dyDescent="0.3">
      <c r="A1" t="s">
        <v>3975</v>
      </c>
      <c r="B1" t="s">
        <v>3964</v>
      </c>
    </row>
    <row r="2" spans="1:2" x14ac:dyDescent="0.3">
      <c r="A2" s="9" t="s">
        <v>14</v>
      </c>
      <c r="B2" s="8">
        <v>8.4899997711181641</v>
      </c>
    </row>
    <row r="3" spans="1:2" x14ac:dyDescent="0.3">
      <c r="A3" s="7" t="s">
        <v>15</v>
      </c>
      <c r="B3" s="8">
        <v>8.5100002288818359</v>
      </c>
    </row>
    <row r="4" spans="1:2" x14ac:dyDescent="0.3">
      <c r="A4" s="7" t="s">
        <v>16</v>
      </c>
      <c r="B4" s="8">
        <v>8.5100002288818359</v>
      </c>
    </row>
    <row r="5" spans="1:2" x14ac:dyDescent="0.3">
      <c r="A5" s="7" t="s">
        <v>17</v>
      </c>
      <c r="B5" s="8">
        <v>8.5100002288818359</v>
      </c>
    </row>
    <row r="6" spans="1:2" x14ac:dyDescent="0.3">
      <c r="A6" s="7" t="s">
        <v>18</v>
      </c>
      <c r="B6" s="8">
        <v>8.5100002288818359</v>
      </c>
    </row>
    <row r="7" spans="1:2" x14ac:dyDescent="0.3">
      <c r="A7" s="7" t="s">
        <v>19</v>
      </c>
      <c r="B7" s="8">
        <v>8.5100002288818359</v>
      </c>
    </row>
    <row r="8" spans="1:2" x14ac:dyDescent="0.3">
      <c r="A8" s="7" t="s">
        <v>20</v>
      </c>
      <c r="B8" s="8">
        <v>8.5100002288818359</v>
      </c>
    </row>
    <row r="9" spans="1:2" x14ac:dyDescent="0.3">
      <c r="A9" s="7" t="s">
        <v>21</v>
      </c>
      <c r="B9" s="8">
        <v>8.5100002288818359</v>
      </c>
    </row>
    <row r="10" spans="1:2" x14ac:dyDescent="0.3">
      <c r="A10" s="7" t="s">
        <v>22</v>
      </c>
      <c r="B10" s="8">
        <v>8.5100002288818359</v>
      </c>
    </row>
    <row r="11" spans="1:2" x14ac:dyDescent="0.3">
      <c r="A11" s="7" t="s">
        <v>23</v>
      </c>
      <c r="B11" s="8">
        <v>8.5100002288818359</v>
      </c>
    </row>
    <row r="12" spans="1:2" x14ac:dyDescent="0.3">
      <c r="A12" s="7" t="s">
        <v>24</v>
      </c>
      <c r="B12" s="8">
        <v>8.5100002288818359</v>
      </c>
    </row>
    <row r="13" spans="1:2" x14ac:dyDescent="0.3">
      <c r="A13" s="7" t="s">
        <v>25</v>
      </c>
      <c r="B13" s="8">
        <v>8.5100002288818359</v>
      </c>
    </row>
    <row r="14" spans="1:2" x14ac:dyDescent="0.3">
      <c r="A14" s="7" t="s">
        <v>26</v>
      </c>
      <c r="B14" s="8">
        <v>8.5100002288818359</v>
      </c>
    </row>
    <row r="15" spans="1:2" x14ac:dyDescent="0.3">
      <c r="A15" s="7" t="s">
        <v>27</v>
      </c>
      <c r="B15" s="8">
        <v>8.5100002288818359</v>
      </c>
    </row>
    <row r="16" spans="1:2" x14ac:dyDescent="0.3">
      <c r="A16" s="7" t="s">
        <v>28</v>
      </c>
      <c r="B16" s="8">
        <v>8.5100002288818359</v>
      </c>
    </row>
    <row r="17" spans="1:2" x14ac:dyDescent="0.3">
      <c r="A17" s="7" t="s">
        <v>29</v>
      </c>
      <c r="B17" s="8">
        <v>8.5100002288818359</v>
      </c>
    </row>
    <row r="18" spans="1:2" x14ac:dyDescent="0.3">
      <c r="A18" s="7" t="s">
        <v>30</v>
      </c>
      <c r="B18" s="8">
        <v>8.5100002288818359</v>
      </c>
    </row>
    <row r="19" spans="1:2" x14ac:dyDescent="0.3">
      <c r="A19" s="7" t="s">
        <v>31</v>
      </c>
      <c r="B19" s="8">
        <v>8.5200004577636719</v>
      </c>
    </row>
    <row r="20" spans="1:2" x14ac:dyDescent="0.3">
      <c r="A20" s="7" t="s">
        <v>32</v>
      </c>
      <c r="B20" s="8">
        <v>8.5200004577636719</v>
      </c>
    </row>
    <row r="21" spans="1:2" x14ac:dyDescent="0.3">
      <c r="A21" s="7" t="s">
        <v>33</v>
      </c>
      <c r="B21" s="8">
        <v>8.5200004577636719</v>
      </c>
    </row>
    <row r="22" spans="1:2" x14ac:dyDescent="0.3">
      <c r="A22" s="7" t="s">
        <v>34</v>
      </c>
      <c r="B22" s="8">
        <v>8.5200004577636719</v>
      </c>
    </row>
    <row r="23" spans="1:2" x14ac:dyDescent="0.3">
      <c r="A23" s="7" t="s">
        <v>35</v>
      </c>
      <c r="B23" s="8">
        <v>8.5200004577636719</v>
      </c>
    </row>
    <row r="24" spans="1:2" x14ac:dyDescent="0.3">
      <c r="A24" s="7" t="s">
        <v>36</v>
      </c>
      <c r="B24" s="8">
        <v>8.5200004577636719</v>
      </c>
    </row>
    <row r="25" spans="1:2" x14ac:dyDescent="0.3">
      <c r="A25" s="7" t="s">
        <v>37</v>
      </c>
      <c r="B25" s="8">
        <v>8.5200004577636719</v>
      </c>
    </row>
    <row r="26" spans="1:2" x14ac:dyDescent="0.3">
      <c r="A26" s="7" t="s">
        <v>38</v>
      </c>
      <c r="B26" s="8">
        <v>8.5200004577636719</v>
      </c>
    </row>
    <row r="27" spans="1:2" x14ac:dyDescent="0.3">
      <c r="A27" s="7" t="s">
        <v>39</v>
      </c>
      <c r="B27" s="8">
        <v>8.5299997329711914</v>
      </c>
    </row>
    <row r="28" spans="1:2" x14ac:dyDescent="0.3">
      <c r="A28" s="7" t="s">
        <v>40</v>
      </c>
      <c r="B28" s="8">
        <v>8.5299997329711914</v>
      </c>
    </row>
    <row r="29" spans="1:2" x14ac:dyDescent="0.3">
      <c r="A29" s="7" t="s">
        <v>41</v>
      </c>
      <c r="B29" s="8">
        <v>8.5299997329711914</v>
      </c>
    </row>
    <row r="30" spans="1:2" x14ac:dyDescent="0.3">
      <c r="A30" s="7" t="s">
        <v>42</v>
      </c>
      <c r="B30" s="8">
        <v>8.5299997329711914</v>
      </c>
    </row>
    <row r="31" spans="1:2" x14ac:dyDescent="0.3">
      <c r="A31" s="7" t="s">
        <v>43</v>
      </c>
      <c r="B31" s="8">
        <v>8.5299997329711914</v>
      </c>
    </row>
    <row r="32" spans="1:2" x14ac:dyDescent="0.3">
      <c r="A32" s="7" t="s">
        <v>44</v>
      </c>
      <c r="B32" s="8">
        <v>8.5500001907348633</v>
      </c>
    </row>
    <row r="33" spans="1:2" x14ac:dyDescent="0.3">
      <c r="A33" s="7" t="s">
        <v>45</v>
      </c>
      <c r="B33" s="8">
        <v>8.5500001907348633</v>
      </c>
    </row>
    <row r="34" spans="1:2" x14ac:dyDescent="0.3">
      <c r="A34" s="7" t="s">
        <v>46</v>
      </c>
      <c r="B34" s="8">
        <v>8.5500001907348633</v>
      </c>
    </row>
    <row r="35" spans="1:2" x14ac:dyDescent="0.3">
      <c r="A35" s="7" t="s">
        <v>47</v>
      </c>
      <c r="B35" s="8">
        <v>8.5500001907348633</v>
      </c>
    </row>
    <row r="36" spans="1:2" x14ac:dyDescent="0.3">
      <c r="A36" s="7" t="s">
        <v>48</v>
      </c>
      <c r="B36" s="8">
        <v>8.5500001907348633</v>
      </c>
    </row>
    <row r="37" spans="1:2" x14ac:dyDescent="0.3">
      <c r="A37" s="7" t="s">
        <v>49</v>
      </c>
      <c r="B37" s="8">
        <v>8.5600004196166992</v>
      </c>
    </row>
    <row r="38" spans="1:2" x14ac:dyDescent="0.3">
      <c r="A38" s="7" t="s">
        <v>50</v>
      </c>
      <c r="B38" s="8">
        <v>8.5600004196166992</v>
      </c>
    </row>
    <row r="39" spans="1:2" x14ac:dyDescent="0.3">
      <c r="A39" s="7" t="s">
        <v>51</v>
      </c>
      <c r="B39" s="8">
        <v>8.5600004196166992</v>
      </c>
    </row>
    <row r="40" spans="1:2" x14ac:dyDescent="0.3">
      <c r="A40" s="7" t="s">
        <v>52</v>
      </c>
      <c r="B40" s="8">
        <v>8.5600004196166992</v>
      </c>
    </row>
    <row r="41" spans="1:2" x14ac:dyDescent="0.3">
      <c r="A41" s="7" t="s">
        <v>53</v>
      </c>
      <c r="B41" s="8">
        <v>8.5600004196166992</v>
      </c>
    </row>
    <row r="42" spans="1:2" x14ac:dyDescent="0.3">
      <c r="A42" s="7" t="s">
        <v>54</v>
      </c>
      <c r="B42" s="8">
        <v>8.5600004196166992</v>
      </c>
    </row>
    <row r="43" spans="1:2" x14ac:dyDescent="0.3">
      <c r="A43" s="7" t="s">
        <v>55</v>
      </c>
      <c r="B43" s="8">
        <v>8.5600004196166992</v>
      </c>
    </row>
    <row r="44" spans="1:2" x14ac:dyDescent="0.3">
      <c r="A44" s="7" t="s">
        <v>56</v>
      </c>
      <c r="B44" s="8">
        <v>8.5600004196166992</v>
      </c>
    </row>
    <row r="45" spans="1:2" x14ac:dyDescent="0.3">
      <c r="A45" s="7" t="s">
        <v>57</v>
      </c>
      <c r="B45" s="8">
        <v>8.5600004196166992</v>
      </c>
    </row>
    <row r="46" spans="1:2" x14ac:dyDescent="0.3">
      <c r="A46" s="7" t="s">
        <v>58</v>
      </c>
      <c r="B46" s="8">
        <v>8.5600004196166992</v>
      </c>
    </row>
    <row r="47" spans="1:2" x14ac:dyDescent="0.3">
      <c r="A47" s="7" t="s">
        <v>59</v>
      </c>
      <c r="B47" s="8">
        <v>8.5600004196166992</v>
      </c>
    </row>
    <row r="48" spans="1:2" x14ac:dyDescent="0.3">
      <c r="A48" s="7" t="s">
        <v>60</v>
      </c>
      <c r="B48" s="8">
        <v>8.5600004196166992</v>
      </c>
    </row>
    <row r="49" spans="1:2" x14ac:dyDescent="0.3">
      <c r="A49" s="7" t="s">
        <v>61</v>
      </c>
      <c r="B49" s="8">
        <v>8.5600004196166992</v>
      </c>
    </row>
    <row r="50" spans="1:2" x14ac:dyDescent="0.3">
      <c r="A50" s="7" t="s">
        <v>62</v>
      </c>
      <c r="B50" s="8">
        <v>8.5600004196166992</v>
      </c>
    </row>
    <row r="51" spans="1:2" x14ac:dyDescent="0.3">
      <c r="A51" s="7" t="s">
        <v>63</v>
      </c>
      <c r="B51" s="8">
        <v>8.5600004196166992</v>
      </c>
    </row>
    <row r="52" spans="1:2" x14ac:dyDescent="0.3">
      <c r="A52" s="7" t="s">
        <v>64</v>
      </c>
      <c r="B52" s="8">
        <v>8.5600004196166992</v>
      </c>
    </row>
    <row r="53" spans="1:2" x14ac:dyDescent="0.3">
      <c r="A53" s="7" t="s">
        <v>65</v>
      </c>
      <c r="B53" s="8">
        <v>8.5600004196166992</v>
      </c>
    </row>
    <row r="54" spans="1:2" x14ac:dyDescent="0.3">
      <c r="A54" s="7" t="s">
        <v>66</v>
      </c>
      <c r="B54" s="8">
        <v>8.5600004196166992</v>
      </c>
    </row>
    <row r="55" spans="1:2" x14ac:dyDescent="0.3">
      <c r="A55" s="7" t="s">
        <v>67</v>
      </c>
      <c r="B55" s="8">
        <v>8.5600004196166992</v>
      </c>
    </row>
    <row r="56" spans="1:2" x14ac:dyDescent="0.3">
      <c r="A56" s="7" t="s">
        <v>68</v>
      </c>
      <c r="B56" s="8">
        <v>8.5600004196166992</v>
      </c>
    </row>
    <row r="57" spans="1:2" x14ac:dyDescent="0.3">
      <c r="A57" s="7" t="s">
        <v>69</v>
      </c>
      <c r="B57" s="8">
        <v>8.5600004196166992</v>
      </c>
    </row>
    <row r="58" spans="1:2" x14ac:dyDescent="0.3">
      <c r="A58" s="7" t="s">
        <v>70</v>
      </c>
      <c r="B58" s="8">
        <v>8.5600004196166992</v>
      </c>
    </row>
    <row r="59" spans="1:2" x14ac:dyDescent="0.3">
      <c r="A59" s="7" t="s">
        <v>71</v>
      </c>
      <c r="B59" s="8">
        <v>8.5600004196166992</v>
      </c>
    </row>
    <row r="60" spans="1:2" x14ac:dyDescent="0.3">
      <c r="A60" s="7" t="s">
        <v>72</v>
      </c>
      <c r="B60" s="8">
        <v>8.5600004196166992</v>
      </c>
    </row>
    <row r="61" spans="1:2" x14ac:dyDescent="0.3">
      <c r="A61" s="7" t="s">
        <v>73</v>
      </c>
      <c r="B61" s="8">
        <v>8.5600004196166992</v>
      </c>
    </row>
    <row r="62" spans="1:2" x14ac:dyDescent="0.3">
      <c r="A62" s="7" t="s">
        <v>74</v>
      </c>
      <c r="B62" s="8">
        <v>8.5600004196166992</v>
      </c>
    </row>
    <row r="63" spans="1:2" x14ac:dyDescent="0.3">
      <c r="A63" s="7" t="s">
        <v>75</v>
      </c>
      <c r="B63" s="8">
        <v>8.5600004196166992</v>
      </c>
    </row>
    <row r="64" spans="1:2" x14ac:dyDescent="0.3">
      <c r="A64" s="7" t="s">
        <v>76</v>
      </c>
      <c r="B64" s="8">
        <v>8.5600004196166992</v>
      </c>
    </row>
    <row r="65" spans="1:2" x14ac:dyDescent="0.3">
      <c r="A65" s="7" t="s">
        <v>77</v>
      </c>
      <c r="B65" s="8">
        <v>8.5600004196166992</v>
      </c>
    </row>
    <row r="66" spans="1:2" x14ac:dyDescent="0.3">
      <c r="A66" s="7" t="s">
        <v>78</v>
      </c>
      <c r="B66" s="8">
        <v>8.5600004196166992</v>
      </c>
    </row>
    <row r="67" spans="1:2" x14ac:dyDescent="0.3">
      <c r="A67" s="7" t="s">
        <v>79</v>
      </c>
      <c r="B67" s="8">
        <v>8.5699996948242188</v>
      </c>
    </row>
    <row r="68" spans="1:2" x14ac:dyDescent="0.3">
      <c r="A68" s="7" t="s">
        <v>80</v>
      </c>
      <c r="B68" s="8">
        <v>8.5900001525878906</v>
      </c>
    </row>
    <row r="69" spans="1:2" x14ac:dyDescent="0.3">
      <c r="A69" s="7" t="s">
        <v>81</v>
      </c>
      <c r="B69" s="8">
        <v>8.6000003814697266</v>
      </c>
    </row>
    <row r="70" spans="1:2" x14ac:dyDescent="0.3">
      <c r="A70" s="7" t="s">
        <v>82</v>
      </c>
      <c r="B70" s="8">
        <v>8.6000003814697266</v>
      </c>
    </row>
    <row r="71" spans="1:2" x14ac:dyDescent="0.3">
      <c r="A71" s="7" t="s">
        <v>83</v>
      </c>
      <c r="B71" s="8">
        <v>8.6000003814697266</v>
      </c>
    </row>
    <row r="72" spans="1:2" x14ac:dyDescent="0.3">
      <c r="A72" s="7" t="s">
        <v>84</v>
      </c>
      <c r="B72" s="8">
        <v>8.6000003814697266</v>
      </c>
    </row>
    <row r="73" spans="1:2" x14ac:dyDescent="0.3">
      <c r="A73" s="7" t="s">
        <v>85</v>
      </c>
      <c r="B73" s="8">
        <v>8.6000003814697266</v>
      </c>
    </row>
    <row r="74" spans="1:2" x14ac:dyDescent="0.3">
      <c r="A74" s="7" t="s">
        <v>86</v>
      </c>
      <c r="B74" s="8">
        <v>8.6000003814697266</v>
      </c>
    </row>
    <row r="75" spans="1:2" x14ac:dyDescent="0.3">
      <c r="A75" s="7" t="s">
        <v>87</v>
      </c>
      <c r="B75" s="8">
        <v>8.6000003814697266</v>
      </c>
    </row>
    <row r="76" spans="1:2" x14ac:dyDescent="0.3">
      <c r="A76" s="7" t="s">
        <v>88</v>
      </c>
      <c r="B76" s="8">
        <v>8.6000003814697266</v>
      </c>
    </row>
    <row r="77" spans="1:2" x14ac:dyDescent="0.3">
      <c r="A77" s="7" t="s">
        <v>89</v>
      </c>
      <c r="B77" s="8">
        <v>8.6000003814697266</v>
      </c>
    </row>
    <row r="78" spans="1:2" x14ac:dyDescent="0.3">
      <c r="A78" s="7" t="s">
        <v>90</v>
      </c>
      <c r="B78" s="8">
        <v>8.6000003814697266</v>
      </c>
    </row>
    <row r="79" spans="1:2" x14ac:dyDescent="0.3">
      <c r="A79" s="7" t="s">
        <v>91</v>
      </c>
      <c r="B79" s="8">
        <v>8.6000003814697266</v>
      </c>
    </row>
    <row r="80" spans="1:2" x14ac:dyDescent="0.3">
      <c r="A80" s="7" t="s">
        <v>92</v>
      </c>
      <c r="B80" s="8">
        <v>8.6099996566772461</v>
      </c>
    </row>
    <row r="81" spans="1:2" x14ac:dyDescent="0.3">
      <c r="A81" s="7" t="s">
        <v>93</v>
      </c>
      <c r="B81" s="8">
        <v>8.6099996566772461</v>
      </c>
    </row>
    <row r="82" spans="1:2" x14ac:dyDescent="0.3">
      <c r="A82" s="7" t="s">
        <v>94</v>
      </c>
      <c r="B82" s="8">
        <v>8.619999885559082</v>
      </c>
    </row>
    <row r="83" spans="1:2" x14ac:dyDescent="0.3">
      <c r="A83" s="7" t="s">
        <v>95</v>
      </c>
      <c r="B83" s="8">
        <v>8.630000114440918</v>
      </c>
    </row>
    <row r="84" spans="1:2" x14ac:dyDescent="0.3">
      <c r="A84" s="7" t="s">
        <v>96</v>
      </c>
      <c r="B84" s="8">
        <v>8.630000114440918</v>
      </c>
    </row>
    <row r="85" spans="1:2" x14ac:dyDescent="0.3">
      <c r="A85" s="7" t="s">
        <v>97</v>
      </c>
      <c r="B85" s="8">
        <v>8.630000114440918</v>
      </c>
    </row>
    <row r="86" spans="1:2" x14ac:dyDescent="0.3">
      <c r="A86" s="7" t="s">
        <v>98</v>
      </c>
      <c r="B86" s="8">
        <v>8.630000114440918</v>
      </c>
    </row>
    <row r="87" spans="1:2" x14ac:dyDescent="0.3">
      <c r="A87" s="7" t="s">
        <v>99</v>
      </c>
      <c r="B87" s="8">
        <v>8.630000114440918</v>
      </c>
    </row>
    <row r="88" spans="1:2" x14ac:dyDescent="0.3">
      <c r="A88" s="7" t="s">
        <v>100</v>
      </c>
      <c r="B88" s="8">
        <v>8.6400003433227539</v>
      </c>
    </row>
    <row r="89" spans="1:2" x14ac:dyDescent="0.3">
      <c r="A89" s="7" t="s">
        <v>101</v>
      </c>
      <c r="B89" s="8">
        <v>8.6400003433227539</v>
      </c>
    </row>
    <row r="90" spans="1:2" x14ac:dyDescent="0.3">
      <c r="A90" s="7" t="s">
        <v>102</v>
      </c>
      <c r="B90" s="8">
        <v>8.6499996185302734</v>
      </c>
    </row>
    <row r="91" spans="1:2" x14ac:dyDescent="0.3">
      <c r="A91" s="7" t="s">
        <v>103</v>
      </c>
      <c r="B91" s="8">
        <v>8.6499996185302734</v>
      </c>
    </row>
    <row r="92" spans="1:2" x14ac:dyDescent="0.3">
      <c r="A92" s="7" t="s">
        <v>104</v>
      </c>
      <c r="B92" s="8">
        <v>8.6499996185302734</v>
      </c>
    </row>
    <row r="93" spans="1:2" x14ac:dyDescent="0.3">
      <c r="A93" s="7" t="s">
        <v>105</v>
      </c>
      <c r="B93" s="8">
        <v>8.6499996185302734</v>
      </c>
    </row>
    <row r="94" spans="1:2" x14ac:dyDescent="0.3">
      <c r="A94" s="7" t="s">
        <v>106</v>
      </c>
      <c r="B94" s="8">
        <v>8.6599998474121094</v>
      </c>
    </row>
    <row r="95" spans="1:2" x14ac:dyDescent="0.3">
      <c r="A95" s="7" t="s">
        <v>107</v>
      </c>
      <c r="B95" s="8">
        <v>8.6599998474121094</v>
      </c>
    </row>
    <row r="96" spans="1:2" x14ac:dyDescent="0.3">
      <c r="A96" s="7" t="s">
        <v>108</v>
      </c>
      <c r="B96" s="8">
        <v>8.6599998474121094</v>
      </c>
    </row>
    <row r="97" spans="1:2" x14ac:dyDescent="0.3">
      <c r="A97" s="7" t="s">
        <v>109</v>
      </c>
      <c r="B97" s="8">
        <v>8.6599998474121094</v>
      </c>
    </row>
    <row r="98" spans="1:2" x14ac:dyDescent="0.3">
      <c r="A98" s="7" t="s">
        <v>110</v>
      </c>
      <c r="B98" s="8">
        <v>8.6599998474121094</v>
      </c>
    </row>
    <row r="99" spans="1:2" x14ac:dyDescent="0.3">
      <c r="A99" s="7" t="s">
        <v>111</v>
      </c>
      <c r="B99" s="8">
        <v>8.6599998474121094</v>
      </c>
    </row>
    <row r="100" spans="1:2" x14ac:dyDescent="0.3">
      <c r="A100" s="7" t="s">
        <v>112</v>
      </c>
      <c r="B100" s="8">
        <v>8.6599998474121094</v>
      </c>
    </row>
    <row r="101" spans="1:2" x14ac:dyDescent="0.3">
      <c r="A101" s="7" t="s">
        <v>113</v>
      </c>
      <c r="B101" s="8">
        <v>8.6599998474121094</v>
      </c>
    </row>
    <row r="102" spans="1:2" x14ac:dyDescent="0.3">
      <c r="A102" s="7" t="s">
        <v>114</v>
      </c>
      <c r="B102" s="8">
        <v>8.6750001907348633</v>
      </c>
    </row>
    <row r="103" spans="1:2" x14ac:dyDescent="0.3">
      <c r="A103" s="7" t="s">
        <v>115</v>
      </c>
      <c r="B103" s="8">
        <v>8.6850004196166992</v>
      </c>
    </row>
    <row r="104" spans="1:2" x14ac:dyDescent="0.3">
      <c r="A104" s="7" t="s">
        <v>116</v>
      </c>
      <c r="B104" s="8">
        <v>8.6850004196166992</v>
      </c>
    </row>
    <row r="105" spans="1:2" x14ac:dyDescent="0.3">
      <c r="A105" s="7" t="s">
        <v>117</v>
      </c>
      <c r="B105" s="8">
        <v>8.6850004196166992</v>
      </c>
    </row>
    <row r="106" spans="1:2" x14ac:dyDescent="0.3">
      <c r="A106" s="7" t="s">
        <v>118</v>
      </c>
      <c r="B106" s="8">
        <v>8.6850004196166992</v>
      </c>
    </row>
    <row r="107" spans="1:2" x14ac:dyDescent="0.3">
      <c r="A107" s="7" t="s">
        <v>119</v>
      </c>
      <c r="B107" s="8">
        <v>8.6850004196166992</v>
      </c>
    </row>
    <row r="108" spans="1:2" x14ac:dyDescent="0.3">
      <c r="A108" s="7" t="s">
        <v>120</v>
      </c>
      <c r="B108" s="8">
        <v>8.6850004196166992</v>
      </c>
    </row>
    <row r="109" spans="1:2" x14ac:dyDescent="0.3">
      <c r="A109" s="7" t="s">
        <v>121</v>
      </c>
      <c r="B109" s="8">
        <v>8.6850004196166992</v>
      </c>
    </row>
    <row r="110" spans="1:2" x14ac:dyDescent="0.3">
      <c r="A110" s="7" t="s">
        <v>122</v>
      </c>
      <c r="B110" s="8">
        <v>8.6949996948242188</v>
      </c>
    </row>
    <row r="111" spans="1:2" x14ac:dyDescent="0.3">
      <c r="A111" s="7" t="s">
        <v>123</v>
      </c>
      <c r="B111" s="8">
        <v>8.6999998092651367</v>
      </c>
    </row>
    <row r="112" spans="1:2" x14ac:dyDescent="0.3">
      <c r="A112" s="7" t="s">
        <v>124</v>
      </c>
      <c r="B112" s="8">
        <v>8.6999998092651367</v>
      </c>
    </row>
    <row r="113" spans="1:2" x14ac:dyDescent="0.3">
      <c r="A113" s="7" t="s">
        <v>125</v>
      </c>
      <c r="B113" s="8">
        <v>8.6999998092651367</v>
      </c>
    </row>
    <row r="114" spans="1:2" x14ac:dyDescent="0.3">
      <c r="A114" s="7" t="s">
        <v>126</v>
      </c>
      <c r="B114" s="8">
        <v>8.7049999237060547</v>
      </c>
    </row>
    <row r="115" spans="1:2" x14ac:dyDescent="0.3">
      <c r="A115" s="7" t="s">
        <v>127</v>
      </c>
      <c r="B115" s="8">
        <v>8.7150001525878906</v>
      </c>
    </row>
    <row r="116" spans="1:2" x14ac:dyDescent="0.3">
      <c r="A116" s="7" t="s">
        <v>128</v>
      </c>
      <c r="B116" s="8">
        <v>8.7150001525878906</v>
      </c>
    </row>
    <row r="117" spans="1:2" x14ac:dyDescent="0.3">
      <c r="A117" s="7" t="s">
        <v>129</v>
      </c>
      <c r="B117" s="8">
        <v>8.7250003814697266</v>
      </c>
    </row>
    <row r="118" spans="1:2" x14ac:dyDescent="0.3">
      <c r="A118" s="7" t="s">
        <v>130</v>
      </c>
      <c r="B118" s="8">
        <v>8.7250003814697266</v>
      </c>
    </row>
    <row r="119" spans="1:2" x14ac:dyDescent="0.3">
      <c r="A119" s="7" t="s">
        <v>131</v>
      </c>
      <c r="B119" s="8">
        <v>8.7250003814697266</v>
      </c>
    </row>
    <row r="120" spans="1:2" x14ac:dyDescent="0.3">
      <c r="A120" s="7" t="s">
        <v>132</v>
      </c>
      <c r="B120" s="8">
        <v>8.7250003814697266</v>
      </c>
    </row>
    <row r="121" spans="1:2" x14ac:dyDescent="0.3">
      <c r="A121" s="7" t="s">
        <v>133</v>
      </c>
      <c r="B121" s="8">
        <v>8.7299995422363281</v>
      </c>
    </row>
    <row r="122" spans="1:2" x14ac:dyDescent="0.3">
      <c r="A122" s="7" t="s">
        <v>134</v>
      </c>
      <c r="B122" s="8">
        <v>8.7349996566772461</v>
      </c>
    </row>
    <row r="123" spans="1:2" x14ac:dyDescent="0.3">
      <c r="A123" s="7" t="s">
        <v>135</v>
      </c>
      <c r="B123" s="8">
        <v>8.744999885559082</v>
      </c>
    </row>
    <row r="124" spans="1:2" x14ac:dyDescent="0.3">
      <c r="A124" s="7" t="s">
        <v>136</v>
      </c>
      <c r="B124" s="8">
        <v>8.75</v>
      </c>
    </row>
    <row r="125" spans="1:2" x14ac:dyDescent="0.3">
      <c r="A125" s="7" t="s">
        <v>137</v>
      </c>
      <c r="B125" s="8">
        <v>8.755000114440918</v>
      </c>
    </row>
    <row r="126" spans="1:2" x14ac:dyDescent="0.3">
      <c r="A126" s="7" t="s">
        <v>138</v>
      </c>
      <c r="B126" s="8">
        <v>8.755000114440918</v>
      </c>
    </row>
    <row r="127" spans="1:2" x14ac:dyDescent="0.3">
      <c r="A127" s="7" t="s">
        <v>139</v>
      </c>
      <c r="B127" s="8">
        <v>8.755000114440918</v>
      </c>
    </row>
    <row r="128" spans="1:2" x14ac:dyDescent="0.3">
      <c r="A128" s="7" t="s">
        <v>140</v>
      </c>
      <c r="B128" s="8">
        <v>8.755000114440918</v>
      </c>
    </row>
    <row r="129" spans="1:2" x14ac:dyDescent="0.3">
      <c r="A129" s="7" t="s">
        <v>141</v>
      </c>
      <c r="B129" s="8">
        <v>8.7700004577636719</v>
      </c>
    </row>
    <row r="130" spans="1:2" x14ac:dyDescent="0.3">
      <c r="A130" s="7" t="s">
        <v>142</v>
      </c>
      <c r="B130" s="8">
        <v>8.7749996185302734</v>
      </c>
    </row>
    <row r="131" spans="1:2" x14ac:dyDescent="0.3">
      <c r="A131" s="7" t="s">
        <v>143</v>
      </c>
      <c r="B131" s="8">
        <v>8.7749996185302734</v>
      </c>
    </row>
    <row r="132" spans="1:2" x14ac:dyDescent="0.3">
      <c r="A132" s="7" t="s">
        <v>144</v>
      </c>
      <c r="B132" s="8">
        <v>8.7849998474121094</v>
      </c>
    </row>
    <row r="133" spans="1:2" x14ac:dyDescent="0.3">
      <c r="A133" s="7" t="s">
        <v>145</v>
      </c>
      <c r="B133" s="8">
        <v>8.7849998474121094</v>
      </c>
    </row>
    <row r="134" spans="1:2" x14ac:dyDescent="0.3">
      <c r="A134" s="7" t="s">
        <v>146</v>
      </c>
      <c r="B134" s="8">
        <v>8.7849998474121094</v>
      </c>
    </row>
    <row r="135" spans="1:2" x14ac:dyDescent="0.3">
      <c r="A135" s="7" t="s">
        <v>147</v>
      </c>
      <c r="B135" s="8">
        <v>8.7849998474121094</v>
      </c>
    </row>
    <row r="136" spans="1:2" x14ac:dyDescent="0.3">
      <c r="A136" s="7" t="s">
        <v>148</v>
      </c>
      <c r="B136" s="8">
        <v>8.7849998474121094</v>
      </c>
    </row>
    <row r="137" spans="1:2" x14ac:dyDescent="0.3">
      <c r="A137" s="7" t="s">
        <v>149</v>
      </c>
      <c r="B137" s="8">
        <v>8.7849998474121094</v>
      </c>
    </row>
    <row r="138" spans="1:2" x14ac:dyDescent="0.3">
      <c r="A138" s="7" t="s">
        <v>150</v>
      </c>
      <c r="B138" s="8">
        <v>8.7950000762939453</v>
      </c>
    </row>
    <row r="139" spans="1:2" x14ac:dyDescent="0.3">
      <c r="A139" s="7" t="s">
        <v>151</v>
      </c>
      <c r="B139" s="8">
        <v>8.7950000762939453</v>
      </c>
    </row>
    <row r="140" spans="1:2" x14ac:dyDescent="0.3">
      <c r="A140" s="7" t="s">
        <v>152</v>
      </c>
      <c r="B140" s="8">
        <v>8.7950000762939453</v>
      </c>
    </row>
    <row r="141" spans="1:2" x14ac:dyDescent="0.3">
      <c r="A141" s="7" t="s">
        <v>153</v>
      </c>
      <c r="B141" s="8">
        <v>8.7950000762939453</v>
      </c>
    </row>
    <row r="142" spans="1:2" x14ac:dyDescent="0.3">
      <c r="A142" s="7" t="s">
        <v>154</v>
      </c>
      <c r="B142" s="8">
        <v>8.8000001907348633</v>
      </c>
    </row>
    <row r="143" spans="1:2" x14ac:dyDescent="0.3">
      <c r="A143" s="7" t="s">
        <v>155</v>
      </c>
      <c r="B143" s="8">
        <v>8.8000001907348633</v>
      </c>
    </row>
    <row r="144" spans="1:2" x14ac:dyDescent="0.3">
      <c r="A144" s="7" t="s">
        <v>156</v>
      </c>
      <c r="B144" s="8">
        <v>8.8000001907348633</v>
      </c>
    </row>
    <row r="145" spans="1:2" x14ac:dyDescent="0.3">
      <c r="A145" s="7" t="s">
        <v>157</v>
      </c>
      <c r="B145" s="8">
        <v>8.8100004196166992</v>
      </c>
    </row>
    <row r="146" spans="1:2" x14ac:dyDescent="0.3">
      <c r="A146" s="7" t="s">
        <v>158</v>
      </c>
      <c r="B146" s="8">
        <v>8.8100004196166992</v>
      </c>
    </row>
    <row r="147" spans="1:2" x14ac:dyDescent="0.3">
      <c r="A147" s="7" t="s">
        <v>159</v>
      </c>
      <c r="B147" s="8">
        <v>8.8100004196166992</v>
      </c>
    </row>
    <row r="148" spans="1:2" x14ac:dyDescent="0.3">
      <c r="A148" s="7" t="s">
        <v>160</v>
      </c>
      <c r="B148" s="8">
        <v>8.8100004196166992</v>
      </c>
    </row>
    <row r="149" spans="1:2" x14ac:dyDescent="0.3">
      <c r="A149" s="7" t="s">
        <v>161</v>
      </c>
      <c r="B149" s="8">
        <v>8.8149995803833008</v>
      </c>
    </row>
    <row r="150" spans="1:2" x14ac:dyDescent="0.3">
      <c r="A150" s="7" t="s">
        <v>162</v>
      </c>
      <c r="B150" s="8">
        <v>8.8199996948242188</v>
      </c>
    </row>
    <row r="151" spans="1:2" x14ac:dyDescent="0.3">
      <c r="A151" s="7" t="s">
        <v>163</v>
      </c>
      <c r="B151" s="8">
        <v>8.8199996948242188</v>
      </c>
    </row>
    <row r="152" spans="1:2" x14ac:dyDescent="0.3">
      <c r="A152" s="7" t="s">
        <v>164</v>
      </c>
      <c r="B152" s="8">
        <v>8.8299999237060547</v>
      </c>
    </row>
    <row r="153" spans="1:2" x14ac:dyDescent="0.3">
      <c r="A153" s="7" t="s">
        <v>165</v>
      </c>
      <c r="B153" s="8">
        <v>8.8299999237060547</v>
      </c>
    </row>
    <row r="154" spans="1:2" x14ac:dyDescent="0.3">
      <c r="A154" s="7" t="s">
        <v>166</v>
      </c>
      <c r="B154" s="8">
        <v>8.8299999237060547</v>
      </c>
    </row>
    <row r="155" spans="1:2" x14ac:dyDescent="0.3">
      <c r="A155" s="7" t="s">
        <v>167</v>
      </c>
      <c r="B155" s="8">
        <v>8.8299999237060547</v>
      </c>
    </row>
    <row r="156" spans="1:2" x14ac:dyDescent="0.3">
      <c r="A156" s="7" t="s">
        <v>168</v>
      </c>
      <c r="B156" s="8">
        <v>8.8350000381469727</v>
      </c>
    </row>
    <row r="157" spans="1:2" x14ac:dyDescent="0.3">
      <c r="A157" s="7" t="s">
        <v>169</v>
      </c>
      <c r="B157" s="8">
        <v>8.8350000381469727</v>
      </c>
    </row>
    <row r="158" spans="1:2" x14ac:dyDescent="0.3">
      <c r="A158" s="7" t="s">
        <v>170</v>
      </c>
      <c r="B158" s="8">
        <v>8.8400001525878906</v>
      </c>
    </row>
    <row r="159" spans="1:2" x14ac:dyDescent="0.3">
      <c r="A159" s="7" t="s">
        <v>171</v>
      </c>
      <c r="B159" s="8">
        <v>8.8400001525878906</v>
      </c>
    </row>
    <row r="160" spans="1:2" x14ac:dyDescent="0.3">
      <c r="A160" s="7" t="s">
        <v>172</v>
      </c>
      <c r="B160" s="8">
        <v>8.8450002670288086</v>
      </c>
    </row>
    <row r="161" spans="1:2" x14ac:dyDescent="0.3">
      <c r="A161" s="7" t="s">
        <v>173</v>
      </c>
      <c r="B161" s="8">
        <v>8.8450002670288086</v>
      </c>
    </row>
    <row r="162" spans="1:2" x14ac:dyDescent="0.3">
      <c r="A162" s="7" t="s">
        <v>174</v>
      </c>
      <c r="B162" s="8">
        <v>8.8450002670288086</v>
      </c>
    </row>
    <row r="163" spans="1:2" x14ac:dyDescent="0.3">
      <c r="A163" s="7" t="s">
        <v>175</v>
      </c>
      <c r="B163" s="8">
        <v>8.8549995422363281</v>
      </c>
    </row>
    <row r="164" spans="1:2" x14ac:dyDescent="0.3">
      <c r="A164" s="7" t="s">
        <v>176</v>
      </c>
      <c r="B164" s="8">
        <v>8.8599996566772461</v>
      </c>
    </row>
    <row r="165" spans="1:2" x14ac:dyDescent="0.3">
      <c r="A165" s="7" t="s">
        <v>177</v>
      </c>
      <c r="B165" s="8">
        <v>8.8599996566772461</v>
      </c>
    </row>
    <row r="166" spans="1:2" x14ac:dyDescent="0.3">
      <c r="A166" s="7" t="s">
        <v>178</v>
      </c>
      <c r="B166" s="8">
        <v>8.869999885559082</v>
      </c>
    </row>
    <row r="167" spans="1:2" x14ac:dyDescent="0.3">
      <c r="A167" s="7" t="s">
        <v>179</v>
      </c>
      <c r="B167" s="8">
        <v>8.869999885559082</v>
      </c>
    </row>
    <row r="168" spans="1:2" x14ac:dyDescent="0.3">
      <c r="A168" s="7" t="s">
        <v>180</v>
      </c>
      <c r="B168" s="8">
        <v>8.869999885559082</v>
      </c>
    </row>
    <row r="169" spans="1:2" x14ac:dyDescent="0.3">
      <c r="A169" s="7" t="s">
        <v>181</v>
      </c>
      <c r="B169" s="8">
        <v>8.869999885559082</v>
      </c>
    </row>
    <row r="170" spans="1:2" x14ac:dyDescent="0.3">
      <c r="A170" s="7" t="s">
        <v>182</v>
      </c>
      <c r="B170" s="8">
        <v>8.869999885559082</v>
      </c>
    </row>
    <row r="171" spans="1:2" x14ac:dyDescent="0.3">
      <c r="A171" s="7" t="s">
        <v>183</v>
      </c>
      <c r="B171" s="8">
        <v>8.875</v>
      </c>
    </row>
    <row r="172" spans="1:2" x14ac:dyDescent="0.3">
      <c r="A172" s="7" t="s">
        <v>184</v>
      </c>
      <c r="B172" s="8">
        <v>8.875</v>
      </c>
    </row>
    <row r="173" spans="1:2" x14ac:dyDescent="0.3">
      <c r="A173" s="7" t="s">
        <v>185</v>
      </c>
      <c r="B173" s="8">
        <v>8.8850002288818359</v>
      </c>
    </row>
    <row r="174" spans="1:2" x14ac:dyDescent="0.3">
      <c r="A174" s="7" t="s">
        <v>186</v>
      </c>
      <c r="B174" s="8">
        <v>8.8850002288818359</v>
      </c>
    </row>
    <row r="175" spans="1:2" x14ac:dyDescent="0.3">
      <c r="A175" s="7" t="s">
        <v>187</v>
      </c>
      <c r="B175" s="8">
        <v>8.8850002288818359</v>
      </c>
    </row>
    <row r="176" spans="1:2" x14ac:dyDescent="0.3">
      <c r="A176" s="7" t="s">
        <v>188</v>
      </c>
      <c r="B176" s="8">
        <v>8.8850002288818359</v>
      </c>
    </row>
    <row r="177" spans="1:2" x14ac:dyDescent="0.3">
      <c r="A177" s="7" t="s">
        <v>189</v>
      </c>
      <c r="B177" s="8">
        <v>8.8950004577636719</v>
      </c>
    </row>
    <row r="178" spans="1:2" x14ac:dyDescent="0.3">
      <c r="A178" s="7" t="s">
        <v>190</v>
      </c>
      <c r="B178" s="8">
        <v>8.8950004577636719</v>
      </c>
    </row>
    <row r="179" spans="1:2" x14ac:dyDescent="0.3">
      <c r="A179" s="7" t="s">
        <v>191</v>
      </c>
      <c r="B179" s="8">
        <v>8.8950004577636719</v>
      </c>
    </row>
    <row r="180" spans="1:2" x14ac:dyDescent="0.3">
      <c r="A180" s="7" t="s">
        <v>192</v>
      </c>
      <c r="B180" s="8">
        <v>8.9049997329711914</v>
      </c>
    </row>
    <row r="181" spans="1:2" x14ac:dyDescent="0.3">
      <c r="A181" s="7" t="s">
        <v>193</v>
      </c>
      <c r="B181" s="8">
        <v>8.9099998474121094</v>
      </c>
    </row>
    <row r="182" spans="1:2" x14ac:dyDescent="0.3">
      <c r="A182" s="7" t="s">
        <v>194</v>
      </c>
      <c r="B182" s="8">
        <v>8.9099998474121094</v>
      </c>
    </row>
    <row r="183" spans="1:2" x14ac:dyDescent="0.3">
      <c r="A183" s="7" t="s">
        <v>195</v>
      </c>
      <c r="B183" s="8">
        <v>8.9099998474121094</v>
      </c>
    </row>
    <row r="184" spans="1:2" x14ac:dyDescent="0.3">
      <c r="A184" s="7" t="s">
        <v>196</v>
      </c>
      <c r="B184" s="8">
        <v>8.9099998474121094</v>
      </c>
    </row>
    <row r="185" spans="1:2" x14ac:dyDescent="0.3">
      <c r="A185" s="7" t="s">
        <v>197</v>
      </c>
      <c r="B185" s="8">
        <v>8.9149999618530273</v>
      </c>
    </row>
    <row r="186" spans="1:2" x14ac:dyDescent="0.3">
      <c r="A186" s="7" t="s">
        <v>198</v>
      </c>
      <c r="B186" s="8">
        <v>8.9200000762939453</v>
      </c>
    </row>
    <row r="187" spans="1:2" x14ac:dyDescent="0.3">
      <c r="A187" s="7" t="s">
        <v>199</v>
      </c>
      <c r="B187" s="8">
        <v>8.9250001907348633</v>
      </c>
    </row>
    <row r="188" spans="1:2" x14ac:dyDescent="0.3">
      <c r="A188" s="7" t="s">
        <v>200</v>
      </c>
      <c r="B188" s="8">
        <v>8.9250001907348633</v>
      </c>
    </row>
    <row r="189" spans="1:2" x14ac:dyDescent="0.3">
      <c r="A189" s="7" t="s">
        <v>201</v>
      </c>
      <c r="B189" s="8">
        <v>8.9250001907348633</v>
      </c>
    </row>
    <row r="190" spans="1:2" x14ac:dyDescent="0.3">
      <c r="A190" s="7" t="s">
        <v>202</v>
      </c>
      <c r="B190" s="8">
        <v>8.9250001907348633</v>
      </c>
    </row>
    <row r="191" spans="1:2" x14ac:dyDescent="0.3">
      <c r="A191" s="7" t="s">
        <v>203</v>
      </c>
      <c r="B191" s="8">
        <v>8.9300003051757813</v>
      </c>
    </row>
    <row r="192" spans="1:2" x14ac:dyDescent="0.3">
      <c r="A192" s="7" t="s">
        <v>204</v>
      </c>
      <c r="B192" s="8">
        <v>8.9350004196166992</v>
      </c>
    </row>
    <row r="193" spans="1:2" x14ac:dyDescent="0.3">
      <c r="A193" s="7" t="s">
        <v>205</v>
      </c>
      <c r="B193" s="8">
        <v>8.9399995803833008</v>
      </c>
    </row>
    <row r="194" spans="1:2" x14ac:dyDescent="0.3">
      <c r="A194" s="7" t="s">
        <v>206</v>
      </c>
      <c r="B194" s="8">
        <v>8.9449996948242188</v>
      </c>
    </row>
    <row r="195" spans="1:2" x14ac:dyDescent="0.3">
      <c r="A195" s="7" t="s">
        <v>207</v>
      </c>
      <c r="B195" s="8">
        <v>8.9449996948242188</v>
      </c>
    </row>
    <row r="196" spans="1:2" x14ac:dyDescent="0.3">
      <c r="A196" s="7" t="s">
        <v>208</v>
      </c>
      <c r="B196" s="8">
        <v>8.9449996948242188</v>
      </c>
    </row>
    <row r="197" spans="1:2" x14ac:dyDescent="0.3">
      <c r="A197" s="7" t="s">
        <v>209</v>
      </c>
      <c r="B197" s="8">
        <v>8.9449996948242188</v>
      </c>
    </row>
    <row r="198" spans="1:2" x14ac:dyDescent="0.3">
      <c r="A198" s="7" t="s">
        <v>210</v>
      </c>
      <c r="B198" s="8">
        <v>8.9449996948242188</v>
      </c>
    </row>
    <row r="199" spans="1:2" x14ac:dyDescent="0.3">
      <c r="A199" s="7" t="s">
        <v>211</v>
      </c>
      <c r="B199" s="8">
        <v>8.9549999237060547</v>
      </c>
    </row>
    <row r="200" spans="1:2" x14ac:dyDescent="0.3">
      <c r="A200" s="7" t="s">
        <v>212</v>
      </c>
      <c r="B200" s="8">
        <v>8.9600000381469727</v>
      </c>
    </row>
    <row r="201" spans="1:2" x14ac:dyDescent="0.3">
      <c r="A201" s="7" t="s">
        <v>213</v>
      </c>
      <c r="B201" s="8">
        <v>8.9650001525878906</v>
      </c>
    </row>
    <row r="202" spans="1:2" x14ac:dyDescent="0.3">
      <c r="A202" s="7" t="s">
        <v>214</v>
      </c>
      <c r="B202" s="8">
        <v>8.9700002670288086</v>
      </c>
    </row>
    <row r="203" spans="1:2" x14ac:dyDescent="0.3">
      <c r="A203" s="7" t="s">
        <v>215</v>
      </c>
      <c r="B203" s="8">
        <v>8.9700002670288086</v>
      </c>
    </row>
    <row r="204" spans="1:2" x14ac:dyDescent="0.3">
      <c r="A204" s="7" t="s">
        <v>216</v>
      </c>
      <c r="B204" s="8">
        <v>8.9700002670288086</v>
      </c>
    </row>
    <row r="205" spans="1:2" x14ac:dyDescent="0.3">
      <c r="A205" s="7" t="s">
        <v>217</v>
      </c>
      <c r="B205" s="8">
        <v>8.9750003814697266</v>
      </c>
    </row>
    <row r="206" spans="1:2" x14ac:dyDescent="0.3">
      <c r="A206" s="7" t="s">
        <v>218</v>
      </c>
      <c r="B206" s="8">
        <v>8.9750003814697266</v>
      </c>
    </row>
    <row r="207" spans="1:2" x14ac:dyDescent="0.3">
      <c r="A207" s="7" t="s">
        <v>219</v>
      </c>
      <c r="B207" s="8">
        <v>8.9799995422363281</v>
      </c>
    </row>
    <row r="208" spans="1:2" x14ac:dyDescent="0.3">
      <c r="A208" s="7" t="s">
        <v>220</v>
      </c>
      <c r="B208" s="8">
        <v>8.9849996566772461</v>
      </c>
    </row>
    <row r="209" spans="1:2" x14ac:dyDescent="0.3">
      <c r="A209" s="7" t="s">
        <v>221</v>
      </c>
      <c r="B209" s="8">
        <v>8.9899997711181641</v>
      </c>
    </row>
    <row r="210" spans="1:2" x14ac:dyDescent="0.3">
      <c r="A210" s="7" t="s">
        <v>222</v>
      </c>
      <c r="B210" s="8">
        <v>8.9899997711181641</v>
      </c>
    </row>
    <row r="211" spans="1:2" x14ac:dyDescent="0.3">
      <c r="A211" s="7" t="s">
        <v>223</v>
      </c>
      <c r="B211" s="8">
        <v>8.9899997711181641</v>
      </c>
    </row>
    <row r="212" spans="1:2" x14ac:dyDescent="0.3">
      <c r="A212" s="7" t="s">
        <v>224</v>
      </c>
      <c r="B212" s="8">
        <v>8.994999885559082</v>
      </c>
    </row>
    <row r="213" spans="1:2" x14ac:dyDescent="0.3">
      <c r="A213" s="7" t="s">
        <v>225</v>
      </c>
      <c r="B213" s="8">
        <v>8.994999885559082</v>
      </c>
    </row>
    <row r="214" spans="1:2" x14ac:dyDescent="0.3">
      <c r="A214" s="7" t="s">
        <v>226</v>
      </c>
      <c r="B214" s="8">
        <v>9.005000114440918</v>
      </c>
    </row>
    <row r="215" spans="1:2" x14ac:dyDescent="0.3">
      <c r="A215" s="7" t="s">
        <v>227</v>
      </c>
      <c r="B215" s="8">
        <v>9.005000114440918</v>
      </c>
    </row>
    <row r="216" spans="1:2" x14ac:dyDescent="0.3">
      <c r="A216" s="7" t="s">
        <v>228</v>
      </c>
      <c r="B216" s="8">
        <v>9.0150003433227539</v>
      </c>
    </row>
    <row r="217" spans="1:2" x14ac:dyDescent="0.3">
      <c r="A217" s="7" t="s">
        <v>229</v>
      </c>
      <c r="B217" s="8">
        <v>9.0150003433227539</v>
      </c>
    </row>
    <row r="218" spans="1:2" x14ac:dyDescent="0.3">
      <c r="A218" s="7" t="s">
        <v>230</v>
      </c>
      <c r="B218" s="8">
        <v>9.0150003433227539</v>
      </c>
    </row>
    <row r="219" spans="1:2" x14ac:dyDescent="0.3">
      <c r="A219" s="7" t="s">
        <v>231</v>
      </c>
      <c r="B219" s="8">
        <v>9.0150003433227539</v>
      </c>
    </row>
    <row r="220" spans="1:2" x14ac:dyDescent="0.3">
      <c r="A220" s="7" t="s">
        <v>232</v>
      </c>
      <c r="B220" s="8">
        <v>9.0249996185302734</v>
      </c>
    </row>
    <row r="221" spans="1:2" x14ac:dyDescent="0.3">
      <c r="A221" s="7" t="s">
        <v>233</v>
      </c>
      <c r="B221" s="8">
        <v>9.0249996185302734</v>
      </c>
    </row>
    <row r="222" spans="1:2" x14ac:dyDescent="0.3">
      <c r="A222" s="7" t="s">
        <v>234</v>
      </c>
      <c r="B222" s="8">
        <v>9.0299997329711914</v>
      </c>
    </row>
    <row r="223" spans="1:2" x14ac:dyDescent="0.3">
      <c r="A223" s="7" t="s">
        <v>235</v>
      </c>
      <c r="B223" s="8">
        <v>9.0349998474121094</v>
      </c>
    </row>
    <row r="224" spans="1:2" x14ac:dyDescent="0.3">
      <c r="A224" s="7" t="s">
        <v>236</v>
      </c>
      <c r="B224" s="8">
        <v>9.0349998474121094</v>
      </c>
    </row>
    <row r="225" spans="1:2" x14ac:dyDescent="0.3">
      <c r="A225" s="7" t="s">
        <v>237</v>
      </c>
      <c r="B225" s="8">
        <v>9.0349998474121094</v>
      </c>
    </row>
    <row r="226" spans="1:2" x14ac:dyDescent="0.3">
      <c r="A226" s="7" t="s">
        <v>238</v>
      </c>
      <c r="B226" s="8">
        <v>9.0399999618530273</v>
      </c>
    </row>
    <row r="227" spans="1:2" x14ac:dyDescent="0.3">
      <c r="A227" s="7" t="s">
        <v>239</v>
      </c>
      <c r="B227" s="8">
        <v>9.0450000762939453</v>
      </c>
    </row>
    <row r="228" spans="1:2" x14ac:dyDescent="0.3">
      <c r="A228" s="7" t="s">
        <v>240</v>
      </c>
      <c r="B228" s="8">
        <v>9.0500001907348633</v>
      </c>
    </row>
    <row r="229" spans="1:2" x14ac:dyDescent="0.3">
      <c r="A229" s="7" t="s">
        <v>241</v>
      </c>
      <c r="B229" s="8">
        <v>9.0500001907348633</v>
      </c>
    </row>
    <row r="230" spans="1:2" x14ac:dyDescent="0.3">
      <c r="A230" s="7" t="s">
        <v>242</v>
      </c>
      <c r="B230" s="8">
        <v>9.0550003051757813</v>
      </c>
    </row>
    <row r="231" spans="1:2" x14ac:dyDescent="0.3">
      <c r="A231" s="7" t="s">
        <v>243</v>
      </c>
      <c r="B231" s="8">
        <v>9.0550003051757813</v>
      </c>
    </row>
    <row r="232" spans="1:2" x14ac:dyDescent="0.3">
      <c r="A232" s="7" t="s">
        <v>244</v>
      </c>
      <c r="B232" s="8">
        <v>9.0550003051757813</v>
      </c>
    </row>
    <row r="233" spans="1:2" x14ac:dyDescent="0.3">
      <c r="A233" s="7" t="s">
        <v>245</v>
      </c>
      <c r="B233" s="8">
        <v>9.0550003051757813</v>
      </c>
    </row>
    <row r="234" spans="1:2" x14ac:dyDescent="0.3">
      <c r="A234" s="7" t="s">
        <v>246</v>
      </c>
      <c r="B234" s="8">
        <v>9.0649995803833008</v>
      </c>
    </row>
    <row r="235" spans="1:2" x14ac:dyDescent="0.3">
      <c r="A235" s="7" t="s">
        <v>247</v>
      </c>
      <c r="B235" s="8">
        <v>9.0649995803833008</v>
      </c>
    </row>
    <row r="236" spans="1:2" x14ac:dyDescent="0.3">
      <c r="A236" s="7" t="s">
        <v>248</v>
      </c>
      <c r="B236" s="8">
        <v>9.0749998092651367</v>
      </c>
    </row>
    <row r="237" spans="1:2" x14ac:dyDescent="0.3">
      <c r="A237" s="7" t="s">
        <v>249</v>
      </c>
      <c r="B237" s="8">
        <v>9.0749998092651367</v>
      </c>
    </row>
    <row r="238" spans="1:2" x14ac:dyDescent="0.3">
      <c r="A238" s="7" t="s">
        <v>250</v>
      </c>
      <c r="B238" s="8">
        <v>9.0749998092651367</v>
      </c>
    </row>
    <row r="239" spans="1:2" x14ac:dyDescent="0.3">
      <c r="A239" s="7" t="s">
        <v>251</v>
      </c>
      <c r="B239" s="8">
        <v>9.0749998092651367</v>
      </c>
    </row>
    <row r="240" spans="1:2" x14ac:dyDescent="0.3">
      <c r="A240" s="7" t="s">
        <v>252</v>
      </c>
      <c r="B240" s="8">
        <v>9.0799999237060547</v>
      </c>
    </row>
    <row r="241" spans="1:2" x14ac:dyDescent="0.3">
      <c r="A241" s="7" t="s">
        <v>253</v>
      </c>
      <c r="B241" s="8">
        <v>9.0850000381469727</v>
      </c>
    </row>
    <row r="242" spans="1:2" x14ac:dyDescent="0.3">
      <c r="A242" s="7" t="s">
        <v>254</v>
      </c>
      <c r="B242" s="8">
        <v>9.0900001525878906</v>
      </c>
    </row>
    <row r="243" spans="1:2" x14ac:dyDescent="0.3">
      <c r="A243" s="7" t="s">
        <v>255</v>
      </c>
      <c r="B243" s="8">
        <v>9.0950002670288086</v>
      </c>
    </row>
    <row r="244" spans="1:2" x14ac:dyDescent="0.3">
      <c r="A244" s="7" t="s">
        <v>256</v>
      </c>
      <c r="B244" s="8">
        <v>9.1000003814697266</v>
      </c>
    </row>
    <row r="245" spans="1:2" x14ac:dyDescent="0.3">
      <c r="A245" s="7" t="s">
        <v>257</v>
      </c>
      <c r="B245" s="8">
        <v>9.1000003814697266</v>
      </c>
    </row>
    <row r="246" spans="1:2" x14ac:dyDescent="0.3">
      <c r="A246" s="7" t="s">
        <v>258</v>
      </c>
      <c r="B246" s="8">
        <v>9.1000003814697266</v>
      </c>
    </row>
    <row r="247" spans="1:2" x14ac:dyDescent="0.3">
      <c r="A247" s="7" t="s">
        <v>259</v>
      </c>
      <c r="B247" s="8">
        <v>9.1099996566772461</v>
      </c>
    </row>
    <row r="248" spans="1:2" x14ac:dyDescent="0.3">
      <c r="A248" s="7" t="s">
        <v>260</v>
      </c>
      <c r="B248" s="8">
        <v>9.1099996566772461</v>
      </c>
    </row>
    <row r="249" spans="1:2" x14ac:dyDescent="0.3">
      <c r="A249" s="7" t="s">
        <v>261</v>
      </c>
      <c r="B249" s="8">
        <v>9.1149997711181641</v>
      </c>
    </row>
    <row r="250" spans="1:2" x14ac:dyDescent="0.3">
      <c r="A250" s="7" t="s">
        <v>262</v>
      </c>
      <c r="B250" s="8">
        <v>9.119999885559082</v>
      </c>
    </row>
    <row r="251" spans="1:2" x14ac:dyDescent="0.3">
      <c r="A251" s="7" t="s">
        <v>263</v>
      </c>
      <c r="B251" s="8">
        <v>9.119999885559082</v>
      </c>
    </row>
    <row r="252" spans="1:2" x14ac:dyDescent="0.3">
      <c r="A252" s="7" t="s">
        <v>264</v>
      </c>
      <c r="B252" s="8">
        <v>9.119999885559082</v>
      </c>
    </row>
    <row r="253" spans="1:2" x14ac:dyDescent="0.3">
      <c r="A253" s="7" t="s">
        <v>265</v>
      </c>
      <c r="B253" s="8">
        <v>9.119999885559082</v>
      </c>
    </row>
    <row r="254" spans="1:2" x14ac:dyDescent="0.3">
      <c r="A254" s="7" t="s">
        <v>266</v>
      </c>
      <c r="B254" s="8">
        <v>9.130000114440918</v>
      </c>
    </row>
    <row r="255" spans="1:2" x14ac:dyDescent="0.3">
      <c r="A255" s="7" t="s">
        <v>267</v>
      </c>
      <c r="B255" s="8">
        <v>9.130000114440918</v>
      </c>
    </row>
    <row r="256" spans="1:2" x14ac:dyDescent="0.3">
      <c r="A256" s="7" t="s">
        <v>268</v>
      </c>
      <c r="B256" s="8">
        <v>9.1400003433227539</v>
      </c>
    </row>
    <row r="257" spans="1:2" x14ac:dyDescent="0.3">
      <c r="A257" s="7" t="s">
        <v>269</v>
      </c>
      <c r="B257" s="8">
        <v>9.1450004577636719</v>
      </c>
    </row>
    <row r="258" spans="1:2" x14ac:dyDescent="0.3">
      <c r="A258" s="7" t="s">
        <v>270</v>
      </c>
      <c r="B258" s="8">
        <v>9.1450004577636719</v>
      </c>
    </row>
    <row r="259" spans="1:2" x14ac:dyDescent="0.3">
      <c r="A259" s="7" t="s">
        <v>271</v>
      </c>
      <c r="B259" s="8">
        <v>9.1450004577636719</v>
      </c>
    </row>
    <row r="260" spans="1:2" x14ac:dyDescent="0.3">
      <c r="A260" s="7" t="s">
        <v>272</v>
      </c>
      <c r="B260" s="8">
        <v>9.1450004577636719</v>
      </c>
    </row>
    <row r="261" spans="1:2" x14ac:dyDescent="0.3">
      <c r="A261" s="7" t="s">
        <v>273</v>
      </c>
      <c r="B261" s="8">
        <v>9.1499996185302734</v>
      </c>
    </row>
    <row r="262" spans="1:2" x14ac:dyDescent="0.3">
      <c r="A262" s="7" t="s">
        <v>274</v>
      </c>
      <c r="B262" s="8">
        <v>9.1499996185302734</v>
      </c>
    </row>
    <row r="263" spans="1:2" x14ac:dyDescent="0.3">
      <c r="A263" s="7" t="s">
        <v>275</v>
      </c>
      <c r="B263" s="8">
        <v>9.1499996185302734</v>
      </c>
    </row>
    <row r="264" spans="1:2" x14ac:dyDescent="0.3">
      <c r="A264" s="7" t="s">
        <v>276</v>
      </c>
      <c r="B264" s="8">
        <v>9.1700000762939453</v>
      </c>
    </row>
    <row r="265" spans="1:2" x14ac:dyDescent="0.3">
      <c r="A265" s="7" t="s">
        <v>277</v>
      </c>
      <c r="B265" s="8">
        <v>9.1750001907348633</v>
      </c>
    </row>
    <row r="266" spans="1:2" x14ac:dyDescent="0.3">
      <c r="A266" s="7" t="s">
        <v>278</v>
      </c>
      <c r="B266" s="8">
        <v>9.1750001907348633</v>
      </c>
    </row>
    <row r="267" spans="1:2" x14ac:dyDescent="0.3">
      <c r="A267" s="7" t="s">
        <v>279</v>
      </c>
      <c r="B267" s="8">
        <v>9.1750001907348633</v>
      </c>
    </row>
    <row r="268" spans="1:2" x14ac:dyDescent="0.3">
      <c r="A268" s="7" t="s">
        <v>280</v>
      </c>
      <c r="B268" s="8">
        <v>9.1750001907348633</v>
      </c>
    </row>
    <row r="269" spans="1:2" x14ac:dyDescent="0.3">
      <c r="A269" s="7" t="s">
        <v>281</v>
      </c>
      <c r="B269" s="8">
        <v>9.1750001907348633</v>
      </c>
    </row>
    <row r="270" spans="1:2" x14ac:dyDescent="0.3">
      <c r="A270" s="7" t="s">
        <v>282</v>
      </c>
      <c r="B270" s="8">
        <v>9.1850004196166992</v>
      </c>
    </row>
    <row r="271" spans="1:2" x14ac:dyDescent="0.3">
      <c r="A271" s="7" t="s">
        <v>283</v>
      </c>
      <c r="B271" s="8">
        <v>9.1850004196166992</v>
      </c>
    </row>
    <row r="272" spans="1:2" x14ac:dyDescent="0.3">
      <c r="A272" s="7" t="s">
        <v>284</v>
      </c>
      <c r="B272" s="8">
        <v>9.1949996948242188</v>
      </c>
    </row>
    <row r="273" spans="1:2" x14ac:dyDescent="0.3">
      <c r="A273" s="7" t="s">
        <v>285</v>
      </c>
      <c r="B273" s="8">
        <v>9.1949996948242188</v>
      </c>
    </row>
    <row r="274" spans="1:2" x14ac:dyDescent="0.3">
      <c r="A274" s="7" t="s">
        <v>286</v>
      </c>
      <c r="B274" s="8">
        <v>9.1949996948242188</v>
      </c>
    </row>
    <row r="275" spans="1:2" x14ac:dyDescent="0.3">
      <c r="A275" s="7" t="s">
        <v>287</v>
      </c>
      <c r="B275" s="8">
        <v>9.1949996948242188</v>
      </c>
    </row>
    <row r="276" spans="1:2" x14ac:dyDescent="0.3">
      <c r="A276" s="7" t="s">
        <v>288</v>
      </c>
      <c r="B276" s="8">
        <v>9.1999998092651367</v>
      </c>
    </row>
    <row r="277" spans="1:2" x14ac:dyDescent="0.3">
      <c r="A277" s="7" t="s">
        <v>289</v>
      </c>
      <c r="B277" s="8">
        <v>9.2100000381469727</v>
      </c>
    </row>
    <row r="278" spans="1:2" x14ac:dyDescent="0.3">
      <c r="A278" s="7" t="s">
        <v>290</v>
      </c>
      <c r="B278" s="8">
        <v>9.2100000381469727</v>
      </c>
    </row>
    <row r="279" spans="1:2" x14ac:dyDescent="0.3">
      <c r="A279" s="7" t="s">
        <v>291</v>
      </c>
      <c r="B279" s="8">
        <v>9.2150001525878906</v>
      </c>
    </row>
    <row r="280" spans="1:2" x14ac:dyDescent="0.3">
      <c r="A280" s="7" t="s">
        <v>292</v>
      </c>
      <c r="B280" s="8">
        <v>9.2150001525878906</v>
      </c>
    </row>
    <row r="281" spans="1:2" x14ac:dyDescent="0.3">
      <c r="A281" s="7" t="s">
        <v>293</v>
      </c>
      <c r="B281" s="8">
        <v>9.2150001525878906</v>
      </c>
    </row>
    <row r="282" spans="1:2" x14ac:dyDescent="0.3">
      <c r="A282" s="7" t="s">
        <v>294</v>
      </c>
      <c r="B282" s="8">
        <v>9.2200002670288086</v>
      </c>
    </row>
    <row r="283" spans="1:2" x14ac:dyDescent="0.3">
      <c r="A283" s="7" t="s">
        <v>295</v>
      </c>
      <c r="B283" s="8">
        <v>9.2250003814697266</v>
      </c>
    </row>
    <row r="284" spans="1:2" x14ac:dyDescent="0.3">
      <c r="A284" s="7" t="s">
        <v>296</v>
      </c>
      <c r="B284" s="8">
        <v>9.2299995422363281</v>
      </c>
    </row>
    <row r="285" spans="1:2" x14ac:dyDescent="0.3">
      <c r="A285" s="7" t="s">
        <v>297</v>
      </c>
      <c r="B285" s="8">
        <v>9.2349996566772461</v>
      </c>
    </row>
    <row r="286" spans="1:2" x14ac:dyDescent="0.3">
      <c r="A286" s="7" t="s">
        <v>298</v>
      </c>
      <c r="B286" s="8">
        <v>9.244999885559082</v>
      </c>
    </row>
    <row r="287" spans="1:2" x14ac:dyDescent="0.3">
      <c r="A287" s="7" t="s">
        <v>299</v>
      </c>
      <c r="B287" s="8">
        <v>9.244999885559082</v>
      </c>
    </row>
    <row r="288" spans="1:2" x14ac:dyDescent="0.3">
      <c r="A288" s="7" t="s">
        <v>300</v>
      </c>
      <c r="B288" s="8">
        <v>9.244999885559082</v>
      </c>
    </row>
    <row r="289" spans="1:2" x14ac:dyDescent="0.3">
      <c r="A289" s="7" t="s">
        <v>301</v>
      </c>
      <c r="B289" s="8">
        <v>9.244999885559082</v>
      </c>
    </row>
    <row r="290" spans="1:2" x14ac:dyDescent="0.3">
      <c r="A290" s="7" t="s">
        <v>302</v>
      </c>
      <c r="B290" s="8">
        <v>9.25</v>
      </c>
    </row>
    <row r="291" spans="1:2" x14ac:dyDescent="0.3">
      <c r="A291" s="7" t="s">
        <v>303</v>
      </c>
      <c r="B291" s="8">
        <v>9.255000114440918</v>
      </c>
    </row>
    <row r="292" spans="1:2" x14ac:dyDescent="0.3">
      <c r="A292" s="7" t="s">
        <v>304</v>
      </c>
      <c r="B292" s="8">
        <v>9.2600002288818359</v>
      </c>
    </row>
    <row r="293" spans="1:2" x14ac:dyDescent="0.3">
      <c r="A293" s="7" t="s">
        <v>305</v>
      </c>
      <c r="B293" s="8">
        <v>9.2650003433227539</v>
      </c>
    </row>
    <row r="294" spans="1:2" x14ac:dyDescent="0.3">
      <c r="A294" s="7" t="s">
        <v>306</v>
      </c>
      <c r="B294" s="8">
        <v>9.2650003433227539</v>
      </c>
    </row>
    <row r="295" spans="1:2" x14ac:dyDescent="0.3">
      <c r="A295" s="7" t="s">
        <v>307</v>
      </c>
      <c r="B295" s="8">
        <v>9.2650003433227539</v>
      </c>
    </row>
    <row r="296" spans="1:2" x14ac:dyDescent="0.3">
      <c r="A296" s="7" t="s">
        <v>308</v>
      </c>
      <c r="B296" s="8">
        <v>9.2700004577636719</v>
      </c>
    </row>
    <row r="297" spans="1:2" x14ac:dyDescent="0.3">
      <c r="A297" s="7" t="s">
        <v>309</v>
      </c>
      <c r="B297" s="8">
        <v>9.2749996185302734</v>
      </c>
    </row>
    <row r="298" spans="1:2" x14ac:dyDescent="0.3">
      <c r="A298" s="7" t="s">
        <v>310</v>
      </c>
      <c r="B298" s="8">
        <v>9.2799997329711914</v>
      </c>
    </row>
    <row r="299" spans="1:2" x14ac:dyDescent="0.3">
      <c r="A299" s="7" t="s">
        <v>311</v>
      </c>
      <c r="B299" s="8">
        <v>9.2899999618530273</v>
      </c>
    </row>
    <row r="300" spans="1:2" x14ac:dyDescent="0.3">
      <c r="A300" s="7" t="s">
        <v>312</v>
      </c>
      <c r="B300" s="8">
        <v>9.2950000762939453</v>
      </c>
    </row>
    <row r="301" spans="1:2" x14ac:dyDescent="0.3">
      <c r="A301" s="7" t="s">
        <v>313</v>
      </c>
      <c r="B301" s="8">
        <v>9.2950000762939453</v>
      </c>
    </row>
    <row r="302" spans="1:2" x14ac:dyDescent="0.3">
      <c r="A302" s="7" t="s">
        <v>314</v>
      </c>
      <c r="B302" s="8">
        <v>9.2950000762939453</v>
      </c>
    </row>
    <row r="303" spans="1:2" x14ac:dyDescent="0.3">
      <c r="A303" s="7" t="s">
        <v>315</v>
      </c>
      <c r="B303" s="8">
        <v>9.3000001907348633</v>
      </c>
    </row>
    <row r="304" spans="1:2" x14ac:dyDescent="0.3">
      <c r="A304" s="7" t="s">
        <v>316</v>
      </c>
      <c r="B304" s="8">
        <v>9.3050003051757813</v>
      </c>
    </row>
    <row r="305" spans="1:2" x14ac:dyDescent="0.3">
      <c r="A305" s="7" t="s">
        <v>317</v>
      </c>
      <c r="B305" s="8">
        <v>9.3050003051757813</v>
      </c>
    </row>
    <row r="306" spans="1:2" x14ac:dyDescent="0.3">
      <c r="A306" s="7" t="s">
        <v>318</v>
      </c>
      <c r="B306" s="8">
        <v>9.3199996948242188</v>
      </c>
    </row>
    <row r="307" spans="1:2" x14ac:dyDescent="0.3">
      <c r="A307" s="7" t="s">
        <v>319</v>
      </c>
      <c r="B307" s="8">
        <v>9.3299999237060547</v>
      </c>
    </row>
    <row r="308" spans="1:2" x14ac:dyDescent="0.3">
      <c r="A308" s="7" t="s">
        <v>320</v>
      </c>
      <c r="B308" s="8">
        <v>9.3299999237060547</v>
      </c>
    </row>
    <row r="309" spans="1:2" x14ac:dyDescent="0.3">
      <c r="A309" s="7" t="s">
        <v>321</v>
      </c>
      <c r="B309" s="8">
        <v>9.3299999237060547</v>
      </c>
    </row>
    <row r="310" spans="1:2" x14ac:dyDescent="0.3">
      <c r="A310" s="7" t="s">
        <v>322</v>
      </c>
      <c r="B310" s="8">
        <v>9.3350000381469727</v>
      </c>
    </row>
    <row r="311" spans="1:2" x14ac:dyDescent="0.3">
      <c r="A311" s="7" t="s">
        <v>323</v>
      </c>
      <c r="B311" s="8">
        <v>9.3500003814697266</v>
      </c>
    </row>
    <row r="312" spans="1:2" x14ac:dyDescent="0.3">
      <c r="A312" s="7" t="s">
        <v>324</v>
      </c>
      <c r="B312" s="8">
        <v>9.3500003814697266</v>
      </c>
    </row>
    <row r="313" spans="1:2" x14ac:dyDescent="0.3">
      <c r="A313" s="7" t="s">
        <v>325</v>
      </c>
      <c r="B313" s="8">
        <v>9.3549995422363281</v>
      </c>
    </row>
    <row r="314" spans="1:2" x14ac:dyDescent="0.3">
      <c r="A314" s="7" t="s">
        <v>326</v>
      </c>
      <c r="B314" s="8">
        <v>9.3599996566772461</v>
      </c>
    </row>
    <row r="315" spans="1:2" x14ac:dyDescent="0.3">
      <c r="A315" s="7" t="s">
        <v>327</v>
      </c>
      <c r="B315" s="8">
        <v>9.3599996566772461</v>
      </c>
    </row>
    <row r="316" spans="1:2" x14ac:dyDescent="0.3">
      <c r="A316" s="7" t="s">
        <v>328</v>
      </c>
      <c r="B316" s="8">
        <v>9.3599996566772461</v>
      </c>
    </row>
    <row r="317" spans="1:2" x14ac:dyDescent="0.3">
      <c r="A317" s="7" t="s">
        <v>329</v>
      </c>
      <c r="B317" s="8">
        <v>9.3649997711181641</v>
      </c>
    </row>
    <row r="318" spans="1:2" x14ac:dyDescent="0.3">
      <c r="A318" s="7" t="s">
        <v>330</v>
      </c>
      <c r="B318" s="8">
        <v>9.369999885559082</v>
      </c>
    </row>
    <row r="319" spans="1:2" x14ac:dyDescent="0.3">
      <c r="A319" s="7" t="s">
        <v>331</v>
      </c>
      <c r="B319" s="8">
        <v>9.375</v>
      </c>
    </row>
    <row r="320" spans="1:2" x14ac:dyDescent="0.3">
      <c r="A320" s="7" t="s">
        <v>332</v>
      </c>
      <c r="B320" s="8">
        <v>9.380000114440918</v>
      </c>
    </row>
    <row r="321" spans="1:2" x14ac:dyDescent="0.3">
      <c r="A321" s="7" t="s">
        <v>333</v>
      </c>
      <c r="B321" s="8">
        <v>9.3850002288818359</v>
      </c>
    </row>
    <row r="322" spans="1:2" x14ac:dyDescent="0.3">
      <c r="A322" s="7" t="s">
        <v>334</v>
      </c>
      <c r="B322" s="8">
        <v>9.3850002288818359</v>
      </c>
    </row>
    <row r="323" spans="1:2" x14ac:dyDescent="0.3">
      <c r="A323" s="7" t="s">
        <v>335</v>
      </c>
      <c r="B323" s="8">
        <v>9.3850002288818359</v>
      </c>
    </row>
    <row r="324" spans="1:2" x14ac:dyDescent="0.3">
      <c r="A324" s="7" t="s">
        <v>336</v>
      </c>
      <c r="B324" s="8">
        <v>9.3900003433227539</v>
      </c>
    </row>
    <row r="325" spans="1:2" x14ac:dyDescent="0.3">
      <c r="A325" s="7" t="s">
        <v>337</v>
      </c>
      <c r="B325" s="8">
        <v>9.3950004577636719</v>
      </c>
    </row>
    <row r="326" spans="1:2" x14ac:dyDescent="0.3">
      <c r="A326" s="7" t="s">
        <v>338</v>
      </c>
      <c r="B326" s="8">
        <v>9.3999996185302734</v>
      </c>
    </row>
    <row r="327" spans="1:2" x14ac:dyDescent="0.3">
      <c r="A327" s="7" t="s">
        <v>339</v>
      </c>
      <c r="B327" s="8">
        <v>9.4099998474121094</v>
      </c>
    </row>
    <row r="328" spans="1:2" x14ac:dyDescent="0.3">
      <c r="A328" s="7" t="s">
        <v>340</v>
      </c>
      <c r="B328" s="8">
        <v>9.4149999618530273</v>
      </c>
    </row>
    <row r="329" spans="1:2" x14ac:dyDescent="0.3">
      <c r="A329" s="7" t="s">
        <v>341</v>
      </c>
      <c r="B329" s="8">
        <v>9.4149999618530273</v>
      </c>
    </row>
    <row r="330" spans="1:2" x14ac:dyDescent="0.3">
      <c r="A330" s="7" t="s">
        <v>342</v>
      </c>
      <c r="B330" s="8">
        <v>9.4149999618530273</v>
      </c>
    </row>
    <row r="331" spans="1:2" x14ac:dyDescent="0.3">
      <c r="A331" s="7" t="s">
        <v>343</v>
      </c>
      <c r="B331" s="8">
        <v>9.4200000762939453</v>
      </c>
    </row>
    <row r="332" spans="1:2" x14ac:dyDescent="0.3">
      <c r="A332" s="7" t="s">
        <v>344</v>
      </c>
      <c r="B332" s="8">
        <v>9.4200000762939453</v>
      </c>
    </row>
    <row r="333" spans="1:2" x14ac:dyDescent="0.3">
      <c r="A333" s="7" t="s">
        <v>345</v>
      </c>
      <c r="B333" s="8">
        <v>9.4250001907348633</v>
      </c>
    </row>
    <row r="334" spans="1:2" x14ac:dyDescent="0.3">
      <c r="A334" s="7" t="s">
        <v>346</v>
      </c>
      <c r="B334" s="8">
        <v>9.4300003051757813</v>
      </c>
    </row>
    <row r="335" spans="1:2" x14ac:dyDescent="0.3">
      <c r="A335" s="7" t="s">
        <v>347</v>
      </c>
      <c r="B335" s="8">
        <v>9.4399995803833008</v>
      </c>
    </row>
    <row r="336" spans="1:2" x14ac:dyDescent="0.3">
      <c r="A336" s="7" t="s">
        <v>348</v>
      </c>
      <c r="B336" s="8">
        <v>9.4399995803833008</v>
      </c>
    </row>
    <row r="337" spans="1:2" x14ac:dyDescent="0.3">
      <c r="A337" s="7" t="s">
        <v>349</v>
      </c>
      <c r="B337" s="8">
        <v>9.4399995803833008</v>
      </c>
    </row>
    <row r="338" spans="1:2" x14ac:dyDescent="0.3">
      <c r="A338" s="7" t="s">
        <v>350</v>
      </c>
      <c r="B338" s="8">
        <v>9.4499998092651367</v>
      </c>
    </row>
    <row r="339" spans="1:2" x14ac:dyDescent="0.3">
      <c r="A339" s="7" t="s">
        <v>351</v>
      </c>
      <c r="B339" s="8">
        <v>9.4549999237060547</v>
      </c>
    </row>
    <row r="340" spans="1:2" x14ac:dyDescent="0.3">
      <c r="A340" s="7" t="s">
        <v>352</v>
      </c>
      <c r="B340" s="8">
        <v>9.4600000381469727</v>
      </c>
    </row>
    <row r="341" spans="1:2" x14ac:dyDescent="0.3">
      <c r="A341" s="7" t="s">
        <v>353</v>
      </c>
      <c r="B341" s="8">
        <v>9.4650001525878906</v>
      </c>
    </row>
    <row r="342" spans="1:2" x14ac:dyDescent="0.3">
      <c r="A342" s="7" t="s">
        <v>354</v>
      </c>
      <c r="B342" s="8">
        <v>9.4700002670288086</v>
      </c>
    </row>
    <row r="343" spans="1:2" x14ac:dyDescent="0.3">
      <c r="A343" s="7" t="s">
        <v>355</v>
      </c>
      <c r="B343" s="8">
        <v>9.4700002670288086</v>
      </c>
    </row>
    <row r="344" spans="1:2" x14ac:dyDescent="0.3">
      <c r="A344" s="7" t="s">
        <v>356</v>
      </c>
      <c r="B344" s="8">
        <v>9.4700002670288086</v>
      </c>
    </row>
    <row r="345" spans="1:2" x14ac:dyDescent="0.3">
      <c r="A345" s="7" t="s">
        <v>357</v>
      </c>
      <c r="B345" s="8">
        <v>9.4700002670288086</v>
      </c>
    </row>
    <row r="346" spans="1:2" x14ac:dyDescent="0.3">
      <c r="A346" s="7" t="s">
        <v>358</v>
      </c>
      <c r="B346" s="8">
        <v>9.4700002670288086</v>
      </c>
    </row>
    <row r="347" spans="1:2" x14ac:dyDescent="0.3">
      <c r="A347" s="7" t="s">
        <v>359</v>
      </c>
      <c r="B347" s="8">
        <v>9.4849996566772461</v>
      </c>
    </row>
    <row r="348" spans="1:2" x14ac:dyDescent="0.3">
      <c r="A348" s="7" t="s">
        <v>360</v>
      </c>
      <c r="B348" s="8">
        <v>9.4899997711181641</v>
      </c>
    </row>
    <row r="349" spans="1:2" x14ac:dyDescent="0.3">
      <c r="A349" s="7" t="s">
        <v>361</v>
      </c>
      <c r="B349" s="8">
        <v>9.494999885559082</v>
      </c>
    </row>
    <row r="350" spans="1:2" x14ac:dyDescent="0.3">
      <c r="A350" s="7" t="s">
        <v>362</v>
      </c>
      <c r="B350" s="8">
        <v>9.494999885559082</v>
      </c>
    </row>
    <row r="351" spans="1:2" x14ac:dyDescent="0.3">
      <c r="A351" s="7" t="s">
        <v>363</v>
      </c>
      <c r="B351" s="8">
        <v>9.494999885559082</v>
      </c>
    </row>
    <row r="352" spans="1:2" x14ac:dyDescent="0.3">
      <c r="A352" s="7" t="s">
        <v>364</v>
      </c>
      <c r="B352" s="8">
        <v>9.5</v>
      </c>
    </row>
    <row r="353" spans="1:2" x14ac:dyDescent="0.3">
      <c r="A353" s="7" t="s">
        <v>365</v>
      </c>
      <c r="B353" s="8">
        <v>9.5100002288818359</v>
      </c>
    </row>
    <row r="354" spans="1:2" x14ac:dyDescent="0.3">
      <c r="A354" s="7" t="s">
        <v>366</v>
      </c>
      <c r="B354" s="8">
        <v>9.5150003433227539</v>
      </c>
    </row>
    <row r="355" spans="1:2" x14ac:dyDescent="0.3">
      <c r="A355" s="7" t="s">
        <v>367</v>
      </c>
      <c r="B355" s="8">
        <v>9.5200004577636719</v>
      </c>
    </row>
    <row r="356" spans="1:2" x14ac:dyDescent="0.3">
      <c r="A356" s="7" t="s">
        <v>368</v>
      </c>
      <c r="B356" s="8">
        <v>9.5249996185302734</v>
      </c>
    </row>
    <row r="357" spans="1:2" x14ac:dyDescent="0.3">
      <c r="A357" s="7" t="s">
        <v>369</v>
      </c>
      <c r="B357" s="8">
        <v>9.5249996185302734</v>
      </c>
    </row>
    <row r="358" spans="1:2" x14ac:dyDescent="0.3">
      <c r="A358" s="7" t="s">
        <v>370</v>
      </c>
      <c r="B358" s="8">
        <v>9.5249996185302734</v>
      </c>
    </row>
    <row r="359" spans="1:2" x14ac:dyDescent="0.3">
      <c r="A359" s="7" t="s">
        <v>371</v>
      </c>
      <c r="B359" s="8">
        <v>9.5299997329711914</v>
      </c>
    </row>
    <row r="360" spans="1:2" x14ac:dyDescent="0.3">
      <c r="A360" s="7" t="s">
        <v>372</v>
      </c>
      <c r="B360" s="8">
        <v>9.5399999618530273</v>
      </c>
    </row>
    <row r="361" spans="1:2" x14ac:dyDescent="0.3">
      <c r="A361" s="7" t="s">
        <v>373</v>
      </c>
      <c r="B361" s="8">
        <v>9.5450000762939453</v>
      </c>
    </row>
    <row r="362" spans="1:2" x14ac:dyDescent="0.3">
      <c r="A362" s="7" t="s">
        <v>374</v>
      </c>
      <c r="B362" s="8">
        <v>9.5500001907348633</v>
      </c>
    </row>
    <row r="363" spans="1:2" x14ac:dyDescent="0.3">
      <c r="A363" s="7" t="s">
        <v>375</v>
      </c>
      <c r="B363" s="8">
        <v>9.5550003051757813</v>
      </c>
    </row>
    <row r="364" spans="1:2" x14ac:dyDescent="0.3">
      <c r="A364" s="7" t="s">
        <v>376</v>
      </c>
      <c r="B364" s="8">
        <v>9.5550003051757813</v>
      </c>
    </row>
    <row r="365" spans="1:2" x14ac:dyDescent="0.3">
      <c r="A365" s="7" t="s">
        <v>377</v>
      </c>
      <c r="B365" s="8">
        <v>9.5550003051757813</v>
      </c>
    </row>
    <row r="366" spans="1:2" x14ac:dyDescent="0.3">
      <c r="A366" s="7" t="s">
        <v>378</v>
      </c>
      <c r="B366" s="8">
        <v>9.5600004196166992</v>
      </c>
    </row>
    <row r="367" spans="1:2" x14ac:dyDescent="0.3">
      <c r="A367" s="7" t="s">
        <v>379</v>
      </c>
      <c r="B367" s="8">
        <v>9.5649995803833008</v>
      </c>
    </row>
    <row r="368" spans="1:2" x14ac:dyDescent="0.3">
      <c r="A368" s="7" t="s">
        <v>380</v>
      </c>
      <c r="B368" s="8">
        <v>9.5699996948242188</v>
      </c>
    </row>
    <row r="369" spans="1:2" x14ac:dyDescent="0.3">
      <c r="A369" s="7" t="s">
        <v>381</v>
      </c>
      <c r="B369" s="8">
        <v>9.5850000381469727</v>
      </c>
    </row>
    <row r="370" spans="1:2" x14ac:dyDescent="0.3">
      <c r="A370" s="7" t="s">
        <v>382</v>
      </c>
      <c r="B370" s="8">
        <v>9.5850000381469727</v>
      </c>
    </row>
    <row r="371" spans="1:2" x14ac:dyDescent="0.3">
      <c r="A371" s="7" t="s">
        <v>383</v>
      </c>
      <c r="B371" s="8">
        <v>9.5850000381469727</v>
      </c>
    </row>
    <row r="372" spans="1:2" x14ac:dyDescent="0.3">
      <c r="A372" s="7" t="s">
        <v>384</v>
      </c>
      <c r="B372" s="8">
        <v>9.5850000381469727</v>
      </c>
    </row>
    <row r="373" spans="1:2" x14ac:dyDescent="0.3">
      <c r="A373" s="7" t="s">
        <v>385</v>
      </c>
      <c r="B373" s="8">
        <v>9.5900001525878906</v>
      </c>
    </row>
    <row r="374" spans="1:2" x14ac:dyDescent="0.3">
      <c r="A374" s="7" t="s">
        <v>386</v>
      </c>
      <c r="B374" s="8">
        <v>9.6000003814697266</v>
      </c>
    </row>
    <row r="375" spans="1:2" x14ac:dyDescent="0.3">
      <c r="A375" s="7" t="s">
        <v>387</v>
      </c>
      <c r="B375" s="8">
        <v>9.6099996566772461</v>
      </c>
    </row>
    <row r="376" spans="1:2" x14ac:dyDescent="0.3">
      <c r="A376" s="7" t="s">
        <v>388</v>
      </c>
      <c r="B376" s="8">
        <v>9.619999885559082</v>
      </c>
    </row>
    <row r="377" spans="1:2" x14ac:dyDescent="0.3">
      <c r="A377" s="7" t="s">
        <v>389</v>
      </c>
      <c r="B377" s="8">
        <v>9.630000114440918</v>
      </c>
    </row>
    <row r="378" spans="1:2" x14ac:dyDescent="0.3">
      <c r="A378" s="7" t="s">
        <v>390</v>
      </c>
      <c r="B378" s="8">
        <v>9.630000114440918</v>
      </c>
    </row>
    <row r="379" spans="1:2" x14ac:dyDescent="0.3">
      <c r="A379" s="7" t="s">
        <v>391</v>
      </c>
      <c r="B379" s="8">
        <v>9.630000114440918</v>
      </c>
    </row>
    <row r="380" spans="1:2" x14ac:dyDescent="0.3">
      <c r="A380" s="7" t="s">
        <v>392</v>
      </c>
      <c r="B380" s="8">
        <v>9.6350002288818359</v>
      </c>
    </row>
    <row r="381" spans="1:2" x14ac:dyDescent="0.3">
      <c r="A381" s="7" t="s">
        <v>393</v>
      </c>
      <c r="B381" s="8">
        <v>9.6450004577636719</v>
      </c>
    </row>
    <row r="382" spans="1:2" x14ac:dyDescent="0.3">
      <c r="A382" s="7" t="s">
        <v>394</v>
      </c>
      <c r="B382" s="8">
        <v>9.6450004577636719</v>
      </c>
    </row>
    <row r="383" spans="1:2" x14ac:dyDescent="0.3">
      <c r="A383" s="7" t="s">
        <v>395</v>
      </c>
      <c r="B383" s="8">
        <v>9.6599998474121094</v>
      </c>
    </row>
    <row r="384" spans="1:2" x14ac:dyDescent="0.3">
      <c r="A384" s="7" t="s">
        <v>396</v>
      </c>
      <c r="B384" s="8">
        <v>9.6700000762939453</v>
      </c>
    </row>
    <row r="385" spans="1:2" x14ac:dyDescent="0.3">
      <c r="A385" s="7" t="s">
        <v>397</v>
      </c>
      <c r="B385" s="8">
        <v>9.6700000762939453</v>
      </c>
    </row>
    <row r="386" spans="1:2" x14ac:dyDescent="0.3">
      <c r="A386" s="7" t="s">
        <v>398</v>
      </c>
      <c r="B386" s="8">
        <v>9.6700000762939453</v>
      </c>
    </row>
    <row r="387" spans="1:2" x14ac:dyDescent="0.3">
      <c r="A387" s="7" t="s">
        <v>399</v>
      </c>
      <c r="B387" s="8">
        <v>9.6800003051757813</v>
      </c>
    </row>
    <row r="388" spans="1:2" x14ac:dyDescent="0.3">
      <c r="A388" s="7" t="s">
        <v>400</v>
      </c>
      <c r="B388" s="8">
        <v>9.6850004196166992</v>
      </c>
    </row>
    <row r="389" spans="1:2" x14ac:dyDescent="0.3">
      <c r="A389" s="7" t="s">
        <v>401</v>
      </c>
      <c r="B389" s="8">
        <v>9.6850004196166992</v>
      </c>
    </row>
    <row r="390" spans="1:2" x14ac:dyDescent="0.3">
      <c r="A390" s="7" t="s">
        <v>402</v>
      </c>
      <c r="B390" s="8">
        <v>9.6899995803833008</v>
      </c>
    </row>
    <row r="391" spans="1:2" x14ac:dyDescent="0.3">
      <c r="A391" s="7" t="s">
        <v>403</v>
      </c>
      <c r="B391" s="8">
        <v>9.6899995803833008</v>
      </c>
    </row>
    <row r="392" spans="1:2" x14ac:dyDescent="0.3">
      <c r="A392" s="7" t="s">
        <v>404</v>
      </c>
      <c r="B392" s="8">
        <v>9.6899995803833008</v>
      </c>
    </row>
    <row r="393" spans="1:2" x14ac:dyDescent="0.3">
      <c r="A393" s="7" t="s">
        <v>405</v>
      </c>
      <c r="B393" s="8">
        <v>9.6899995803833008</v>
      </c>
    </row>
    <row r="394" spans="1:2" x14ac:dyDescent="0.3">
      <c r="A394" s="7" t="s">
        <v>406</v>
      </c>
      <c r="B394" s="8">
        <v>9.6899995803833008</v>
      </c>
    </row>
    <row r="395" spans="1:2" x14ac:dyDescent="0.3">
      <c r="A395" s="7" t="s">
        <v>407</v>
      </c>
      <c r="B395" s="8">
        <v>9.7049999237060547</v>
      </c>
    </row>
    <row r="396" spans="1:2" x14ac:dyDescent="0.3">
      <c r="A396" s="7" t="s">
        <v>408</v>
      </c>
      <c r="B396" s="8">
        <v>9.7150001525878906</v>
      </c>
    </row>
    <row r="397" spans="1:2" x14ac:dyDescent="0.3">
      <c r="A397" s="7" t="s">
        <v>409</v>
      </c>
      <c r="B397" s="8">
        <v>9.7250003814697266</v>
      </c>
    </row>
    <row r="398" spans="1:2" x14ac:dyDescent="0.3">
      <c r="A398" s="7" t="s">
        <v>410</v>
      </c>
      <c r="B398" s="8">
        <v>9.7250003814697266</v>
      </c>
    </row>
    <row r="399" spans="1:2" x14ac:dyDescent="0.3">
      <c r="A399" s="7" t="s">
        <v>411</v>
      </c>
      <c r="B399" s="8">
        <v>9.7250003814697266</v>
      </c>
    </row>
    <row r="400" spans="1:2" x14ac:dyDescent="0.3">
      <c r="A400" s="7" t="s">
        <v>412</v>
      </c>
      <c r="B400" s="8">
        <v>9.7250003814697266</v>
      </c>
    </row>
    <row r="401" spans="1:2" x14ac:dyDescent="0.3">
      <c r="A401" s="7" t="s">
        <v>413</v>
      </c>
      <c r="B401" s="8">
        <v>9.7349996566772461</v>
      </c>
    </row>
    <row r="402" spans="1:2" x14ac:dyDescent="0.3">
      <c r="A402" s="7" t="s">
        <v>414</v>
      </c>
      <c r="B402" s="8">
        <v>9.7349996566772461</v>
      </c>
    </row>
    <row r="403" spans="1:2" x14ac:dyDescent="0.3">
      <c r="A403" s="7" t="s">
        <v>415</v>
      </c>
      <c r="B403" s="8">
        <v>9.7349996566772461</v>
      </c>
    </row>
    <row r="404" spans="1:2" x14ac:dyDescent="0.3">
      <c r="A404" s="7" t="s">
        <v>416</v>
      </c>
      <c r="B404" s="8">
        <v>9.755000114440918</v>
      </c>
    </row>
    <row r="405" spans="1:2" x14ac:dyDescent="0.3">
      <c r="A405" s="7" t="s">
        <v>417</v>
      </c>
      <c r="B405" s="8">
        <v>9.7899999618530273</v>
      </c>
    </row>
    <row r="406" spans="1:2" x14ac:dyDescent="0.3">
      <c r="A406" s="7" t="s">
        <v>418</v>
      </c>
      <c r="B406" s="8">
        <v>9.7899999618530273</v>
      </c>
    </row>
    <row r="407" spans="1:2" x14ac:dyDescent="0.3">
      <c r="A407" s="7" t="s">
        <v>419</v>
      </c>
      <c r="B407" s="8">
        <v>9.7899999618530273</v>
      </c>
    </row>
    <row r="408" spans="1:2" x14ac:dyDescent="0.3">
      <c r="A408" s="7" t="s">
        <v>420</v>
      </c>
      <c r="B408" s="8">
        <v>9.8000001907348633</v>
      </c>
    </row>
    <row r="409" spans="1:2" x14ac:dyDescent="0.3">
      <c r="A409" s="7" t="s">
        <v>421</v>
      </c>
      <c r="B409" s="8">
        <v>9.8149995803833008</v>
      </c>
    </row>
    <row r="410" spans="1:2" x14ac:dyDescent="0.3">
      <c r="A410" s="7" t="s">
        <v>422</v>
      </c>
      <c r="B410" s="8">
        <v>9.8350000381469727</v>
      </c>
    </row>
    <row r="411" spans="1:2" x14ac:dyDescent="0.3">
      <c r="A411" s="7" t="s">
        <v>423</v>
      </c>
      <c r="B411" s="8">
        <v>13.949999809265137</v>
      </c>
    </row>
    <row r="412" spans="1:2" x14ac:dyDescent="0.3">
      <c r="A412" s="7" t="s">
        <v>424</v>
      </c>
      <c r="B412" s="8">
        <v>13.949999809265137</v>
      </c>
    </row>
    <row r="413" spans="1:2" x14ac:dyDescent="0.3">
      <c r="A413" s="7" t="s">
        <v>425</v>
      </c>
      <c r="B413" s="8">
        <v>13.949999809265137</v>
      </c>
    </row>
    <row r="414" spans="1:2" x14ac:dyDescent="0.3">
      <c r="A414" s="7" t="s">
        <v>426</v>
      </c>
      <c r="B414" s="8">
        <v>13.949999809265137</v>
      </c>
    </row>
    <row r="415" spans="1:2" x14ac:dyDescent="0.3">
      <c r="A415" s="7" t="s">
        <v>427</v>
      </c>
      <c r="B415" s="8">
        <v>13.100000381469727</v>
      </c>
    </row>
    <row r="416" spans="1:2" x14ac:dyDescent="0.3">
      <c r="A416" s="7" t="s">
        <v>428</v>
      </c>
      <c r="B416" s="8">
        <v>13.199999809265137</v>
      </c>
    </row>
    <row r="417" spans="1:2" x14ac:dyDescent="0.3">
      <c r="A417" s="7" t="s">
        <v>429</v>
      </c>
      <c r="B417" s="8">
        <v>13.300000190734863</v>
      </c>
    </row>
    <row r="418" spans="1:2" x14ac:dyDescent="0.3">
      <c r="A418" s="7" t="s">
        <v>430</v>
      </c>
      <c r="B418" s="8">
        <v>13.300000190734863</v>
      </c>
    </row>
    <row r="419" spans="1:2" x14ac:dyDescent="0.3">
      <c r="A419" s="7" t="s">
        <v>431</v>
      </c>
      <c r="B419" s="8">
        <v>13.300000190734863</v>
      </c>
    </row>
    <row r="420" spans="1:2" x14ac:dyDescent="0.3">
      <c r="A420" s="7" t="s">
        <v>432</v>
      </c>
      <c r="B420" s="8">
        <v>13.300000190734863</v>
      </c>
    </row>
    <row r="421" spans="1:2" x14ac:dyDescent="0.3">
      <c r="A421" s="7" t="s">
        <v>433</v>
      </c>
      <c r="B421" s="8">
        <v>13.300000190734863</v>
      </c>
    </row>
    <row r="422" spans="1:2" x14ac:dyDescent="0.3">
      <c r="A422" s="7" t="s">
        <v>434</v>
      </c>
      <c r="B422" s="8">
        <v>13.300000190734863</v>
      </c>
    </row>
    <row r="423" spans="1:2" x14ac:dyDescent="0.3">
      <c r="A423" s="7" t="s">
        <v>435</v>
      </c>
      <c r="B423" s="8">
        <v>13.300000190734863</v>
      </c>
    </row>
    <row r="424" spans="1:2" x14ac:dyDescent="0.3">
      <c r="A424" s="7" t="s">
        <v>436</v>
      </c>
      <c r="B424" s="8">
        <v>13.300000190734863</v>
      </c>
    </row>
    <row r="425" spans="1:2" x14ac:dyDescent="0.3">
      <c r="A425" s="7" t="s">
        <v>437</v>
      </c>
      <c r="B425" s="8">
        <v>13.300000190734863</v>
      </c>
    </row>
    <row r="426" spans="1:2" x14ac:dyDescent="0.3">
      <c r="A426" s="7" t="s">
        <v>438</v>
      </c>
      <c r="B426" s="8">
        <v>13.300000190734863</v>
      </c>
    </row>
    <row r="427" spans="1:2" x14ac:dyDescent="0.3">
      <c r="A427" s="7" t="s">
        <v>439</v>
      </c>
      <c r="B427" s="8">
        <v>13.300000190734863</v>
      </c>
    </row>
    <row r="428" spans="1:2" x14ac:dyDescent="0.3">
      <c r="A428" s="7" t="s">
        <v>440</v>
      </c>
      <c r="B428" s="8">
        <v>13.300000190734863</v>
      </c>
    </row>
    <row r="429" spans="1:2" x14ac:dyDescent="0.3">
      <c r="A429" s="7" t="s">
        <v>441</v>
      </c>
      <c r="B429" s="8">
        <v>13.300000190734863</v>
      </c>
    </row>
    <row r="430" spans="1:2" x14ac:dyDescent="0.3">
      <c r="A430" s="7" t="s">
        <v>442</v>
      </c>
      <c r="B430" s="8">
        <v>13.800000190734863</v>
      </c>
    </row>
    <row r="431" spans="1:2" x14ac:dyDescent="0.3">
      <c r="A431" s="7" t="s">
        <v>443</v>
      </c>
      <c r="B431" s="8">
        <v>14</v>
      </c>
    </row>
    <row r="432" spans="1:2" x14ac:dyDescent="0.3">
      <c r="A432" s="7" t="s">
        <v>444</v>
      </c>
      <c r="B432" s="8">
        <v>14.100000381469727</v>
      </c>
    </row>
    <row r="433" spans="1:2" x14ac:dyDescent="0.3">
      <c r="A433" s="7" t="s">
        <v>445</v>
      </c>
      <c r="B433" s="8">
        <v>14</v>
      </c>
    </row>
    <row r="434" spans="1:2" x14ac:dyDescent="0.3">
      <c r="A434" s="7" t="s">
        <v>446</v>
      </c>
      <c r="B434" s="8">
        <v>14</v>
      </c>
    </row>
    <row r="435" spans="1:2" x14ac:dyDescent="0.3">
      <c r="A435" s="7" t="s">
        <v>447</v>
      </c>
      <c r="B435" s="8">
        <v>14</v>
      </c>
    </row>
    <row r="436" spans="1:2" x14ac:dyDescent="0.3">
      <c r="A436" s="7" t="s">
        <v>448</v>
      </c>
      <c r="B436" s="8">
        <v>14</v>
      </c>
    </row>
    <row r="437" spans="1:2" x14ac:dyDescent="0.3">
      <c r="A437" s="7" t="s">
        <v>449</v>
      </c>
      <c r="B437" s="8">
        <v>13.800000190734863</v>
      </c>
    </row>
    <row r="438" spans="1:2" x14ac:dyDescent="0.3">
      <c r="A438" s="7" t="s">
        <v>450</v>
      </c>
      <c r="B438" s="8">
        <v>13.800000190734863</v>
      </c>
    </row>
    <row r="439" spans="1:2" x14ac:dyDescent="0.3">
      <c r="A439" s="7" t="s">
        <v>451</v>
      </c>
      <c r="B439" s="8">
        <v>13.600000381469727</v>
      </c>
    </row>
    <row r="440" spans="1:2" x14ac:dyDescent="0.3">
      <c r="A440" s="7" t="s">
        <v>452</v>
      </c>
      <c r="B440" s="8">
        <v>13.699999809265137</v>
      </c>
    </row>
    <row r="441" spans="1:2" x14ac:dyDescent="0.3">
      <c r="A441" s="7" t="s">
        <v>453</v>
      </c>
      <c r="B441" s="8">
        <v>13.699999809265137</v>
      </c>
    </row>
    <row r="442" spans="1:2" x14ac:dyDescent="0.3">
      <c r="A442" s="7" t="s">
        <v>454</v>
      </c>
      <c r="B442" s="8">
        <v>13.699999809265137</v>
      </c>
    </row>
    <row r="443" spans="1:2" x14ac:dyDescent="0.3">
      <c r="A443" s="7" t="s">
        <v>455</v>
      </c>
      <c r="B443" s="8">
        <v>13.600000381469727</v>
      </c>
    </row>
    <row r="444" spans="1:2" x14ac:dyDescent="0.3">
      <c r="A444" s="7" t="s">
        <v>456</v>
      </c>
      <c r="B444" s="8">
        <v>13.600000381469727</v>
      </c>
    </row>
    <row r="445" spans="1:2" x14ac:dyDescent="0.3">
      <c r="A445" s="7" t="s">
        <v>457</v>
      </c>
      <c r="B445" s="8">
        <v>13.600000381469727</v>
      </c>
    </row>
    <row r="446" spans="1:2" x14ac:dyDescent="0.3">
      <c r="A446" s="7" t="s">
        <v>458</v>
      </c>
      <c r="B446" s="8">
        <v>13.600000381469727</v>
      </c>
    </row>
    <row r="447" spans="1:2" x14ac:dyDescent="0.3">
      <c r="A447" s="7" t="s">
        <v>459</v>
      </c>
      <c r="B447" s="8">
        <v>13.800000190734863</v>
      </c>
    </row>
    <row r="448" spans="1:2" x14ac:dyDescent="0.3">
      <c r="A448" s="7" t="s">
        <v>460</v>
      </c>
      <c r="B448" s="8">
        <v>13.800000190734863</v>
      </c>
    </row>
    <row r="449" spans="1:2" x14ac:dyDescent="0.3">
      <c r="A449" s="7" t="s">
        <v>461</v>
      </c>
      <c r="B449" s="8">
        <v>13.800000190734863</v>
      </c>
    </row>
    <row r="450" spans="1:2" x14ac:dyDescent="0.3">
      <c r="A450" s="7" t="s">
        <v>462</v>
      </c>
      <c r="B450" s="8">
        <v>13.899999618530273</v>
      </c>
    </row>
    <row r="451" spans="1:2" x14ac:dyDescent="0.3">
      <c r="A451" s="7" t="s">
        <v>463</v>
      </c>
      <c r="B451" s="8">
        <v>13.899999618530273</v>
      </c>
    </row>
    <row r="452" spans="1:2" x14ac:dyDescent="0.3">
      <c r="A452" s="7" t="s">
        <v>464</v>
      </c>
      <c r="B452" s="8">
        <v>13.979999542236328</v>
      </c>
    </row>
    <row r="453" spans="1:2" x14ac:dyDescent="0.3">
      <c r="A453" s="7" t="s">
        <v>465</v>
      </c>
      <c r="B453" s="8">
        <v>13.979999542236328</v>
      </c>
    </row>
    <row r="454" spans="1:2" x14ac:dyDescent="0.3">
      <c r="A454" s="7" t="s">
        <v>466</v>
      </c>
      <c r="B454" s="8">
        <v>13.979999542236328</v>
      </c>
    </row>
    <row r="455" spans="1:2" x14ac:dyDescent="0.3">
      <c r="A455" s="7" t="s">
        <v>467</v>
      </c>
      <c r="B455" s="8">
        <v>13.979999542236328</v>
      </c>
    </row>
    <row r="456" spans="1:2" x14ac:dyDescent="0.3">
      <c r="A456" s="7" t="s">
        <v>468</v>
      </c>
      <c r="B456" s="8">
        <v>13.979999542236328</v>
      </c>
    </row>
    <row r="457" spans="1:2" x14ac:dyDescent="0.3">
      <c r="A457" s="7" t="s">
        <v>469</v>
      </c>
      <c r="B457" s="8">
        <v>14.25</v>
      </c>
    </row>
    <row r="458" spans="1:2" x14ac:dyDescent="0.3">
      <c r="A458" s="7" t="s">
        <v>470</v>
      </c>
      <c r="B458" s="8">
        <v>14.25</v>
      </c>
    </row>
    <row r="459" spans="1:2" x14ac:dyDescent="0.3">
      <c r="A459" s="7" t="s">
        <v>471</v>
      </c>
      <c r="B459" s="8">
        <v>14.25</v>
      </c>
    </row>
    <row r="460" spans="1:2" x14ac:dyDescent="0.3">
      <c r="A460" s="7" t="s">
        <v>472</v>
      </c>
      <c r="B460" s="8">
        <v>14.25</v>
      </c>
    </row>
    <row r="461" spans="1:2" x14ac:dyDescent="0.3">
      <c r="A461" s="7" t="s">
        <v>473</v>
      </c>
      <c r="B461" s="8">
        <v>14.449999809265137</v>
      </c>
    </row>
    <row r="462" spans="1:2" x14ac:dyDescent="0.3">
      <c r="A462" s="7" t="s">
        <v>474</v>
      </c>
      <c r="B462" s="8">
        <v>14.449999809265137</v>
      </c>
    </row>
    <row r="463" spans="1:2" x14ac:dyDescent="0.3">
      <c r="A463" s="7" t="s">
        <v>475</v>
      </c>
      <c r="B463" s="8">
        <v>14.449999809265137</v>
      </c>
    </row>
    <row r="464" spans="1:2" x14ac:dyDescent="0.3">
      <c r="A464" s="7" t="s">
        <v>476</v>
      </c>
      <c r="B464" s="8">
        <v>14.449999809265137</v>
      </c>
    </row>
    <row r="465" spans="1:2" x14ac:dyDescent="0.3">
      <c r="A465" s="7" t="s">
        <v>477</v>
      </c>
      <c r="B465" s="8">
        <v>14.449999809265137</v>
      </c>
    </row>
    <row r="466" spans="1:2" x14ac:dyDescent="0.3">
      <c r="A466" s="7" t="s">
        <v>478</v>
      </c>
      <c r="B466" s="8">
        <v>14.600000381469727</v>
      </c>
    </row>
    <row r="467" spans="1:2" x14ac:dyDescent="0.3">
      <c r="A467" s="7" t="s">
        <v>479</v>
      </c>
      <c r="B467" s="8">
        <v>14.699999809265137</v>
      </c>
    </row>
    <row r="468" spans="1:2" x14ac:dyDescent="0.3">
      <c r="A468" s="7" t="s">
        <v>480</v>
      </c>
      <c r="B468" s="8">
        <v>14.699999809265137</v>
      </c>
    </row>
    <row r="469" spans="1:2" x14ac:dyDescent="0.3">
      <c r="A469" s="7" t="s">
        <v>481</v>
      </c>
      <c r="B469" s="8">
        <v>14.699999809265137</v>
      </c>
    </row>
    <row r="470" spans="1:2" x14ac:dyDescent="0.3">
      <c r="A470" s="7" t="s">
        <v>482</v>
      </c>
      <c r="B470" s="8">
        <v>14.699999809265137</v>
      </c>
    </row>
    <row r="471" spans="1:2" x14ac:dyDescent="0.3">
      <c r="A471" s="7" t="s">
        <v>483</v>
      </c>
      <c r="B471" s="8">
        <v>14.899999618530273</v>
      </c>
    </row>
    <row r="472" spans="1:2" x14ac:dyDescent="0.3">
      <c r="A472" s="7" t="s">
        <v>484</v>
      </c>
      <c r="B472" s="8">
        <v>14.949999809265137</v>
      </c>
    </row>
    <row r="473" spans="1:2" x14ac:dyDescent="0.3">
      <c r="A473" s="7" t="s">
        <v>485</v>
      </c>
      <c r="B473" s="8">
        <v>15.050000190734863</v>
      </c>
    </row>
    <row r="474" spans="1:2" x14ac:dyDescent="0.3">
      <c r="A474" s="7" t="s">
        <v>486</v>
      </c>
      <c r="B474" s="8">
        <v>15.199999809265137</v>
      </c>
    </row>
    <row r="475" spans="1:2" x14ac:dyDescent="0.3">
      <c r="A475" s="7" t="s">
        <v>487</v>
      </c>
      <c r="B475" s="8">
        <v>15.199999809265137</v>
      </c>
    </row>
    <row r="476" spans="1:2" x14ac:dyDescent="0.3">
      <c r="A476" s="7" t="s">
        <v>488</v>
      </c>
      <c r="B476" s="8">
        <v>15.199999809265137</v>
      </c>
    </row>
    <row r="477" spans="1:2" x14ac:dyDescent="0.3">
      <c r="A477" s="7" t="s">
        <v>489</v>
      </c>
      <c r="B477" s="8">
        <v>15.199999809265137</v>
      </c>
    </row>
    <row r="478" spans="1:2" x14ac:dyDescent="0.3">
      <c r="A478" s="7" t="s">
        <v>490</v>
      </c>
      <c r="B478" s="8">
        <v>15.25</v>
      </c>
    </row>
    <row r="479" spans="1:2" x14ac:dyDescent="0.3">
      <c r="A479" s="7" t="s">
        <v>491</v>
      </c>
      <c r="B479" s="8">
        <v>15.600000381469727</v>
      </c>
    </row>
    <row r="480" spans="1:2" x14ac:dyDescent="0.3">
      <c r="A480" s="7" t="s">
        <v>492</v>
      </c>
      <c r="B480" s="8">
        <v>15.600000381469727</v>
      </c>
    </row>
    <row r="481" spans="1:2" x14ac:dyDescent="0.3">
      <c r="A481" s="7" t="s">
        <v>493</v>
      </c>
      <c r="B481" s="8">
        <v>15.600000381469727</v>
      </c>
    </row>
    <row r="482" spans="1:2" x14ac:dyDescent="0.3">
      <c r="A482" s="7" t="s">
        <v>494</v>
      </c>
      <c r="B482" s="8">
        <v>15.600000381469727</v>
      </c>
    </row>
    <row r="483" spans="1:2" x14ac:dyDescent="0.3">
      <c r="A483" s="7" t="s">
        <v>495</v>
      </c>
      <c r="B483" s="8">
        <v>15.600000381469727</v>
      </c>
    </row>
    <row r="484" spans="1:2" x14ac:dyDescent="0.3">
      <c r="A484" s="7" t="s">
        <v>496</v>
      </c>
      <c r="B484" s="8">
        <v>15.600000381469727</v>
      </c>
    </row>
    <row r="485" spans="1:2" x14ac:dyDescent="0.3">
      <c r="A485" s="7" t="s">
        <v>497</v>
      </c>
      <c r="B485" s="8">
        <v>15.699999809265137</v>
      </c>
    </row>
    <row r="486" spans="1:2" x14ac:dyDescent="0.3">
      <c r="A486" s="7" t="s">
        <v>498</v>
      </c>
      <c r="B486" s="8">
        <v>15.699999809265137</v>
      </c>
    </row>
    <row r="487" spans="1:2" x14ac:dyDescent="0.3">
      <c r="A487" s="7" t="s">
        <v>499</v>
      </c>
      <c r="B487" s="8">
        <v>15.949999809265137</v>
      </c>
    </row>
    <row r="488" spans="1:2" x14ac:dyDescent="0.3">
      <c r="A488" s="7" t="s">
        <v>500</v>
      </c>
      <c r="B488" s="8">
        <v>15.800000190734863</v>
      </c>
    </row>
    <row r="489" spans="1:2" x14ac:dyDescent="0.3">
      <c r="A489" s="7" t="s">
        <v>501</v>
      </c>
      <c r="B489" s="8">
        <v>15.5</v>
      </c>
    </row>
    <row r="490" spans="1:2" x14ac:dyDescent="0.3">
      <c r="A490" s="7" t="s">
        <v>502</v>
      </c>
      <c r="B490" s="8">
        <v>15.5</v>
      </c>
    </row>
    <row r="491" spans="1:2" x14ac:dyDescent="0.3">
      <c r="A491" s="7" t="s">
        <v>503</v>
      </c>
      <c r="B491" s="8">
        <v>15.5</v>
      </c>
    </row>
    <row r="492" spans="1:2" x14ac:dyDescent="0.3">
      <c r="A492" s="7" t="s">
        <v>504</v>
      </c>
      <c r="B492" s="8">
        <v>15.5</v>
      </c>
    </row>
    <row r="493" spans="1:2" x14ac:dyDescent="0.3">
      <c r="A493" s="7" t="s">
        <v>505</v>
      </c>
      <c r="B493" s="8">
        <v>15.600000381469727</v>
      </c>
    </row>
    <row r="494" spans="1:2" x14ac:dyDescent="0.3">
      <c r="A494" s="7" t="s">
        <v>506</v>
      </c>
      <c r="B494" s="8">
        <v>15.600000381469727</v>
      </c>
    </row>
    <row r="495" spans="1:2" x14ac:dyDescent="0.3">
      <c r="A495" s="7" t="s">
        <v>507</v>
      </c>
      <c r="B495" s="8">
        <v>15.600000381469727</v>
      </c>
    </row>
    <row r="496" spans="1:2" x14ac:dyDescent="0.3">
      <c r="A496" s="7" t="s">
        <v>508</v>
      </c>
      <c r="B496" s="8">
        <v>15.399999618530273</v>
      </c>
    </row>
    <row r="497" spans="1:2" x14ac:dyDescent="0.3">
      <c r="A497" s="7" t="s">
        <v>509</v>
      </c>
      <c r="B497" s="8">
        <v>15.399999618530273</v>
      </c>
    </row>
    <row r="498" spans="1:2" x14ac:dyDescent="0.3">
      <c r="A498" s="7" t="s">
        <v>510</v>
      </c>
      <c r="B498" s="8">
        <v>15.399999618530273</v>
      </c>
    </row>
    <row r="499" spans="1:2" x14ac:dyDescent="0.3">
      <c r="A499" s="7" t="s">
        <v>511</v>
      </c>
      <c r="B499" s="8">
        <v>15</v>
      </c>
    </row>
    <row r="500" spans="1:2" x14ac:dyDescent="0.3">
      <c r="A500" s="7" t="s">
        <v>512</v>
      </c>
      <c r="B500" s="8">
        <v>14.800000190734863</v>
      </c>
    </row>
    <row r="501" spans="1:2" x14ac:dyDescent="0.3">
      <c r="A501" s="7" t="s">
        <v>513</v>
      </c>
      <c r="B501" s="8">
        <v>14.699999809265137</v>
      </c>
    </row>
    <row r="502" spans="1:2" x14ac:dyDescent="0.3">
      <c r="A502" s="7" t="s">
        <v>514</v>
      </c>
      <c r="B502" s="8">
        <v>14.699999809265137</v>
      </c>
    </row>
    <row r="503" spans="1:2" x14ac:dyDescent="0.3">
      <c r="A503" s="7" t="s">
        <v>515</v>
      </c>
      <c r="B503" s="8">
        <v>15.100000381469727</v>
      </c>
    </row>
    <row r="504" spans="1:2" x14ac:dyDescent="0.3">
      <c r="A504" s="7" t="s">
        <v>516</v>
      </c>
      <c r="B504" s="8">
        <v>15.100000381469727</v>
      </c>
    </row>
    <row r="505" spans="1:2" x14ac:dyDescent="0.3">
      <c r="A505" s="7" t="s">
        <v>517</v>
      </c>
      <c r="B505" s="8">
        <v>15.100000381469727</v>
      </c>
    </row>
    <row r="506" spans="1:2" x14ac:dyDescent="0.3">
      <c r="A506" s="7" t="s">
        <v>518</v>
      </c>
      <c r="B506" s="8">
        <v>14.699999809265137</v>
      </c>
    </row>
    <row r="507" spans="1:2" x14ac:dyDescent="0.3">
      <c r="A507" s="7" t="s">
        <v>519</v>
      </c>
      <c r="B507" s="8">
        <v>14.399999618530273</v>
      </c>
    </row>
    <row r="508" spans="1:2" x14ac:dyDescent="0.3">
      <c r="A508" s="7" t="s">
        <v>520</v>
      </c>
      <c r="B508" s="8">
        <v>14.600000381469727</v>
      </c>
    </row>
    <row r="509" spans="1:2" x14ac:dyDescent="0.3">
      <c r="A509" s="7" t="s">
        <v>521</v>
      </c>
      <c r="B509" s="8">
        <v>14.600000381469727</v>
      </c>
    </row>
    <row r="510" spans="1:2" x14ac:dyDescent="0.3">
      <c r="A510" s="7" t="s">
        <v>522</v>
      </c>
      <c r="B510" s="8">
        <v>14.600000381469727</v>
      </c>
    </row>
    <row r="511" spans="1:2" x14ac:dyDescent="0.3">
      <c r="A511" s="7" t="s">
        <v>523</v>
      </c>
      <c r="B511" s="8">
        <v>14.600000381469727</v>
      </c>
    </row>
    <row r="512" spans="1:2" x14ac:dyDescent="0.3">
      <c r="A512" s="7" t="s">
        <v>524</v>
      </c>
      <c r="B512" s="8">
        <v>14.600000381469727</v>
      </c>
    </row>
    <row r="513" spans="1:2" x14ac:dyDescent="0.3">
      <c r="A513" s="7" t="s">
        <v>525</v>
      </c>
      <c r="B513" s="8">
        <v>14.899999618530273</v>
      </c>
    </row>
    <row r="514" spans="1:2" x14ac:dyDescent="0.3">
      <c r="A514" s="7" t="s">
        <v>526</v>
      </c>
      <c r="B514" s="8">
        <v>15.100000381469727</v>
      </c>
    </row>
    <row r="515" spans="1:2" x14ac:dyDescent="0.3">
      <c r="A515" s="7" t="s">
        <v>527</v>
      </c>
      <c r="B515" s="8">
        <v>14.800000190734863</v>
      </c>
    </row>
    <row r="516" spans="1:2" x14ac:dyDescent="0.3">
      <c r="A516" s="7" t="s">
        <v>528</v>
      </c>
      <c r="B516" s="8">
        <v>14.800000190734863</v>
      </c>
    </row>
    <row r="517" spans="1:2" x14ac:dyDescent="0.3">
      <c r="A517" s="7" t="s">
        <v>529</v>
      </c>
      <c r="B517" s="8">
        <v>14.899999618530273</v>
      </c>
    </row>
    <row r="518" spans="1:2" x14ac:dyDescent="0.3">
      <c r="A518" s="7" t="s">
        <v>530</v>
      </c>
      <c r="B518" s="8">
        <v>14.899999618530273</v>
      </c>
    </row>
    <row r="519" spans="1:2" x14ac:dyDescent="0.3">
      <c r="A519" s="7" t="s">
        <v>531</v>
      </c>
      <c r="B519" s="8">
        <v>14.899999618530273</v>
      </c>
    </row>
    <row r="520" spans="1:2" x14ac:dyDescent="0.3">
      <c r="A520" s="7" t="s">
        <v>532</v>
      </c>
      <c r="B520" s="8">
        <v>15</v>
      </c>
    </row>
    <row r="521" spans="1:2" x14ac:dyDescent="0.3">
      <c r="A521" s="7" t="s">
        <v>533</v>
      </c>
      <c r="B521" s="8">
        <v>14.899999618530273</v>
      </c>
    </row>
    <row r="522" spans="1:2" x14ac:dyDescent="0.3">
      <c r="A522" s="7" t="s">
        <v>534</v>
      </c>
      <c r="B522" s="8">
        <v>14.899999618530273</v>
      </c>
    </row>
    <row r="523" spans="1:2" x14ac:dyDescent="0.3">
      <c r="A523" s="7" t="s">
        <v>535</v>
      </c>
      <c r="B523" s="8">
        <v>14.699999809265137</v>
      </c>
    </row>
    <row r="524" spans="1:2" x14ac:dyDescent="0.3">
      <c r="A524" s="7" t="s">
        <v>536</v>
      </c>
      <c r="B524" s="8">
        <v>14.600000381469727</v>
      </c>
    </row>
    <row r="525" spans="1:2" x14ac:dyDescent="0.3">
      <c r="A525" s="7" t="s">
        <v>537</v>
      </c>
      <c r="B525" s="8">
        <v>14.600000381469727</v>
      </c>
    </row>
    <row r="526" spans="1:2" x14ac:dyDescent="0.3">
      <c r="A526" s="7" t="s">
        <v>538</v>
      </c>
      <c r="B526" s="8">
        <v>14.600000381469727</v>
      </c>
    </row>
    <row r="527" spans="1:2" x14ac:dyDescent="0.3">
      <c r="A527" s="7" t="s">
        <v>539</v>
      </c>
      <c r="B527" s="8">
        <v>14.600000381469727</v>
      </c>
    </row>
    <row r="528" spans="1:2" x14ac:dyDescent="0.3">
      <c r="A528" s="7" t="s">
        <v>540</v>
      </c>
      <c r="B528" s="8">
        <v>14.699999809265137</v>
      </c>
    </row>
    <row r="529" spans="1:2" x14ac:dyDescent="0.3">
      <c r="A529" s="7" t="s">
        <v>541</v>
      </c>
      <c r="B529" s="8">
        <v>14.600000381469727</v>
      </c>
    </row>
    <row r="530" spans="1:2" x14ac:dyDescent="0.3">
      <c r="A530" s="7" t="s">
        <v>542</v>
      </c>
      <c r="B530" s="8">
        <v>14.600000381469727</v>
      </c>
    </row>
    <row r="531" spans="1:2" x14ac:dyDescent="0.3">
      <c r="A531" s="7" t="s">
        <v>543</v>
      </c>
      <c r="B531" s="8">
        <v>14.600000381469727</v>
      </c>
    </row>
    <row r="532" spans="1:2" x14ac:dyDescent="0.3">
      <c r="A532" s="7" t="s">
        <v>544</v>
      </c>
      <c r="B532" s="8">
        <v>14.600000381469727</v>
      </c>
    </row>
    <row r="533" spans="1:2" x14ac:dyDescent="0.3">
      <c r="A533" s="7" t="s">
        <v>545</v>
      </c>
      <c r="B533" s="8">
        <v>14.600000381469727</v>
      </c>
    </row>
    <row r="534" spans="1:2" x14ac:dyDescent="0.3">
      <c r="A534" s="7" t="s">
        <v>546</v>
      </c>
      <c r="B534" s="8">
        <v>14.399999618530273</v>
      </c>
    </row>
    <row r="535" spans="1:2" x14ac:dyDescent="0.3">
      <c r="A535" s="7" t="s">
        <v>547</v>
      </c>
      <c r="B535" s="8">
        <v>14.399999618530273</v>
      </c>
    </row>
    <row r="536" spans="1:2" x14ac:dyDescent="0.3">
      <c r="A536" s="7" t="s">
        <v>548</v>
      </c>
      <c r="B536" s="8">
        <v>14.399999618530273</v>
      </c>
    </row>
    <row r="537" spans="1:2" x14ac:dyDescent="0.3">
      <c r="A537" s="7" t="s">
        <v>549</v>
      </c>
      <c r="B537" s="8">
        <v>14.5</v>
      </c>
    </row>
    <row r="538" spans="1:2" x14ac:dyDescent="0.3">
      <c r="A538" s="7" t="s">
        <v>550</v>
      </c>
      <c r="B538" s="8">
        <v>14.600000381469727</v>
      </c>
    </row>
    <row r="539" spans="1:2" x14ac:dyDescent="0.3">
      <c r="A539" s="7" t="s">
        <v>551</v>
      </c>
      <c r="B539" s="8">
        <v>14.600000381469727</v>
      </c>
    </row>
    <row r="540" spans="1:2" x14ac:dyDescent="0.3">
      <c r="A540" s="7" t="s">
        <v>552</v>
      </c>
      <c r="B540" s="8">
        <v>14.600000381469727</v>
      </c>
    </row>
    <row r="541" spans="1:2" x14ac:dyDescent="0.3">
      <c r="A541" s="7" t="s">
        <v>553</v>
      </c>
      <c r="B541" s="8">
        <v>14.600000381469727</v>
      </c>
    </row>
    <row r="542" spans="1:2" x14ac:dyDescent="0.3">
      <c r="A542" s="7" t="s">
        <v>554</v>
      </c>
      <c r="B542" s="8">
        <v>14.5</v>
      </c>
    </row>
    <row r="543" spans="1:2" x14ac:dyDescent="0.3">
      <c r="A543" s="7" t="s">
        <v>555</v>
      </c>
      <c r="B543" s="8">
        <v>14.399999618530273</v>
      </c>
    </row>
    <row r="544" spans="1:2" x14ac:dyDescent="0.3">
      <c r="A544" s="7" t="s">
        <v>556</v>
      </c>
      <c r="B544" s="8">
        <v>14.399999618530273</v>
      </c>
    </row>
    <row r="545" spans="1:2" x14ac:dyDescent="0.3">
      <c r="A545" s="7" t="s">
        <v>557</v>
      </c>
      <c r="B545" s="8">
        <v>14.5</v>
      </c>
    </row>
    <row r="546" spans="1:2" x14ac:dyDescent="0.3">
      <c r="A546" s="7" t="s">
        <v>558</v>
      </c>
      <c r="B546" s="8">
        <v>14.5</v>
      </c>
    </row>
    <row r="547" spans="1:2" x14ac:dyDescent="0.3">
      <c r="A547" s="7" t="s">
        <v>559</v>
      </c>
      <c r="B547" s="8">
        <v>14.5</v>
      </c>
    </row>
    <row r="548" spans="1:2" x14ac:dyDescent="0.3">
      <c r="A548" s="7" t="s">
        <v>560</v>
      </c>
      <c r="B548" s="8">
        <v>14.5</v>
      </c>
    </row>
    <row r="549" spans="1:2" x14ac:dyDescent="0.3">
      <c r="A549" s="7" t="s">
        <v>561</v>
      </c>
      <c r="B549" s="8">
        <v>14.399999618530273</v>
      </c>
    </row>
    <row r="550" spans="1:2" x14ac:dyDescent="0.3">
      <c r="A550" s="7" t="s">
        <v>562</v>
      </c>
      <c r="B550" s="8">
        <v>14.399999618530273</v>
      </c>
    </row>
    <row r="551" spans="1:2" x14ac:dyDescent="0.3">
      <c r="A551" s="7" t="s">
        <v>563</v>
      </c>
      <c r="B551" s="8">
        <v>14.399999618530273</v>
      </c>
    </row>
    <row r="552" spans="1:2" x14ac:dyDescent="0.3">
      <c r="A552" s="7" t="s">
        <v>564</v>
      </c>
      <c r="B552" s="8">
        <v>14.399999618530273</v>
      </c>
    </row>
    <row r="553" spans="1:2" x14ac:dyDescent="0.3">
      <c r="A553" s="7" t="s">
        <v>565</v>
      </c>
      <c r="B553" s="8">
        <v>14.399999618530273</v>
      </c>
    </row>
    <row r="554" spans="1:2" x14ac:dyDescent="0.3">
      <c r="A554" s="7" t="s">
        <v>566</v>
      </c>
      <c r="B554" s="8">
        <v>14.399999618530273</v>
      </c>
    </row>
    <row r="555" spans="1:2" x14ac:dyDescent="0.3">
      <c r="A555" s="7" t="s">
        <v>567</v>
      </c>
      <c r="B555" s="8">
        <v>14.399999618530273</v>
      </c>
    </row>
    <row r="556" spans="1:2" x14ac:dyDescent="0.3">
      <c r="A556" s="7" t="s">
        <v>568</v>
      </c>
      <c r="B556" s="8">
        <v>14.399999618530273</v>
      </c>
    </row>
    <row r="557" spans="1:2" x14ac:dyDescent="0.3">
      <c r="A557" s="7" t="s">
        <v>569</v>
      </c>
      <c r="B557" s="8">
        <v>14.399999618530273</v>
      </c>
    </row>
    <row r="558" spans="1:2" x14ac:dyDescent="0.3">
      <c r="A558" s="7" t="s">
        <v>570</v>
      </c>
      <c r="B558" s="8">
        <v>14.399999618530273</v>
      </c>
    </row>
    <row r="559" spans="1:2" x14ac:dyDescent="0.3">
      <c r="A559" s="7" t="s">
        <v>571</v>
      </c>
      <c r="B559" s="8">
        <v>14.399999618530273</v>
      </c>
    </row>
    <row r="560" spans="1:2" x14ac:dyDescent="0.3">
      <c r="A560" s="7" t="s">
        <v>572</v>
      </c>
      <c r="B560" s="8">
        <v>14.399999618530273</v>
      </c>
    </row>
    <row r="561" spans="1:2" x14ac:dyDescent="0.3">
      <c r="A561" s="7" t="s">
        <v>573</v>
      </c>
      <c r="B561" s="8">
        <v>14.399999618530273</v>
      </c>
    </row>
    <row r="562" spans="1:2" x14ac:dyDescent="0.3">
      <c r="A562" s="7" t="s">
        <v>574</v>
      </c>
      <c r="B562" s="8">
        <v>14.399999618530273</v>
      </c>
    </row>
    <row r="563" spans="1:2" x14ac:dyDescent="0.3">
      <c r="A563" s="7" t="s">
        <v>575</v>
      </c>
      <c r="B563" s="8">
        <v>14.300000190734863</v>
      </c>
    </row>
    <row r="564" spans="1:2" x14ac:dyDescent="0.3">
      <c r="A564" s="7" t="s">
        <v>576</v>
      </c>
      <c r="B564" s="8">
        <v>14.300000190734863</v>
      </c>
    </row>
    <row r="565" spans="1:2" x14ac:dyDescent="0.3">
      <c r="A565" s="7" t="s">
        <v>577</v>
      </c>
      <c r="B565" s="8">
        <v>14.300000190734863</v>
      </c>
    </row>
    <row r="566" spans="1:2" x14ac:dyDescent="0.3">
      <c r="A566" s="7" t="s">
        <v>578</v>
      </c>
      <c r="B566" s="8">
        <v>14.300000190734863</v>
      </c>
    </row>
    <row r="567" spans="1:2" x14ac:dyDescent="0.3">
      <c r="A567" s="7" t="s">
        <v>579</v>
      </c>
      <c r="B567" s="8">
        <v>14.300000190734863</v>
      </c>
    </row>
    <row r="568" spans="1:2" x14ac:dyDescent="0.3">
      <c r="A568" s="7" t="s">
        <v>580</v>
      </c>
      <c r="B568" s="8">
        <v>14.300000190734863</v>
      </c>
    </row>
    <row r="569" spans="1:2" x14ac:dyDescent="0.3">
      <c r="A569" s="7" t="s">
        <v>581</v>
      </c>
      <c r="B569" s="8">
        <v>14.199999809265137</v>
      </c>
    </row>
    <row r="570" spans="1:2" x14ac:dyDescent="0.3">
      <c r="A570" s="7" t="s">
        <v>582</v>
      </c>
      <c r="B570" s="8">
        <v>14.199999809265137</v>
      </c>
    </row>
    <row r="571" spans="1:2" x14ac:dyDescent="0.3">
      <c r="A571" s="7" t="s">
        <v>583</v>
      </c>
      <c r="B571" s="8">
        <v>14.199999809265137</v>
      </c>
    </row>
    <row r="572" spans="1:2" x14ac:dyDescent="0.3">
      <c r="A572" s="7" t="s">
        <v>584</v>
      </c>
      <c r="B572" s="8">
        <v>14.199999809265137</v>
      </c>
    </row>
    <row r="573" spans="1:2" x14ac:dyDescent="0.3">
      <c r="A573" s="7" t="s">
        <v>585</v>
      </c>
      <c r="B573" s="8">
        <v>14.199999809265137</v>
      </c>
    </row>
    <row r="574" spans="1:2" x14ac:dyDescent="0.3">
      <c r="A574" s="7" t="s">
        <v>586</v>
      </c>
      <c r="B574" s="8">
        <v>14.199999809265137</v>
      </c>
    </row>
    <row r="575" spans="1:2" x14ac:dyDescent="0.3">
      <c r="A575" s="7" t="s">
        <v>587</v>
      </c>
      <c r="B575" s="8">
        <v>14.199999809265137</v>
      </c>
    </row>
    <row r="576" spans="1:2" x14ac:dyDescent="0.3">
      <c r="A576" s="7" t="s">
        <v>588</v>
      </c>
      <c r="B576" s="8">
        <v>14.199999809265137</v>
      </c>
    </row>
    <row r="577" spans="1:2" x14ac:dyDescent="0.3">
      <c r="A577" s="7" t="s">
        <v>589</v>
      </c>
      <c r="B577" s="8">
        <v>14.199999809265137</v>
      </c>
    </row>
    <row r="578" spans="1:2" x14ac:dyDescent="0.3">
      <c r="A578" s="7" t="s">
        <v>590</v>
      </c>
      <c r="B578" s="8">
        <v>14.199999809265137</v>
      </c>
    </row>
    <row r="579" spans="1:2" x14ac:dyDescent="0.3">
      <c r="A579" s="7" t="s">
        <v>591</v>
      </c>
      <c r="B579" s="8">
        <v>14.199999809265137</v>
      </c>
    </row>
    <row r="580" spans="1:2" x14ac:dyDescent="0.3">
      <c r="A580" s="7" t="s">
        <v>592</v>
      </c>
      <c r="B580" s="8">
        <v>14.100000381469727</v>
      </c>
    </row>
    <row r="581" spans="1:2" x14ac:dyDescent="0.3">
      <c r="A581" s="7" t="s">
        <v>593</v>
      </c>
      <c r="B581" s="8">
        <v>14.100000381469727</v>
      </c>
    </row>
    <row r="582" spans="1:2" x14ac:dyDescent="0.3">
      <c r="A582" s="7" t="s">
        <v>594</v>
      </c>
      <c r="B582" s="8">
        <v>14.100000381469727</v>
      </c>
    </row>
    <row r="583" spans="1:2" x14ac:dyDescent="0.3">
      <c r="A583" s="7" t="s">
        <v>595</v>
      </c>
      <c r="B583" s="8">
        <v>14</v>
      </c>
    </row>
    <row r="584" spans="1:2" x14ac:dyDescent="0.3">
      <c r="A584" s="7" t="s">
        <v>596</v>
      </c>
      <c r="B584" s="8">
        <v>14</v>
      </c>
    </row>
    <row r="585" spans="1:2" x14ac:dyDescent="0.3">
      <c r="A585" s="7" t="s">
        <v>597</v>
      </c>
      <c r="B585" s="8">
        <v>14.100000381469727</v>
      </c>
    </row>
    <row r="586" spans="1:2" x14ac:dyDescent="0.3">
      <c r="A586" s="7" t="s">
        <v>598</v>
      </c>
      <c r="B586" s="8">
        <v>14.100000381469727</v>
      </c>
    </row>
    <row r="587" spans="1:2" x14ac:dyDescent="0.3">
      <c r="A587" s="7" t="s">
        <v>599</v>
      </c>
      <c r="B587" s="8">
        <v>14</v>
      </c>
    </row>
    <row r="588" spans="1:2" x14ac:dyDescent="0.3">
      <c r="A588" s="7" t="s">
        <v>600</v>
      </c>
      <c r="B588" s="8">
        <v>14</v>
      </c>
    </row>
    <row r="589" spans="1:2" x14ac:dyDescent="0.3">
      <c r="A589" s="7" t="s">
        <v>601</v>
      </c>
      <c r="B589" s="8">
        <v>14</v>
      </c>
    </row>
    <row r="590" spans="1:2" x14ac:dyDescent="0.3">
      <c r="A590" s="7" t="s">
        <v>602</v>
      </c>
      <c r="B590" s="8">
        <v>14</v>
      </c>
    </row>
    <row r="591" spans="1:2" x14ac:dyDescent="0.3">
      <c r="A591" s="7" t="s">
        <v>603</v>
      </c>
      <c r="B591" s="8">
        <v>14</v>
      </c>
    </row>
    <row r="592" spans="1:2" x14ac:dyDescent="0.3">
      <c r="A592" s="7" t="s">
        <v>604</v>
      </c>
      <c r="B592" s="8">
        <v>14</v>
      </c>
    </row>
    <row r="593" spans="1:2" x14ac:dyDescent="0.3">
      <c r="A593" s="7" t="s">
        <v>605</v>
      </c>
      <c r="B593" s="8">
        <v>14</v>
      </c>
    </row>
    <row r="594" spans="1:2" x14ac:dyDescent="0.3">
      <c r="A594" s="7" t="s">
        <v>606</v>
      </c>
      <c r="B594" s="8">
        <v>14.100000381469727</v>
      </c>
    </row>
    <row r="595" spans="1:2" x14ac:dyDescent="0.3">
      <c r="A595" s="7" t="s">
        <v>607</v>
      </c>
      <c r="B595" s="8">
        <v>14.100000381469727</v>
      </c>
    </row>
    <row r="596" spans="1:2" x14ac:dyDescent="0.3">
      <c r="A596" s="7" t="s">
        <v>608</v>
      </c>
      <c r="B596" s="8">
        <v>14.100000381469727</v>
      </c>
    </row>
    <row r="597" spans="1:2" x14ac:dyDescent="0.3">
      <c r="A597" s="7" t="s">
        <v>609</v>
      </c>
      <c r="B597" s="8">
        <v>14.100000381469727</v>
      </c>
    </row>
    <row r="598" spans="1:2" x14ac:dyDescent="0.3">
      <c r="A598" s="7" t="s">
        <v>610</v>
      </c>
      <c r="B598" s="8">
        <v>14.100000381469727</v>
      </c>
    </row>
    <row r="599" spans="1:2" x14ac:dyDescent="0.3">
      <c r="A599" s="7" t="s">
        <v>611</v>
      </c>
      <c r="B599" s="8">
        <v>14.199999809265137</v>
      </c>
    </row>
    <row r="600" spans="1:2" x14ac:dyDescent="0.3">
      <c r="A600" s="7" t="s">
        <v>612</v>
      </c>
      <c r="B600" s="8">
        <v>14.399999618530273</v>
      </c>
    </row>
    <row r="601" spans="1:2" x14ac:dyDescent="0.3">
      <c r="A601" s="7" t="s">
        <v>613</v>
      </c>
      <c r="B601" s="8">
        <v>15</v>
      </c>
    </row>
    <row r="602" spans="1:2" x14ac:dyDescent="0.3">
      <c r="A602" s="7" t="s">
        <v>614</v>
      </c>
      <c r="B602" s="8">
        <v>15</v>
      </c>
    </row>
    <row r="603" spans="1:2" x14ac:dyDescent="0.3">
      <c r="A603" s="7" t="s">
        <v>615</v>
      </c>
      <c r="B603" s="8">
        <v>15</v>
      </c>
    </row>
    <row r="604" spans="1:2" x14ac:dyDescent="0.3">
      <c r="A604" s="7" t="s">
        <v>616</v>
      </c>
      <c r="B604" s="8">
        <v>15.300000190734863</v>
      </c>
    </row>
    <row r="605" spans="1:2" x14ac:dyDescent="0.3">
      <c r="A605" s="7" t="s">
        <v>617</v>
      </c>
      <c r="B605" s="8">
        <v>15.199999809265137</v>
      </c>
    </row>
    <row r="606" spans="1:2" x14ac:dyDescent="0.3">
      <c r="A606" s="7" t="s">
        <v>618</v>
      </c>
      <c r="B606" s="8">
        <v>15.100000381469727</v>
      </c>
    </row>
    <row r="607" spans="1:2" x14ac:dyDescent="0.3">
      <c r="A607" s="7" t="s">
        <v>619</v>
      </c>
      <c r="B607" s="8">
        <v>15.199999809265137</v>
      </c>
    </row>
    <row r="608" spans="1:2" x14ac:dyDescent="0.3">
      <c r="A608" s="7" t="s">
        <v>620</v>
      </c>
      <c r="B608" s="8">
        <v>15.300000190734863</v>
      </c>
    </row>
    <row r="609" spans="1:2" x14ac:dyDescent="0.3">
      <c r="A609" s="7" t="s">
        <v>621</v>
      </c>
      <c r="B609" s="8">
        <v>15.300000190734863</v>
      </c>
    </row>
    <row r="610" spans="1:2" x14ac:dyDescent="0.3">
      <c r="A610" s="7" t="s">
        <v>622</v>
      </c>
      <c r="B610" s="8">
        <v>15.300000190734863</v>
      </c>
    </row>
    <row r="611" spans="1:2" x14ac:dyDescent="0.3">
      <c r="A611" s="7" t="s">
        <v>623</v>
      </c>
      <c r="B611" s="8">
        <v>15.199999809265137</v>
      </c>
    </row>
    <row r="612" spans="1:2" x14ac:dyDescent="0.3">
      <c r="A612" s="7" t="s">
        <v>624</v>
      </c>
      <c r="B612" s="8">
        <v>15.199999809265137</v>
      </c>
    </row>
    <row r="613" spans="1:2" x14ac:dyDescent="0.3">
      <c r="A613" s="7" t="s">
        <v>625</v>
      </c>
      <c r="B613" s="8">
        <v>15</v>
      </c>
    </row>
    <row r="614" spans="1:2" x14ac:dyDescent="0.3">
      <c r="A614" s="7" t="s">
        <v>626</v>
      </c>
      <c r="B614" s="8">
        <v>14.899999618530273</v>
      </c>
    </row>
    <row r="615" spans="1:2" x14ac:dyDescent="0.3">
      <c r="A615" s="7" t="s">
        <v>627</v>
      </c>
      <c r="B615" s="8">
        <v>14.899999618530273</v>
      </c>
    </row>
    <row r="616" spans="1:2" x14ac:dyDescent="0.3">
      <c r="A616" s="7" t="s">
        <v>628</v>
      </c>
      <c r="B616" s="8">
        <v>14.899999618530273</v>
      </c>
    </row>
    <row r="617" spans="1:2" x14ac:dyDescent="0.3">
      <c r="A617" s="7" t="s">
        <v>629</v>
      </c>
      <c r="B617" s="8">
        <v>14.899999618530273</v>
      </c>
    </row>
    <row r="618" spans="1:2" x14ac:dyDescent="0.3">
      <c r="A618" s="7" t="s">
        <v>630</v>
      </c>
      <c r="B618" s="8">
        <v>14.899999618530273</v>
      </c>
    </row>
    <row r="619" spans="1:2" x14ac:dyDescent="0.3">
      <c r="A619" s="7" t="s">
        <v>631</v>
      </c>
      <c r="B619" s="8">
        <v>14.800000190734863</v>
      </c>
    </row>
    <row r="620" spans="1:2" x14ac:dyDescent="0.3">
      <c r="A620" s="7" t="s">
        <v>632</v>
      </c>
      <c r="B620" s="8">
        <v>14.800000190734863</v>
      </c>
    </row>
    <row r="621" spans="1:2" x14ac:dyDescent="0.3">
      <c r="A621" s="7" t="s">
        <v>633</v>
      </c>
      <c r="B621" s="8">
        <v>14.899999618530273</v>
      </c>
    </row>
    <row r="622" spans="1:2" x14ac:dyDescent="0.3">
      <c r="A622" s="7" t="s">
        <v>634</v>
      </c>
      <c r="B622" s="8">
        <v>15.100000381469727</v>
      </c>
    </row>
    <row r="623" spans="1:2" x14ac:dyDescent="0.3">
      <c r="A623" s="7" t="s">
        <v>635</v>
      </c>
      <c r="B623" s="8">
        <v>15.100000381469727</v>
      </c>
    </row>
    <row r="624" spans="1:2" x14ac:dyDescent="0.3">
      <c r="A624" s="7" t="s">
        <v>636</v>
      </c>
      <c r="B624" s="8">
        <v>15.100000381469727</v>
      </c>
    </row>
    <row r="625" spans="1:2" x14ac:dyDescent="0.3">
      <c r="A625" s="7" t="s">
        <v>637</v>
      </c>
      <c r="B625" s="8">
        <v>15.300000190734863</v>
      </c>
    </row>
    <row r="626" spans="1:2" x14ac:dyDescent="0.3">
      <c r="A626" s="7" t="s">
        <v>638</v>
      </c>
      <c r="B626" s="8">
        <v>15.399999618530273</v>
      </c>
    </row>
    <row r="627" spans="1:2" x14ac:dyDescent="0.3">
      <c r="A627" s="7" t="s">
        <v>639</v>
      </c>
      <c r="B627" s="8">
        <v>15.199999809265137</v>
      </c>
    </row>
    <row r="628" spans="1:2" x14ac:dyDescent="0.3">
      <c r="A628" s="7" t="s">
        <v>640</v>
      </c>
      <c r="B628" s="8">
        <v>15.199999809265137</v>
      </c>
    </row>
    <row r="629" spans="1:2" x14ac:dyDescent="0.3">
      <c r="A629" s="7" t="s">
        <v>641</v>
      </c>
      <c r="B629" s="8">
        <v>15.100000381469727</v>
      </c>
    </row>
    <row r="630" spans="1:2" x14ac:dyDescent="0.3">
      <c r="A630" s="7" t="s">
        <v>642</v>
      </c>
      <c r="B630" s="8">
        <v>15.100000381469727</v>
      </c>
    </row>
    <row r="631" spans="1:2" x14ac:dyDescent="0.3">
      <c r="A631" s="7" t="s">
        <v>643</v>
      </c>
      <c r="B631" s="8">
        <v>15.100000381469727</v>
      </c>
    </row>
    <row r="632" spans="1:2" x14ac:dyDescent="0.3">
      <c r="A632" s="7" t="s">
        <v>644</v>
      </c>
      <c r="B632" s="8">
        <v>15.100000381469727</v>
      </c>
    </row>
    <row r="633" spans="1:2" x14ac:dyDescent="0.3">
      <c r="A633" s="7" t="s">
        <v>645</v>
      </c>
      <c r="B633" s="8">
        <v>15.199999809265137</v>
      </c>
    </row>
    <row r="634" spans="1:2" x14ac:dyDescent="0.3">
      <c r="A634" s="7" t="s">
        <v>646</v>
      </c>
      <c r="B634" s="8">
        <v>15.149999618530273</v>
      </c>
    </row>
    <row r="635" spans="1:2" x14ac:dyDescent="0.3">
      <c r="A635" s="7" t="s">
        <v>647</v>
      </c>
      <c r="B635" s="8">
        <v>15.199999809265137</v>
      </c>
    </row>
    <row r="636" spans="1:2" x14ac:dyDescent="0.3">
      <c r="A636" s="7" t="s">
        <v>648</v>
      </c>
      <c r="B636" s="8">
        <v>15.199999809265137</v>
      </c>
    </row>
    <row r="637" spans="1:2" x14ac:dyDescent="0.3">
      <c r="A637" s="7" t="s">
        <v>649</v>
      </c>
      <c r="B637" s="8">
        <v>15.199999809265137</v>
      </c>
    </row>
    <row r="638" spans="1:2" x14ac:dyDescent="0.3">
      <c r="A638" s="7" t="s">
        <v>650</v>
      </c>
      <c r="B638" s="8">
        <v>15.199999809265137</v>
      </c>
    </row>
    <row r="639" spans="1:2" x14ac:dyDescent="0.3">
      <c r="A639" s="7" t="s">
        <v>651</v>
      </c>
      <c r="B639" s="8">
        <v>15.199999809265137</v>
      </c>
    </row>
    <row r="640" spans="1:2" x14ac:dyDescent="0.3">
      <c r="A640" s="7" t="s">
        <v>652</v>
      </c>
      <c r="B640" s="8">
        <v>15.100000381469727</v>
      </c>
    </row>
    <row r="641" spans="1:2" x14ac:dyDescent="0.3">
      <c r="A641" s="7" t="s">
        <v>653</v>
      </c>
      <c r="B641" s="8">
        <v>15.050000190734863</v>
      </c>
    </row>
    <row r="642" spans="1:2" x14ac:dyDescent="0.3">
      <c r="A642" s="7" t="s">
        <v>654</v>
      </c>
      <c r="B642" s="8">
        <v>15.050000190734863</v>
      </c>
    </row>
    <row r="643" spans="1:2" x14ac:dyDescent="0.3">
      <c r="A643" s="7" t="s">
        <v>655</v>
      </c>
      <c r="B643" s="8">
        <v>15.050000190734863</v>
      </c>
    </row>
    <row r="644" spans="1:2" x14ac:dyDescent="0.3">
      <c r="A644" s="7" t="s">
        <v>656</v>
      </c>
      <c r="B644" s="8">
        <v>15.050000190734863</v>
      </c>
    </row>
    <row r="645" spans="1:2" x14ac:dyDescent="0.3">
      <c r="A645" s="7" t="s">
        <v>657</v>
      </c>
      <c r="B645" s="8">
        <v>15.050000190734863</v>
      </c>
    </row>
    <row r="646" spans="1:2" x14ac:dyDescent="0.3">
      <c r="A646" s="7" t="s">
        <v>658</v>
      </c>
      <c r="B646" s="8">
        <v>15</v>
      </c>
    </row>
    <row r="647" spans="1:2" x14ac:dyDescent="0.3">
      <c r="A647" s="7" t="s">
        <v>659</v>
      </c>
      <c r="B647" s="8">
        <v>15</v>
      </c>
    </row>
    <row r="648" spans="1:2" x14ac:dyDescent="0.3">
      <c r="A648" s="7" t="s">
        <v>660</v>
      </c>
      <c r="B648" s="8">
        <v>15</v>
      </c>
    </row>
    <row r="649" spans="1:2" x14ac:dyDescent="0.3">
      <c r="A649" s="7" t="s">
        <v>661</v>
      </c>
      <c r="B649" s="8">
        <v>14.899999618530273</v>
      </c>
    </row>
    <row r="650" spans="1:2" x14ac:dyDescent="0.3">
      <c r="A650" s="7" t="s">
        <v>662</v>
      </c>
      <c r="B650" s="8">
        <v>14.899999618530273</v>
      </c>
    </row>
    <row r="651" spans="1:2" x14ac:dyDescent="0.3">
      <c r="A651" s="7" t="s">
        <v>663</v>
      </c>
      <c r="B651" s="8">
        <v>14.899999618530273</v>
      </c>
    </row>
    <row r="652" spans="1:2" x14ac:dyDescent="0.3">
      <c r="A652" s="7" t="s">
        <v>664</v>
      </c>
      <c r="B652" s="8">
        <v>14.899999618530273</v>
      </c>
    </row>
    <row r="653" spans="1:2" x14ac:dyDescent="0.3">
      <c r="A653" s="7" t="s">
        <v>665</v>
      </c>
      <c r="B653" s="8">
        <v>14.899999618530273</v>
      </c>
    </row>
    <row r="654" spans="1:2" x14ac:dyDescent="0.3">
      <c r="A654" s="7" t="s">
        <v>666</v>
      </c>
      <c r="B654" s="8">
        <v>14.899999618530273</v>
      </c>
    </row>
    <row r="655" spans="1:2" x14ac:dyDescent="0.3">
      <c r="A655" s="7" t="s">
        <v>667</v>
      </c>
      <c r="B655" s="8">
        <v>14.899999618530273</v>
      </c>
    </row>
    <row r="656" spans="1:2" x14ac:dyDescent="0.3">
      <c r="A656" s="7" t="s">
        <v>668</v>
      </c>
      <c r="B656" s="8">
        <v>15.100000381469727</v>
      </c>
    </row>
    <row r="657" spans="1:2" x14ac:dyDescent="0.3">
      <c r="A657" s="7" t="s">
        <v>669</v>
      </c>
      <c r="B657" s="8">
        <v>15.100000381469727</v>
      </c>
    </row>
    <row r="658" spans="1:2" x14ac:dyDescent="0.3">
      <c r="A658" s="7" t="s">
        <v>670</v>
      </c>
      <c r="B658" s="8">
        <v>15.100000381469727</v>
      </c>
    </row>
    <row r="659" spans="1:2" x14ac:dyDescent="0.3">
      <c r="A659" s="7" t="s">
        <v>671</v>
      </c>
      <c r="B659" s="8">
        <v>15.100000381469727</v>
      </c>
    </row>
    <row r="660" spans="1:2" x14ac:dyDescent="0.3">
      <c r="A660" s="7" t="s">
        <v>672</v>
      </c>
      <c r="B660" s="8">
        <v>15.100000381469727</v>
      </c>
    </row>
    <row r="661" spans="1:2" x14ac:dyDescent="0.3">
      <c r="A661" s="7" t="s">
        <v>673</v>
      </c>
      <c r="B661" s="8">
        <v>15</v>
      </c>
    </row>
    <row r="662" spans="1:2" x14ac:dyDescent="0.3">
      <c r="A662" s="7" t="s">
        <v>674</v>
      </c>
      <c r="B662" s="8">
        <v>15</v>
      </c>
    </row>
    <row r="663" spans="1:2" x14ac:dyDescent="0.3">
      <c r="A663" s="7" t="s">
        <v>675</v>
      </c>
      <c r="B663" s="8">
        <v>15.100000381469727</v>
      </c>
    </row>
    <row r="664" spans="1:2" x14ac:dyDescent="0.3">
      <c r="A664" s="7" t="s">
        <v>676</v>
      </c>
      <c r="B664" s="8">
        <v>15.100000381469727</v>
      </c>
    </row>
    <row r="665" spans="1:2" x14ac:dyDescent="0.3">
      <c r="A665" s="7" t="s">
        <v>677</v>
      </c>
      <c r="B665" s="8">
        <v>15.100000381469727</v>
      </c>
    </row>
    <row r="666" spans="1:2" x14ac:dyDescent="0.3">
      <c r="A666" s="7" t="s">
        <v>678</v>
      </c>
      <c r="B666" s="8">
        <v>15.100000381469727</v>
      </c>
    </row>
    <row r="667" spans="1:2" x14ac:dyDescent="0.3">
      <c r="A667" s="7" t="s">
        <v>679</v>
      </c>
      <c r="B667" s="8">
        <v>15.199999809265137</v>
      </c>
    </row>
    <row r="668" spans="1:2" x14ac:dyDescent="0.3">
      <c r="A668" s="7" t="s">
        <v>680</v>
      </c>
      <c r="B668" s="8">
        <v>15.300000190734863</v>
      </c>
    </row>
    <row r="669" spans="1:2" x14ac:dyDescent="0.3">
      <c r="A669" s="7" t="s">
        <v>681</v>
      </c>
      <c r="B669" s="8">
        <v>15.100000381469727</v>
      </c>
    </row>
    <row r="670" spans="1:2" x14ac:dyDescent="0.3">
      <c r="A670" s="7" t="s">
        <v>682</v>
      </c>
      <c r="B670" s="8">
        <v>15.100000381469727</v>
      </c>
    </row>
    <row r="671" spans="1:2" x14ac:dyDescent="0.3">
      <c r="A671" s="7" t="s">
        <v>683</v>
      </c>
      <c r="B671" s="8">
        <v>15.100000381469727</v>
      </c>
    </row>
    <row r="672" spans="1:2" x14ac:dyDescent="0.3">
      <c r="A672" s="7" t="s">
        <v>684</v>
      </c>
      <c r="B672" s="8">
        <v>15.100000381469727</v>
      </c>
    </row>
    <row r="673" spans="1:2" x14ac:dyDescent="0.3">
      <c r="A673" s="7" t="s">
        <v>685</v>
      </c>
      <c r="B673" s="8">
        <v>15.100000381469727</v>
      </c>
    </row>
    <row r="674" spans="1:2" x14ac:dyDescent="0.3">
      <c r="A674" s="7" t="s">
        <v>686</v>
      </c>
      <c r="B674" s="8">
        <v>15.199999809265137</v>
      </c>
    </row>
    <row r="675" spans="1:2" x14ac:dyDescent="0.3">
      <c r="A675" s="7" t="s">
        <v>687</v>
      </c>
      <c r="B675" s="8">
        <v>15.199999809265137</v>
      </c>
    </row>
    <row r="676" spans="1:2" x14ac:dyDescent="0.3">
      <c r="A676" s="7" t="s">
        <v>688</v>
      </c>
      <c r="B676" s="8">
        <v>15.199999809265137</v>
      </c>
    </row>
    <row r="677" spans="1:2" x14ac:dyDescent="0.3">
      <c r="A677" s="7" t="s">
        <v>689</v>
      </c>
      <c r="B677" s="8">
        <v>15.199999809265137</v>
      </c>
    </row>
    <row r="678" spans="1:2" x14ac:dyDescent="0.3">
      <c r="A678" s="7" t="s">
        <v>690</v>
      </c>
      <c r="B678" s="8">
        <v>15.25</v>
      </c>
    </row>
    <row r="679" spans="1:2" x14ac:dyDescent="0.3">
      <c r="A679" s="7" t="s">
        <v>691</v>
      </c>
      <c r="B679" s="8">
        <v>15.25</v>
      </c>
    </row>
    <row r="680" spans="1:2" x14ac:dyDescent="0.3">
      <c r="A680" s="7" t="s">
        <v>692</v>
      </c>
      <c r="B680" s="8">
        <v>15.25</v>
      </c>
    </row>
    <row r="681" spans="1:2" x14ac:dyDescent="0.3">
      <c r="A681" s="7" t="s">
        <v>693</v>
      </c>
      <c r="B681" s="8">
        <v>15.149999618530273</v>
      </c>
    </row>
    <row r="682" spans="1:2" x14ac:dyDescent="0.3">
      <c r="A682" s="7" t="s">
        <v>694</v>
      </c>
      <c r="B682" s="8">
        <v>15.100000381469727</v>
      </c>
    </row>
    <row r="683" spans="1:2" x14ac:dyDescent="0.3">
      <c r="A683" s="7" t="s">
        <v>695</v>
      </c>
      <c r="B683" s="8">
        <v>15.199999809265137</v>
      </c>
    </row>
    <row r="684" spans="1:2" x14ac:dyDescent="0.3">
      <c r="A684" s="7" t="s">
        <v>696</v>
      </c>
      <c r="B684" s="8">
        <v>15.199999809265137</v>
      </c>
    </row>
    <row r="685" spans="1:2" x14ac:dyDescent="0.3">
      <c r="A685" s="7" t="s">
        <v>697</v>
      </c>
      <c r="B685" s="8">
        <v>15.25</v>
      </c>
    </row>
    <row r="686" spans="1:2" x14ac:dyDescent="0.3">
      <c r="A686" s="7" t="s">
        <v>698</v>
      </c>
      <c r="B686" s="8">
        <v>15.25</v>
      </c>
    </row>
    <row r="687" spans="1:2" x14ac:dyDescent="0.3">
      <c r="A687" s="7" t="s">
        <v>699</v>
      </c>
      <c r="B687" s="8">
        <v>15.25</v>
      </c>
    </row>
    <row r="688" spans="1:2" x14ac:dyDescent="0.3">
      <c r="A688" s="7" t="s">
        <v>700</v>
      </c>
      <c r="B688" s="8">
        <v>15.300000190734863</v>
      </c>
    </row>
    <row r="689" spans="1:2" x14ac:dyDescent="0.3">
      <c r="A689" s="7" t="s">
        <v>701</v>
      </c>
      <c r="B689" s="8">
        <v>15.350000381469727</v>
      </c>
    </row>
    <row r="690" spans="1:2" x14ac:dyDescent="0.3">
      <c r="A690" s="7" t="s">
        <v>702</v>
      </c>
      <c r="B690" s="8">
        <v>15.350000381469727</v>
      </c>
    </row>
    <row r="691" spans="1:2" x14ac:dyDescent="0.3">
      <c r="A691" s="7" t="s">
        <v>703</v>
      </c>
      <c r="B691" s="8">
        <v>15.350000381469727</v>
      </c>
    </row>
    <row r="692" spans="1:2" x14ac:dyDescent="0.3">
      <c r="A692" s="7" t="s">
        <v>704</v>
      </c>
      <c r="B692" s="8">
        <v>15.350000381469727</v>
      </c>
    </row>
    <row r="693" spans="1:2" x14ac:dyDescent="0.3">
      <c r="A693" s="7" t="s">
        <v>705</v>
      </c>
      <c r="B693" s="8">
        <v>15.350000381469727</v>
      </c>
    </row>
    <row r="694" spans="1:2" x14ac:dyDescent="0.3">
      <c r="A694" s="7" t="s">
        <v>706</v>
      </c>
      <c r="B694" s="8">
        <v>15.350000381469727</v>
      </c>
    </row>
    <row r="695" spans="1:2" x14ac:dyDescent="0.3">
      <c r="A695" s="7" t="s">
        <v>707</v>
      </c>
      <c r="B695" s="8">
        <v>15.399999618530273</v>
      </c>
    </row>
    <row r="696" spans="1:2" x14ac:dyDescent="0.3">
      <c r="A696" s="7" t="s">
        <v>708</v>
      </c>
      <c r="B696" s="8">
        <v>15.449999809265137</v>
      </c>
    </row>
    <row r="697" spans="1:2" x14ac:dyDescent="0.3">
      <c r="A697" s="7" t="s">
        <v>709</v>
      </c>
      <c r="B697" s="8">
        <v>15.5</v>
      </c>
    </row>
    <row r="698" spans="1:2" x14ac:dyDescent="0.3">
      <c r="A698" s="7" t="s">
        <v>710</v>
      </c>
      <c r="B698" s="8">
        <v>15.600000381469727</v>
      </c>
    </row>
    <row r="699" spans="1:2" x14ac:dyDescent="0.3">
      <c r="A699" s="7" t="s">
        <v>711</v>
      </c>
      <c r="B699" s="8">
        <v>15.5</v>
      </c>
    </row>
    <row r="700" spans="1:2" x14ac:dyDescent="0.3">
      <c r="A700" s="7" t="s">
        <v>712</v>
      </c>
      <c r="B700" s="8">
        <v>15.5</v>
      </c>
    </row>
    <row r="701" spans="1:2" x14ac:dyDescent="0.3">
      <c r="A701" s="7" t="s">
        <v>713</v>
      </c>
      <c r="B701" s="8">
        <v>15.5</v>
      </c>
    </row>
    <row r="702" spans="1:2" x14ac:dyDescent="0.3">
      <c r="A702" s="7" t="s">
        <v>714</v>
      </c>
      <c r="B702" s="8">
        <v>15.399999618530273</v>
      </c>
    </row>
    <row r="703" spans="1:2" x14ac:dyDescent="0.3">
      <c r="A703" s="7" t="s">
        <v>715</v>
      </c>
      <c r="B703" s="8">
        <v>15.399999618530273</v>
      </c>
    </row>
    <row r="704" spans="1:2" x14ac:dyDescent="0.3">
      <c r="A704" s="7" t="s">
        <v>716</v>
      </c>
      <c r="B704" s="8">
        <v>15.399999618530273</v>
      </c>
    </row>
    <row r="705" spans="1:2" x14ac:dyDescent="0.3">
      <c r="A705" s="7" t="s">
        <v>717</v>
      </c>
      <c r="B705" s="8">
        <v>15.399999618530273</v>
      </c>
    </row>
    <row r="706" spans="1:2" x14ac:dyDescent="0.3">
      <c r="A706" s="7" t="s">
        <v>718</v>
      </c>
      <c r="B706" s="8">
        <v>15.399999618530273</v>
      </c>
    </row>
    <row r="707" spans="1:2" x14ac:dyDescent="0.3">
      <c r="A707" s="7" t="s">
        <v>719</v>
      </c>
      <c r="B707" s="8">
        <v>15.399999618530273</v>
      </c>
    </row>
    <row r="708" spans="1:2" x14ac:dyDescent="0.3">
      <c r="A708" s="7" t="s">
        <v>720</v>
      </c>
      <c r="B708" s="8">
        <v>15.399999618530273</v>
      </c>
    </row>
    <row r="709" spans="1:2" x14ac:dyDescent="0.3">
      <c r="A709" s="7" t="s">
        <v>721</v>
      </c>
      <c r="B709" s="8">
        <v>15.399999618530273</v>
      </c>
    </row>
    <row r="710" spans="1:2" x14ac:dyDescent="0.3">
      <c r="A710" s="7" t="s">
        <v>722</v>
      </c>
      <c r="B710" s="8">
        <v>15.399999618530273</v>
      </c>
    </row>
    <row r="711" spans="1:2" x14ac:dyDescent="0.3">
      <c r="A711" s="7" t="s">
        <v>723</v>
      </c>
      <c r="B711" s="8">
        <v>15.300000190734863</v>
      </c>
    </row>
    <row r="712" spans="1:2" x14ac:dyDescent="0.3">
      <c r="A712" s="7" t="s">
        <v>724</v>
      </c>
      <c r="B712" s="8">
        <v>15.300000190734863</v>
      </c>
    </row>
    <row r="713" spans="1:2" x14ac:dyDescent="0.3">
      <c r="A713" s="7" t="s">
        <v>725</v>
      </c>
      <c r="B713" s="8">
        <v>15.300000190734863</v>
      </c>
    </row>
    <row r="714" spans="1:2" x14ac:dyDescent="0.3">
      <c r="A714" s="7" t="s">
        <v>726</v>
      </c>
      <c r="B714" s="8">
        <v>15.300000190734863</v>
      </c>
    </row>
    <row r="715" spans="1:2" x14ac:dyDescent="0.3">
      <c r="A715" s="7" t="s">
        <v>727</v>
      </c>
      <c r="B715" s="8">
        <v>15.300000190734863</v>
      </c>
    </row>
    <row r="716" spans="1:2" x14ac:dyDescent="0.3">
      <c r="A716" s="7" t="s">
        <v>728</v>
      </c>
      <c r="B716" s="8">
        <v>15.399999618530273</v>
      </c>
    </row>
    <row r="717" spans="1:2" x14ac:dyDescent="0.3">
      <c r="A717" s="7" t="s">
        <v>729</v>
      </c>
      <c r="B717" s="8">
        <v>15.399999618530273</v>
      </c>
    </row>
    <row r="718" spans="1:2" x14ac:dyDescent="0.3">
      <c r="A718" s="7" t="s">
        <v>730</v>
      </c>
      <c r="B718" s="8">
        <v>15.399999618530273</v>
      </c>
    </row>
    <row r="719" spans="1:2" x14ac:dyDescent="0.3">
      <c r="A719" s="7" t="s">
        <v>731</v>
      </c>
      <c r="B719" s="8">
        <v>15.399999618530273</v>
      </c>
    </row>
    <row r="720" spans="1:2" x14ac:dyDescent="0.3">
      <c r="A720" s="7" t="s">
        <v>732</v>
      </c>
      <c r="B720" s="8">
        <v>15.399999618530273</v>
      </c>
    </row>
    <row r="721" spans="1:2" x14ac:dyDescent="0.3">
      <c r="A721" s="7" t="s">
        <v>733</v>
      </c>
      <c r="B721" s="8">
        <v>15.399999618530273</v>
      </c>
    </row>
    <row r="722" spans="1:2" x14ac:dyDescent="0.3">
      <c r="A722" s="7" t="s">
        <v>734</v>
      </c>
      <c r="B722" s="8">
        <v>15.399999618530273</v>
      </c>
    </row>
    <row r="723" spans="1:2" x14ac:dyDescent="0.3">
      <c r="A723" s="7" t="s">
        <v>735</v>
      </c>
      <c r="B723" s="8">
        <v>15.300000190734863</v>
      </c>
    </row>
    <row r="724" spans="1:2" x14ac:dyDescent="0.3">
      <c r="A724" s="7" t="s">
        <v>736</v>
      </c>
      <c r="B724" s="8">
        <v>15.399999618530273</v>
      </c>
    </row>
    <row r="725" spans="1:2" x14ac:dyDescent="0.3">
      <c r="A725" s="7" t="s">
        <v>737</v>
      </c>
      <c r="B725" s="8">
        <v>15.399999618530273</v>
      </c>
    </row>
    <row r="726" spans="1:2" x14ac:dyDescent="0.3">
      <c r="A726" s="7" t="s">
        <v>738</v>
      </c>
      <c r="B726" s="8">
        <v>15.399999618530273</v>
      </c>
    </row>
    <row r="727" spans="1:2" x14ac:dyDescent="0.3">
      <c r="A727" s="7" t="s">
        <v>739</v>
      </c>
      <c r="B727" s="8">
        <v>15.399999618530273</v>
      </c>
    </row>
    <row r="728" spans="1:2" x14ac:dyDescent="0.3">
      <c r="A728" s="7" t="s">
        <v>740</v>
      </c>
      <c r="B728" s="8">
        <v>15.399999618530273</v>
      </c>
    </row>
    <row r="729" spans="1:2" x14ac:dyDescent="0.3">
      <c r="A729" s="7" t="s">
        <v>741</v>
      </c>
      <c r="B729" s="8">
        <v>15.399999618530273</v>
      </c>
    </row>
    <row r="730" spans="1:2" x14ac:dyDescent="0.3">
      <c r="A730" s="7" t="s">
        <v>742</v>
      </c>
      <c r="B730" s="8">
        <v>15.399999618530273</v>
      </c>
    </row>
    <row r="731" spans="1:2" x14ac:dyDescent="0.3">
      <c r="A731" s="7" t="s">
        <v>743</v>
      </c>
      <c r="B731" s="8">
        <v>15.300000190734863</v>
      </c>
    </row>
    <row r="732" spans="1:2" x14ac:dyDescent="0.3">
      <c r="A732" s="7" t="s">
        <v>744</v>
      </c>
      <c r="B732" s="8">
        <v>15.199999809265137</v>
      </c>
    </row>
    <row r="733" spans="1:2" x14ac:dyDescent="0.3">
      <c r="A733" s="7" t="s">
        <v>745</v>
      </c>
      <c r="B733" s="8">
        <v>15.300000190734863</v>
      </c>
    </row>
    <row r="734" spans="1:2" x14ac:dyDescent="0.3">
      <c r="A734" s="7" t="s">
        <v>746</v>
      </c>
      <c r="B734" s="8">
        <v>15.25</v>
      </c>
    </row>
    <row r="735" spans="1:2" x14ac:dyDescent="0.3">
      <c r="A735" s="7" t="s">
        <v>747</v>
      </c>
      <c r="B735" s="8">
        <v>15.25</v>
      </c>
    </row>
    <row r="736" spans="1:2" x14ac:dyDescent="0.3">
      <c r="A736" s="7" t="s">
        <v>748</v>
      </c>
      <c r="B736" s="8">
        <v>15.25</v>
      </c>
    </row>
    <row r="737" spans="1:2" x14ac:dyDescent="0.3">
      <c r="A737" s="7" t="s">
        <v>749</v>
      </c>
      <c r="B737" s="8">
        <v>15.25</v>
      </c>
    </row>
    <row r="738" spans="1:2" x14ac:dyDescent="0.3">
      <c r="A738" s="7" t="s">
        <v>750</v>
      </c>
      <c r="B738" s="8">
        <v>15.25</v>
      </c>
    </row>
    <row r="739" spans="1:2" x14ac:dyDescent="0.3">
      <c r="A739" s="7" t="s">
        <v>751</v>
      </c>
      <c r="B739" s="8">
        <v>15.25</v>
      </c>
    </row>
    <row r="740" spans="1:2" x14ac:dyDescent="0.3">
      <c r="A740" s="7" t="s">
        <v>752</v>
      </c>
      <c r="B740" s="8">
        <v>15.300000190734863</v>
      </c>
    </row>
    <row r="741" spans="1:2" x14ac:dyDescent="0.3">
      <c r="A741" s="7" t="s">
        <v>753</v>
      </c>
      <c r="B741" s="8">
        <v>15.449999809265137</v>
      </c>
    </row>
    <row r="742" spans="1:2" x14ac:dyDescent="0.3">
      <c r="A742" s="7" t="s">
        <v>754</v>
      </c>
      <c r="B742" s="8">
        <v>15.449999809265137</v>
      </c>
    </row>
    <row r="743" spans="1:2" x14ac:dyDescent="0.3">
      <c r="A743" s="7" t="s">
        <v>755</v>
      </c>
      <c r="B743" s="8">
        <v>15.449999809265137</v>
      </c>
    </row>
    <row r="744" spans="1:2" x14ac:dyDescent="0.3">
      <c r="A744" s="7" t="s">
        <v>756</v>
      </c>
      <c r="B744" s="8">
        <v>15.800000190734863</v>
      </c>
    </row>
    <row r="745" spans="1:2" x14ac:dyDescent="0.3">
      <c r="A745" s="7" t="s">
        <v>757</v>
      </c>
      <c r="B745" s="8">
        <v>15.699999809265137</v>
      </c>
    </row>
    <row r="746" spans="1:2" x14ac:dyDescent="0.3">
      <c r="A746" s="7" t="s">
        <v>758</v>
      </c>
      <c r="B746" s="8">
        <v>15.699999809265137</v>
      </c>
    </row>
    <row r="747" spans="1:2" x14ac:dyDescent="0.3">
      <c r="A747" s="7" t="s">
        <v>759</v>
      </c>
      <c r="B747" s="8">
        <v>15.699999809265137</v>
      </c>
    </row>
    <row r="748" spans="1:2" x14ac:dyDescent="0.3">
      <c r="A748" s="7" t="s">
        <v>760</v>
      </c>
      <c r="B748" s="8">
        <v>15.699999809265137</v>
      </c>
    </row>
    <row r="749" spans="1:2" x14ac:dyDescent="0.3">
      <c r="A749" s="7" t="s">
        <v>761</v>
      </c>
      <c r="B749" s="8">
        <v>15.699999809265137</v>
      </c>
    </row>
    <row r="750" spans="1:2" x14ac:dyDescent="0.3">
      <c r="A750" s="7" t="s">
        <v>762</v>
      </c>
      <c r="B750" s="8">
        <v>15.699999809265137</v>
      </c>
    </row>
    <row r="751" spans="1:2" x14ac:dyDescent="0.3">
      <c r="A751" s="7" t="s">
        <v>763</v>
      </c>
      <c r="B751" s="8">
        <v>15.600000381469727</v>
      </c>
    </row>
    <row r="752" spans="1:2" x14ac:dyDescent="0.3">
      <c r="A752" s="7" t="s">
        <v>764</v>
      </c>
      <c r="B752" s="8">
        <v>15.600000381469727</v>
      </c>
    </row>
    <row r="753" spans="1:2" x14ac:dyDescent="0.3">
      <c r="A753" s="7" t="s">
        <v>765</v>
      </c>
      <c r="B753" s="8">
        <v>15.699999809265137</v>
      </c>
    </row>
    <row r="754" spans="1:2" x14ac:dyDescent="0.3">
      <c r="A754" s="7" t="s">
        <v>766</v>
      </c>
      <c r="B754" s="8">
        <v>15.699999809265137</v>
      </c>
    </row>
    <row r="755" spans="1:2" x14ac:dyDescent="0.3">
      <c r="A755" s="7" t="s">
        <v>767</v>
      </c>
      <c r="B755" s="8">
        <v>15.699999809265137</v>
      </c>
    </row>
    <row r="756" spans="1:2" x14ac:dyDescent="0.3">
      <c r="A756" s="7" t="s">
        <v>768</v>
      </c>
      <c r="B756" s="8">
        <v>15.699999809265137</v>
      </c>
    </row>
    <row r="757" spans="1:2" x14ac:dyDescent="0.3">
      <c r="A757" s="7" t="s">
        <v>769</v>
      </c>
      <c r="B757" s="8">
        <v>15.699999809265137</v>
      </c>
    </row>
    <row r="758" spans="1:2" x14ac:dyDescent="0.3">
      <c r="A758" s="7" t="s">
        <v>770</v>
      </c>
      <c r="B758" s="8">
        <v>15.699999809265137</v>
      </c>
    </row>
    <row r="759" spans="1:2" x14ac:dyDescent="0.3">
      <c r="A759" s="7" t="s">
        <v>771</v>
      </c>
      <c r="B759" s="8">
        <v>15.899999618530273</v>
      </c>
    </row>
    <row r="760" spans="1:2" x14ac:dyDescent="0.3">
      <c r="A760" s="7" t="s">
        <v>772</v>
      </c>
      <c r="B760" s="8">
        <v>16.100000381469727</v>
      </c>
    </row>
    <row r="761" spans="1:2" x14ac:dyDescent="0.3">
      <c r="A761" s="7" t="s">
        <v>773</v>
      </c>
      <c r="B761" s="8">
        <v>16.049999237060547</v>
      </c>
    </row>
    <row r="762" spans="1:2" x14ac:dyDescent="0.3">
      <c r="A762" s="7" t="s">
        <v>774</v>
      </c>
      <c r="B762" s="8">
        <v>16.149999618530273</v>
      </c>
    </row>
    <row r="763" spans="1:2" x14ac:dyDescent="0.3">
      <c r="A763" s="7" t="s">
        <v>775</v>
      </c>
      <c r="B763" s="8">
        <v>16.149999618530273</v>
      </c>
    </row>
    <row r="764" spans="1:2" x14ac:dyDescent="0.3">
      <c r="A764" s="7" t="s">
        <v>776</v>
      </c>
      <c r="B764" s="8">
        <v>16.149999618530273</v>
      </c>
    </row>
    <row r="765" spans="1:2" x14ac:dyDescent="0.3">
      <c r="A765" s="7" t="s">
        <v>777</v>
      </c>
      <c r="B765" s="8">
        <v>16.100000381469727</v>
      </c>
    </row>
    <row r="766" spans="1:2" x14ac:dyDescent="0.3">
      <c r="A766" s="7" t="s">
        <v>778</v>
      </c>
      <c r="B766" s="8">
        <v>16.100000381469727</v>
      </c>
    </row>
    <row r="767" spans="1:2" x14ac:dyDescent="0.3">
      <c r="A767" s="7" t="s">
        <v>779</v>
      </c>
      <c r="B767" s="8">
        <v>16.200000762939453</v>
      </c>
    </row>
    <row r="768" spans="1:2" x14ac:dyDescent="0.3">
      <c r="A768" s="7" t="s">
        <v>780</v>
      </c>
      <c r="B768" s="8">
        <v>16.200000762939453</v>
      </c>
    </row>
    <row r="769" spans="1:2" x14ac:dyDescent="0.3">
      <c r="A769" s="7" t="s">
        <v>781</v>
      </c>
      <c r="B769" s="8">
        <v>16.200000762939453</v>
      </c>
    </row>
    <row r="770" spans="1:2" x14ac:dyDescent="0.3">
      <c r="A770" s="7" t="s">
        <v>782</v>
      </c>
      <c r="B770" s="8">
        <v>16.200000762939453</v>
      </c>
    </row>
    <row r="771" spans="1:2" x14ac:dyDescent="0.3">
      <c r="A771" s="7" t="s">
        <v>783</v>
      </c>
      <c r="B771" s="8">
        <v>16.200000762939453</v>
      </c>
    </row>
    <row r="772" spans="1:2" x14ac:dyDescent="0.3">
      <c r="A772" s="7" t="s">
        <v>784</v>
      </c>
      <c r="B772" s="8">
        <v>16.299999237060547</v>
      </c>
    </row>
    <row r="773" spans="1:2" x14ac:dyDescent="0.3">
      <c r="A773" s="7" t="s">
        <v>785</v>
      </c>
      <c r="B773" s="8">
        <v>16.149999618530273</v>
      </c>
    </row>
    <row r="774" spans="1:2" x14ac:dyDescent="0.3">
      <c r="A774" s="7" t="s">
        <v>786</v>
      </c>
      <c r="B774" s="8">
        <v>16.100000381469727</v>
      </c>
    </row>
    <row r="775" spans="1:2" x14ac:dyDescent="0.3">
      <c r="A775" s="7" t="s">
        <v>787</v>
      </c>
      <c r="B775" s="8">
        <v>16.149999618530273</v>
      </c>
    </row>
    <row r="776" spans="1:2" x14ac:dyDescent="0.3">
      <c r="A776" s="7" t="s">
        <v>788</v>
      </c>
      <c r="B776" s="8">
        <v>16.100000381469727</v>
      </c>
    </row>
    <row r="777" spans="1:2" x14ac:dyDescent="0.3">
      <c r="A777" s="7" t="s">
        <v>789</v>
      </c>
      <c r="B777" s="8">
        <v>16.100000381469727</v>
      </c>
    </row>
    <row r="778" spans="1:2" x14ac:dyDescent="0.3">
      <c r="A778" s="7" t="s">
        <v>790</v>
      </c>
      <c r="B778" s="8">
        <v>16.100000381469727</v>
      </c>
    </row>
    <row r="779" spans="1:2" x14ac:dyDescent="0.3">
      <c r="A779" s="7" t="s">
        <v>791</v>
      </c>
      <c r="B779" s="8">
        <v>16</v>
      </c>
    </row>
    <row r="780" spans="1:2" x14ac:dyDescent="0.3">
      <c r="A780" s="7" t="s">
        <v>792</v>
      </c>
      <c r="B780" s="8">
        <v>16.049999237060547</v>
      </c>
    </row>
    <row r="781" spans="1:2" x14ac:dyDescent="0.3">
      <c r="A781" s="7" t="s">
        <v>793</v>
      </c>
      <c r="B781" s="8">
        <v>16</v>
      </c>
    </row>
    <row r="782" spans="1:2" x14ac:dyDescent="0.3">
      <c r="A782" s="7" t="s">
        <v>794</v>
      </c>
      <c r="B782" s="8">
        <v>15.949999809265137</v>
      </c>
    </row>
    <row r="783" spans="1:2" x14ac:dyDescent="0.3">
      <c r="A783" s="7" t="s">
        <v>795</v>
      </c>
      <c r="B783" s="8">
        <v>15.699999809265137</v>
      </c>
    </row>
    <row r="784" spans="1:2" x14ac:dyDescent="0.3">
      <c r="A784" s="7" t="s">
        <v>796</v>
      </c>
      <c r="B784" s="8">
        <v>15.699999809265137</v>
      </c>
    </row>
    <row r="785" spans="1:2" x14ac:dyDescent="0.3">
      <c r="A785" s="7" t="s">
        <v>797</v>
      </c>
      <c r="B785" s="8">
        <v>15.699999809265137</v>
      </c>
    </row>
    <row r="786" spans="1:2" x14ac:dyDescent="0.3">
      <c r="A786" s="7" t="s">
        <v>798</v>
      </c>
      <c r="B786" s="8">
        <v>15.75</v>
      </c>
    </row>
    <row r="787" spans="1:2" x14ac:dyDescent="0.3">
      <c r="A787" s="7" t="s">
        <v>799</v>
      </c>
      <c r="B787" s="8">
        <v>15.75</v>
      </c>
    </row>
    <row r="788" spans="1:2" x14ac:dyDescent="0.3">
      <c r="A788" s="7" t="s">
        <v>800</v>
      </c>
      <c r="B788" s="8">
        <v>15.949999809265137</v>
      </c>
    </row>
    <row r="789" spans="1:2" x14ac:dyDescent="0.3">
      <c r="A789" s="7" t="s">
        <v>801</v>
      </c>
      <c r="B789" s="8">
        <v>16.100000381469727</v>
      </c>
    </row>
    <row r="790" spans="1:2" x14ac:dyDescent="0.3">
      <c r="A790" s="7" t="s">
        <v>802</v>
      </c>
      <c r="B790" s="8">
        <v>16.100000381469727</v>
      </c>
    </row>
    <row r="791" spans="1:2" x14ac:dyDescent="0.3">
      <c r="A791" s="7" t="s">
        <v>803</v>
      </c>
      <c r="B791" s="8">
        <v>16.100000381469727</v>
      </c>
    </row>
    <row r="792" spans="1:2" x14ac:dyDescent="0.3">
      <c r="A792" s="7" t="s">
        <v>804</v>
      </c>
      <c r="B792" s="8">
        <v>16.100000381469727</v>
      </c>
    </row>
    <row r="793" spans="1:2" x14ac:dyDescent="0.3">
      <c r="A793" s="7" t="s">
        <v>805</v>
      </c>
      <c r="B793" s="8">
        <v>16.100000381469727</v>
      </c>
    </row>
    <row r="794" spans="1:2" x14ac:dyDescent="0.3">
      <c r="A794" s="7" t="s">
        <v>806</v>
      </c>
      <c r="B794" s="8">
        <v>16.100000381469727</v>
      </c>
    </row>
    <row r="795" spans="1:2" x14ac:dyDescent="0.3">
      <c r="A795" s="7" t="s">
        <v>807</v>
      </c>
      <c r="B795" s="8">
        <v>16.299999237060547</v>
      </c>
    </row>
    <row r="796" spans="1:2" x14ac:dyDescent="0.3">
      <c r="A796" s="7" t="s">
        <v>808</v>
      </c>
      <c r="B796" s="8">
        <v>16.200000762939453</v>
      </c>
    </row>
    <row r="797" spans="1:2" x14ac:dyDescent="0.3">
      <c r="A797" s="7" t="s">
        <v>809</v>
      </c>
      <c r="B797" s="8">
        <v>16.100000381469727</v>
      </c>
    </row>
    <row r="798" spans="1:2" x14ac:dyDescent="0.3">
      <c r="A798" s="7" t="s">
        <v>810</v>
      </c>
      <c r="B798" s="8">
        <v>16.100000381469727</v>
      </c>
    </row>
    <row r="799" spans="1:2" x14ac:dyDescent="0.3">
      <c r="A799" s="7" t="s">
        <v>811</v>
      </c>
      <c r="B799" s="8">
        <v>16.100000381469727</v>
      </c>
    </row>
    <row r="800" spans="1:2" x14ac:dyDescent="0.3">
      <c r="A800" s="7" t="s">
        <v>812</v>
      </c>
      <c r="B800" s="8">
        <v>16.049999237060547</v>
      </c>
    </row>
    <row r="801" spans="1:2" x14ac:dyDescent="0.3">
      <c r="A801" s="7" t="s">
        <v>813</v>
      </c>
      <c r="B801" s="8">
        <v>16.049999237060547</v>
      </c>
    </row>
    <row r="802" spans="1:2" x14ac:dyDescent="0.3">
      <c r="A802" s="7" t="s">
        <v>814</v>
      </c>
      <c r="B802" s="8">
        <v>16.049999237060547</v>
      </c>
    </row>
    <row r="803" spans="1:2" x14ac:dyDescent="0.3">
      <c r="A803" s="7" t="s">
        <v>815</v>
      </c>
      <c r="B803" s="8">
        <v>16.049999237060547</v>
      </c>
    </row>
    <row r="804" spans="1:2" x14ac:dyDescent="0.3">
      <c r="A804" s="7" t="s">
        <v>816</v>
      </c>
      <c r="B804" s="8">
        <v>16.049999237060547</v>
      </c>
    </row>
    <row r="805" spans="1:2" x14ac:dyDescent="0.3">
      <c r="A805" s="7" t="s">
        <v>817</v>
      </c>
      <c r="B805" s="8">
        <v>16.049999237060547</v>
      </c>
    </row>
    <row r="806" spans="1:2" x14ac:dyDescent="0.3">
      <c r="A806" s="7" t="s">
        <v>818</v>
      </c>
      <c r="B806" s="8">
        <v>16.049999237060547</v>
      </c>
    </row>
    <row r="807" spans="1:2" x14ac:dyDescent="0.3">
      <c r="A807" s="7" t="s">
        <v>819</v>
      </c>
      <c r="B807" s="8">
        <v>16.049999237060547</v>
      </c>
    </row>
    <row r="808" spans="1:2" x14ac:dyDescent="0.3">
      <c r="A808" s="7" t="s">
        <v>820</v>
      </c>
      <c r="B808" s="8">
        <v>16.100000381469727</v>
      </c>
    </row>
    <row r="809" spans="1:2" x14ac:dyDescent="0.3">
      <c r="A809" s="7" t="s">
        <v>821</v>
      </c>
      <c r="B809" s="8">
        <v>16.200000762939453</v>
      </c>
    </row>
    <row r="810" spans="1:2" x14ac:dyDescent="0.3">
      <c r="A810" s="7" t="s">
        <v>822</v>
      </c>
      <c r="B810" s="8">
        <v>16.100000381469727</v>
      </c>
    </row>
    <row r="811" spans="1:2" x14ac:dyDescent="0.3">
      <c r="A811" s="7" t="s">
        <v>823</v>
      </c>
      <c r="B811" s="8">
        <v>16.100000381469727</v>
      </c>
    </row>
    <row r="812" spans="1:2" x14ac:dyDescent="0.3">
      <c r="A812" s="7" t="s">
        <v>824</v>
      </c>
      <c r="B812" s="8">
        <v>16.100000381469727</v>
      </c>
    </row>
    <row r="813" spans="1:2" x14ac:dyDescent="0.3">
      <c r="A813" s="7" t="s">
        <v>825</v>
      </c>
      <c r="B813" s="8">
        <v>16.100000381469727</v>
      </c>
    </row>
    <row r="814" spans="1:2" x14ac:dyDescent="0.3">
      <c r="A814" s="7" t="s">
        <v>826</v>
      </c>
      <c r="B814" s="8">
        <v>16.149999618530273</v>
      </c>
    </row>
    <row r="815" spans="1:2" x14ac:dyDescent="0.3">
      <c r="A815" s="7" t="s">
        <v>827</v>
      </c>
      <c r="B815" s="8">
        <v>16.149999618530273</v>
      </c>
    </row>
    <row r="816" spans="1:2" x14ac:dyDescent="0.3">
      <c r="A816" s="7" t="s">
        <v>828</v>
      </c>
      <c r="B816" s="8">
        <v>16.149999618530273</v>
      </c>
    </row>
    <row r="817" spans="1:2" x14ac:dyDescent="0.3">
      <c r="A817" s="7" t="s">
        <v>829</v>
      </c>
      <c r="B817" s="8">
        <v>16.149999618530273</v>
      </c>
    </row>
    <row r="818" spans="1:2" x14ac:dyDescent="0.3">
      <c r="A818" s="7" t="s">
        <v>830</v>
      </c>
      <c r="B818" s="8">
        <v>16.100000381469727</v>
      </c>
    </row>
    <row r="819" spans="1:2" x14ac:dyDescent="0.3">
      <c r="A819" s="7" t="s">
        <v>831</v>
      </c>
      <c r="B819" s="8">
        <v>16.100000381469727</v>
      </c>
    </row>
    <row r="820" spans="1:2" x14ac:dyDescent="0.3">
      <c r="A820" s="7" t="s">
        <v>832</v>
      </c>
      <c r="B820" s="8">
        <v>16.100000381469727</v>
      </c>
    </row>
    <row r="821" spans="1:2" x14ac:dyDescent="0.3">
      <c r="A821" s="7" t="s">
        <v>833</v>
      </c>
      <c r="B821" s="8">
        <v>16.100000381469727</v>
      </c>
    </row>
    <row r="822" spans="1:2" x14ac:dyDescent="0.3">
      <c r="A822" s="7" t="s">
        <v>834</v>
      </c>
      <c r="B822" s="8">
        <v>16.100000381469727</v>
      </c>
    </row>
    <row r="823" spans="1:2" x14ac:dyDescent="0.3">
      <c r="A823" s="7" t="s">
        <v>835</v>
      </c>
      <c r="B823" s="8">
        <v>16</v>
      </c>
    </row>
    <row r="824" spans="1:2" x14ac:dyDescent="0.3">
      <c r="A824" s="7" t="s">
        <v>836</v>
      </c>
      <c r="B824" s="8">
        <v>15.899999618530273</v>
      </c>
    </row>
    <row r="825" spans="1:2" x14ac:dyDescent="0.3">
      <c r="A825" s="7" t="s">
        <v>837</v>
      </c>
      <c r="B825" s="8">
        <v>15.800000190734863</v>
      </c>
    </row>
    <row r="826" spans="1:2" x14ac:dyDescent="0.3">
      <c r="A826" s="7" t="s">
        <v>838</v>
      </c>
      <c r="B826" s="8">
        <v>15.800000190734863</v>
      </c>
    </row>
    <row r="827" spans="1:2" x14ac:dyDescent="0.3">
      <c r="A827" s="7" t="s">
        <v>839</v>
      </c>
      <c r="B827" s="8">
        <v>15.800000190734863</v>
      </c>
    </row>
    <row r="828" spans="1:2" x14ac:dyDescent="0.3">
      <c r="A828" s="7" t="s">
        <v>840</v>
      </c>
      <c r="B828" s="8">
        <v>16</v>
      </c>
    </row>
    <row r="829" spans="1:2" x14ac:dyDescent="0.3">
      <c r="A829" s="7" t="s">
        <v>841</v>
      </c>
      <c r="B829" s="8">
        <v>15.850000381469727</v>
      </c>
    </row>
    <row r="830" spans="1:2" x14ac:dyDescent="0.3">
      <c r="A830" s="7" t="s">
        <v>842</v>
      </c>
      <c r="B830" s="8">
        <v>15.850000381469727</v>
      </c>
    </row>
    <row r="831" spans="1:2" x14ac:dyDescent="0.3">
      <c r="A831" s="7" t="s">
        <v>843</v>
      </c>
      <c r="B831" s="8">
        <v>15.800000190734863</v>
      </c>
    </row>
    <row r="832" spans="1:2" x14ac:dyDescent="0.3">
      <c r="A832" s="7" t="s">
        <v>844</v>
      </c>
      <c r="B832" s="8">
        <v>15.699999809265137</v>
      </c>
    </row>
    <row r="833" spans="1:2" x14ac:dyDescent="0.3">
      <c r="A833" s="7" t="s">
        <v>845</v>
      </c>
      <c r="B833" s="8">
        <v>15.699999809265137</v>
      </c>
    </row>
    <row r="834" spans="1:2" x14ac:dyDescent="0.3">
      <c r="A834" s="7" t="s">
        <v>846</v>
      </c>
      <c r="B834" s="8">
        <v>15.699999809265137</v>
      </c>
    </row>
    <row r="835" spans="1:2" x14ac:dyDescent="0.3">
      <c r="A835" s="7" t="s">
        <v>847</v>
      </c>
      <c r="B835" s="8">
        <v>15.699999809265137</v>
      </c>
    </row>
    <row r="836" spans="1:2" x14ac:dyDescent="0.3">
      <c r="A836" s="7" t="s">
        <v>848</v>
      </c>
      <c r="B836" s="8">
        <v>15.699999809265137</v>
      </c>
    </row>
    <row r="837" spans="1:2" x14ac:dyDescent="0.3">
      <c r="A837" s="7" t="s">
        <v>849</v>
      </c>
      <c r="B837" s="8">
        <v>15.600000381469727</v>
      </c>
    </row>
    <row r="838" spans="1:2" x14ac:dyDescent="0.3">
      <c r="A838" s="7" t="s">
        <v>850</v>
      </c>
      <c r="B838" s="8">
        <v>15.600000381469727</v>
      </c>
    </row>
    <row r="839" spans="1:2" x14ac:dyDescent="0.3">
      <c r="A839" s="7" t="s">
        <v>851</v>
      </c>
      <c r="B839" s="8">
        <v>15.899999618530273</v>
      </c>
    </row>
    <row r="840" spans="1:2" x14ac:dyDescent="0.3">
      <c r="A840" s="7" t="s">
        <v>852</v>
      </c>
      <c r="B840" s="8">
        <v>15.899999618530273</v>
      </c>
    </row>
    <row r="841" spans="1:2" x14ac:dyDescent="0.3">
      <c r="A841" s="7" t="s">
        <v>853</v>
      </c>
      <c r="B841" s="8">
        <v>15.899999618530273</v>
      </c>
    </row>
    <row r="842" spans="1:2" x14ac:dyDescent="0.3">
      <c r="A842" s="7" t="s">
        <v>854</v>
      </c>
      <c r="B842" s="8">
        <v>15.899999618530273</v>
      </c>
    </row>
    <row r="843" spans="1:2" x14ac:dyDescent="0.3">
      <c r="A843" s="7" t="s">
        <v>855</v>
      </c>
      <c r="B843" s="8">
        <v>15.800000190734863</v>
      </c>
    </row>
    <row r="844" spans="1:2" x14ac:dyDescent="0.3">
      <c r="A844" s="7" t="s">
        <v>856</v>
      </c>
      <c r="B844" s="8">
        <v>15.699999809265137</v>
      </c>
    </row>
    <row r="845" spans="1:2" x14ac:dyDescent="0.3">
      <c r="A845" s="7" t="s">
        <v>857</v>
      </c>
      <c r="B845" s="8">
        <v>15.800000190734863</v>
      </c>
    </row>
    <row r="846" spans="1:2" x14ac:dyDescent="0.3">
      <c r="A846" s="7" t="s">
        <v>858</v>
      </c>
      <c r="B846" s="8">
        <v>15.699999809265137</v>
      </c>
    </row>
    <row r="847" spans="1:2" x14ac:dyDescent="0.3">
      <c r="A847" s="7" t="s">
        <v>859</v>
      </c>
      <c r="B847" s="8">
        <v>15.699999809265137</v>
      </c>
    </row>
    <row r="848" spans="1:2" x14ac:dyDescent="0.3">
      <c r="A848" s="7" t="s">
        <v>860</v>
      </c>
      <c r="B848" s="8">
        <v>15.699999809265137</v>
      </c>
    </row>
    <row r="849" spans="1:2" x14ac:dyDescent="0.3">
      <c r="A849" s="7" t="s">
        <v>861</v>
      </c>
      <c r="B849" s="8">
        <v>15.699999809265137</v>
      </c>
    </row>
    <row r="850" spans="1:2" x14ac:dyDescent="0.3">
      <c r="A850" s="7" t="s">
        <v>862</v>
      </c>
      <c r="B850" s="8">
        <v>15.699999809265137</v>
      </c>
    </row>
    <row r="851" spans="1:2" x14ac:dyDescent="0.3">
      <c r="A851" s="7" t="s">
        <v>863</v>
      </c>
      <c r="B851" s="8">
        <v>15.600000381469727</v>
      </c>
    </row>
    <row r="852" spans="1:2" x14ac:dyDescent="0.3">
      <c r="A852" s="7" t="s">
        <v>864</v>
      </c>
      <c r="B852" s="8">
        <v>15.600000381469727</v>
      </c>
    </row>
    <row r="853" spans="1:2" x14ac:dyDescent="0.3">
      <c r="A853" s="7" t="s">
        <v>865</v>
      </c>
      <c r="B853" s="8">
        <v>15.600000381469727</v>
      </c>
    </row>
    <row r="854" spans="1:2" x14ac:dyDescent="0.3">
      <c r="A854" s="7" t="s">
        <v>866</v>
      </c>
      <c r="B854" s="8">
        <v>15.600000381469727</v>
      </c>
    </row>
    <row r="855" spans="1:2" x14ac:dyDescent="0.3">
      <c r="A855" s="7" t="s">
        <v>867</v>
      </c>
      <c r="B855" s="8">
        <v>15.600000381469727</v>
      </c>
    </row>
    <row r="856" spans="1:2" x14ac:dyDescent="0.3">
      <c r="A856" s="7" t="s">
        <v>868</v>
      </c>
      <c r="B856" s="8">
        <v>15.649999618530273</v>
      </c>
    </row>
    <row r="857" spans="1:2" x14ac:dyDescent="0.3">
      <c r="A857" s="7" t="s">
        <v>869</v>
      </c>
      <c r="B857" s="8">
        <v>15.75</v>
      </c>
    </row>
    <row r="858" spans="1:2" x14ac:dyDescent="0.3">
      <c r="A858" s="7" t="s">
        <v>870</v>
      </c>
      <c r="B858" s="8">
        <v>15.800000190734863</v>
      </c>
    </row>
    <row r="859" spans="1:2" x14ac:dyDescent="0.3">
      <c r="A859" s="7" t="s">
        <v>871</v>
      </c>
      <c r="B859" s="8">
        <v>15.75</v>
      </c>
    </row>
    <row r="860" spans="1:2" x14ac:dyDescent="0.3">
      <c r="A860" s="7" t="s">
        <v>872</v>
      </c>
      <c r="B860" s="8">
        <v>15.699999809265137</v>
      </c>
    </row>
    <row r="861" spans="1:2" x14ac:dyDescent="0.3">
      <c r="A861" s="7" t="s">
        <v>873</v>
      </c>
      <c r="B861" s="8">
        <v>15.699999809265137</v>
      </c>
    </row>
    <row r="862" spans="1:2" x14ac:dyDescent="0.3">
      <c r="A862" s="7" t="s">
        <v>874</v>
      </c>
      <c r="B862" s="8">
        <v>15.699999809265137</v>
      </c>
    </row>
    <row r="863" spans="1:2" x14ac:dyDescent="0.3">
      <c r="A863" s="7" t="s">
        <v>875</v>
      </c>
      <c r="B863" s="8">
        <v>15.699999809265137</v>
      </c>
    </row>
    <row r="864" spans="1:2" x14ac:dyDescent="0.3">
      <c r="A864" s="7" t="s">
        <v>876</v>
      </c>
      <c r="B864" s="8">
        <v>15.699999809265137</v>
      </c>
    </row>
    <row r="865" spans="1:2" x14ac:dyDescent="0.3">
      <c r="A865" s="7" t="s">
        <v>877</v>
      </c>
      <c r="B865" s="8">
        <v>15.75</v>
      </c>
    </row>
    <row r="866" spans="1:2" x14ac:dyDescent="0.3">
      <c r="A866" s="7" t="s">
        <v>878</v>
      </c>
      <c r="B866" s="8">
        <v>15.75</v>
      </c>
    </row>
    <row r="867" spans="1:2" x14ac:dyDescent="0.3">
      <c r="A867" s="7" t="s">
        <v>879</v>
      </c>
      <c r="B867" s="8">
        <v>15.75</v>
      </c>
    </row>
    <row r="868" spans="1:2" x14ac:dyDescent="0.3">
      <c r="A868" s="7" t="s">
        <v>880</v>
      </c>
      <c r="B868" s="8">
        <v>15.75</v>
      </c>
    </row>
    <row r="869" spans="1:2" x14ac:dyDescent="0.3">
      <c r="A869" s="7" t="s">
        <v>881</v>
      </c>
      <c r="B869" s="8">
        <v>15.75</v>
      </c>
    </row>
    <row r="870" spans="1:2" x14ac:dyDescent="0.3">
      <c r="A870" s="7" t="s">
        <v>882</v>
      </c>
      <c r="B870" s="8">
        <v>15.800000190734863</v>
      </c>
    </row>
    <row r="871" spans="1:2" x14ac:dyDescent="0.3">
      <c r="A871" s="7" t="s">
        <v>883</v>
      </c>
      <c r="B871" s="8">
        <v>15.800000190734863</v>
      </c>
    </row>
    <row r="872" spans="1:2" x14ac:dyDescent="0.3">
      <c r="A872" s="7" t="s">
        <v>884</v>
      </c>
      <c r="B872" s="8">
        <v>15.800000190734863</v>
      </c>
    </row>
    <row r="873" spans="1:2" x14ac:dyDescent="0.3">
      <c r="A873" s="7" t="s">
        <v>885</v>
      </c>
      <c r="B873" s="8">
        <v>15.800000190734863</v>
      </c>
    </row>
    <row r="874" spans="1:2" x14ac:dyDescent="0.3">
      <c r="A874" s="7" t="s">
        <v>886</v>
      </c>
      <c r="B874" s="8">
        <v>15.800000190734863</v>
      </c>
    </row>
    <row r="875" spans="1:2" x14ac:dyDescent="0.3">
      <c r="A875" s="7" t="s">
        <v>887</v>
      </c>
      <c r="B875" s="8">
        <v>15.800000190734863</v>
      </c>
    </row>
    <row r="876" spans="1:2" x14ac:dyDescent="0.3">
      <c r="A876" s="7" t="s">
        <v>888</v>
      </c>
      <c r="B876" s="8">
        <v>15.800000190734863</v>
      </c>
    </row>
    <row r="877" spans="1:2" x14ac:dyDescent="0.3">
      <c r="A877" s="7" t="s">
        <v>889</v>
      </c>
      <c r="B877" s="8">
        <v>15.800000190734863</v>
      </c>
    </row>
    <row r="878" spans="1:2" x14ac:dyDescent="0.3">
      <c r="A878" s="7" t="s">
        <v>890</v>
      </c>
      <c r="B878" s="8">
        <v>15.800000190734863</v>
      </c>
    </row>
    <row r="879" spans="1:2" x14ac:dyDescent="0.3">
      <c r="A879" s="7" t="s">
        <v>891</v>
      </c>
      <c r="B879" s="8">
        <v>15.649999618530273</v>
      </c>
    </row>
    <row r="880" spans="1:2" x14ac:dyDescent="0.3">
      <c r="A880" s="7" t="s">
        <v>892</v>
      </c>
      <c r="B880" s="8">
        <v>15.600000381469727</v>
      </c>
    </row>
    <row r="881" spans="1:2" x14ac:dyDescent="0.3">
      <c r="A881" s="7" t="s">
        <v>893</v>
      </c>
      <c r="B881" s="8">
        <v>15.550000190734863</v>
      </c>
    </row>
    <row r="882" spans="1:2" x14ac:dyDescent="0.3">
      <c r="A882" s="7" t="s">
        <v>894</v>
      </c>
      <c r="B882" s="8">
        <v>15.550000190734863</v>
      </c>
    </row>
    <row r="883" spans="1:2" x14ac:dyDescent="0.3">
      <c r="A883" s="7" t="s">
        <v>895</v>
      </c>
      <c r="B883" s="8">
        <v>15.550000190734863</v>
      </c>
    </row>
    <row r="884" spans="1:2" x14ac:dyDescent="0.3">
      <c r="A884" s="7" t="s">
        <v>896</v>
      </c>
      <c r="B884" s="8">
        <v>15.600000381469727</v>
      </c>
    </row>
    <row r="885" spans="1:2" x14ac:dyDescent="0.3">
      <c r="A885" s="7" t="s">
        <v>897</v>
      </c>
      <c r="B885" s="8">
        <v>15.550000190734863</v>
      </c>
    </row>
    <row r="886" spans="1:2" x14ac:dyDescent="0.3">
      <c r="A886" s="7" t="s">
        <v>898</v>
      </c>
      <c r="B886" s="8">
        <v>15.550000190734863</v>
      </c>
    </row>
    <row r="887" spans="1:2" x14ac:dyDescent="0.3">
      <c r="A887" s="7" t="s">
        <v>899</v>
      </c>
      <c r="B887" s="8">
        <v>15.550000190734863</v>
      </c>
    </row>
    <row r="888" spans="1:2" x14ac:dyDescent="0.3">
      <c r="A888" s="7" t="s">
        <v>900</v>
      </c>
      <c r="B888" s="8">
        <v>15.550000190734863</v>
      </c>
    </row>
    <row r="889" spans="1:2" x14ac:dyDescent="0.3">
      <c r="A889" s="7" t="s">
        <v>901</v>
      </c>
      <c r="B889" s="8">
        <v>15.550000190734863</v>
      </c>
    </row>
    <row r="890" spans="1:2" x14ac:dyDescent="0.3">
      <c r="A890" s="7" t="s">
        <v>902</v>
      </c>
      <c r="B890" s="8">
        <v>15.550000190734863</v>
      </c>
    </row>
    <row r="891" spans="1:2" x14ac:dyDescent="0.3">
      <c r="A891" s="7" t="s">
        <v>903</v>
      </c>
      <c r="B891" s="8">
        <v>15.399999618530273</v>
      </c>
    </row>
    <row r="892" spans="1:2" x14ac:dyDescent="0.3">
      <c r="A892" s="7" t="s">
        <v>904</v>
      </c>
      <c r="B892" s="8">
        <v>15.449999809265137</v>
      </c>
    </row>
    <row r="893" spans="1:2" x14ac:dyDescent="0.3">
      <c r="A893" s="7" t="s">
        <v>905</v>
      </c>
      <c r="B893" s="8">
        <v>15.399999618530273</v>
      </c>
    </row>
    <row r="894" spans="1:2" x14ac:dyDescent="0.3">
      <c r="A894" s="7" t="s">
        <v>906</v>
      </c>
      <c r="B894" s="8">
        <v>15.399999618530273</v>
      </c>
    </row>
    <row r="895" spans="1:2" x14ac:dyDescent="0.3">
      <c r="A895" s="7" t="s">
        <v>907</v>
      </c>
      <c r="B895" s="8">
        <v>15.399999618530273</v>
      </c>
    </row>
    <row r="896" spans="1:2" x14ac:dyDescent="0.3">
      <c r="A896" s="7" t="s">
        <v>908</v>
      </c>
      <c r="B896" s="8">
        <v>15.399999618530273</v>
      </c>
    </row>
    <row r="897" spans="1:2" x14ac:dyDescent="0.3">
      <c r="A897" s="7" t="s">
        <v>909</v>
      </c>
      <c r="B897" s="8">
        <v>15.399999618530273</v>
      </c>
    </row>
    <row r="898" spans="1:2" x14ac:dyDescent="0.3">
      <c r="A898" s="7" t="s">
        <v>910</v>
      </c>
      <c r="B898" s="8">
        <v>15.399999618530273</v>
      </c>
    </row>
    <row r="899" spans="1:2" x14ac:dyDescent="0.3">
      <c r="A899" s="7" t="s">
        <v>911</v>
      </c>
      <c r="B899" s="8">
        <v>15.5</v>
      </c>
    </row>
    <row r="900" spans="1:2" x14ac:dyDescent="0.3">
      <c r="A900" s="7" t="s">
        <v>912</v>
      </c>
      <c r="B900" s="8">
        <v>15.600000381469727</v>
      </c>
    </row>
    <row r="901" spans="1:2" x14ac:dyDescent="0.3">
      <c r="A901" s="7" t="s">
        <v>913</v>
      </c>
      <c r="B901" s="8">
        <v>15.600000381469727</v>
      </c>
    </row>
    <row r="902" spans="1:2" x14ac:dyDescent="0.3">
      <c r="A902" s="7" t="s">
        <v>914</v>
      </c>
      <c r="B902" s="8">
        <v>15.699999809265137</v>
      </c>
    </row>
    <row r="903" spans="1:2" x14ac:dyDescent="0.3">
      <c r="A903" s="7" t="s">
        <v>915</v>
      </c>
      <c r="B903" s="8">
        <v>15.699999809265137</v>
      </c>
    </row>
    <row r="904" spans="1:2" x14ac:dyDescent="0.3">
      <c r="A904" s="7" t="s">
        <v>916</v>
      </c>
      <c r="B904" s="8">
        <v>15.699999809265137</v>
      </c>
    </row>
    <row r="905" spans="1:2" x14ac:dyDescent="0.3">
      <c r="A905" s="7" t="s">
        <v>917</v>
      </c>
      <c r="B905" s="8">
        <v>15.600000381469727</v>
      </c>
    </row>
    <row r="906" spans="1:2" x14ac:dyDescent="0.3">
      <c r="A906" s="7" t="s">
        <v>918</v>
      </c>
      <c r="B906" s="8">
        <v>15.600000381469727</v>
      </c>
    </row>
    <row r="907" spans="1:2" x14ac:dyDescent="0.3">
      <c r="A907" s="7" t="s">
        <v>919</v>
      </c>
      <c r="B907" s="8">
        <v>15.699999809265137</v>
      </c>
    </row>
    <row r="908" spans="1:2" x14ac:dyDescent="0.3">
      <c r="A908" s="7" t="s">
        <v>920</v>
      </c>
      <c r="B908" s="8">
        <v>15.699999809265137</v>
      </c>
    </row>
    <row r="909" spans="1:2" x14ac:dyDescent="0.3">
      <c r="A909" s="7" t="s">
        <v>921</v>
      </c>
      <c r="B909" s="8">
        <v>15.600000381469727</v>
      </c>
    </row>
    <row r="910" spans="1:2" x14ac:dyDescent="0.3">
      <c r="A910" s="7" t="s">
        <v>922</v>
      </c>
      <c r="B910" s="8">
        <v>15.600000381469727</v>
      </c>
    </row>
    <row r="911" spans="1:2" x14ac:dyDescent="0.3">
      <c r="A911" s="7" t="s">
        <v>923</v>
      </c>
      <c r="B911" s="8">
        <v>15.600000381469727</v>
      </c>
    </row>
    <row r="912" spans="1:2" x14ac:dyDescent="0.3">
      <c r="A912" s="7" t="s">
        <v>924</v>
      </c>
      <c r="B912" s="8">
        <v>15.600000381469727</v>
      </c>
    </row>
    <row r="913" spans="1:2" x14ac:dyDescent="0.3">
      <c r="A913" s="7" t="s">
        <v>925</v>
      </c>
      <c r="B913" s="8">
        <v>15.5</v>
      </c>
    </row>
    <row r="914" spans="1:2" x14ac:dyDescent="0.3">
      <c r="A914" s="7" t="s">
        <v>926</v>
      </c>
      <c r="B914" s="8">
        <v>15.5</v>
      </c>
    </row>
    <row r="915" spans="1:2" x14ac:dyDescent="0.3">
      <c r="A915" s="7" t="s">
        <v>927</v>
      </c>
      <c r="B915" s="8">
        <v>15.600000381469727</v>
      </c>
    </row>
    <row r="916" spans="1:2" x14ac:dyDescent="0.3">
      <c r="A916" s="7" t="s">
        <v>928</v>
      </c>
      <c r="B916" s="8">
        <v>15.550000190734863</v>
      </c>
    </row>
    <row r="917" spans="1:2" x14ac:dyDescent="0.3">
      <c r="A917" s="7" t="s">
        <v>929</v>
      </c>
      <c r="B917" s="8">
        <v>15.550000190734863</v>
      </c>
    </row>
    <row r="918" spans="1:2" x14ac:dyDescent="0.3">
      <c r="A918" s="7" t="s">
        <v>930</v>
      </c>
      <c r="B918" s="8">
        <v>15.550000190734863</v>
      </c>
    </row>
    <row r="919" spans="1:2" x14ac:dyDescent="0.3">
      <c r="A919" s="7" t="s">
        <v>931</v>
      </c>
      <c r="B919" s="8">
        <v>15.699999809265137</v>
      </c>
    </row>
    <row r="920" spans="1:2" x14ac:dyDescent="0.3">
      <c r="A920" s="7" t="s">
        <v>932</v>
      </c>
      <c r="B920" s="8">
        <v>15.699999809265137</v>
      </c>
    </row>
    <row r="921" spans="1:2" x14ac:dyDescent="0.3">
      <c r="A921" s="7" t="s">
        <v>933</v>
      </c>
      <c r="B921" s="8">
        <v>15.699999809265137</v>
      </c>
    </row>
    <row r="922" spans="1:2" x14ac:dyDescent="0.3">
      <c r="A922" s="7" t="s">
        <v>934</v>
      </c>
      <c r="B922" s="8">
        <v>15.649999618530273</v>
      </c>
    </row>
    <row r="923" spans="1:2" x14ac:dyDescent="0.3">
      <c r="A923" s="7" t="s">
        <v>935</v>
      </c>
      <c r="B923" s="8">
        <v>15.649999618530273</v>
      </c>
    </row>
    <row r="924" spans="1:2" x14ac:dyDescent="0.3">
      <c r="A924" s="7" t="s">
        <v>936</v>
      </c>
      <c r="B924" s="8">
        <v>15.649999618530273</v>
      </c>
    </row>
    <row r="925" spans="1:2" x14ac:dyDescent="0.3">
      <c r="A925" s="7" t="s">
        <v>937</v>
      </c>
      <c r="B925" s="8">
        <v>15.649999618530273</v>
      </c>
    </row>
    <row r="926" spans="1:2" x14ac:dyDescent="0.3">
      <c r="A926" s="7" t="s">
        <v>938</v>
      </c>
      <c r="B926" s="8">
        <v>15.699999809265137</v>
      </c>
    </row>
    <row r="927" spans="1:2" x14ac:dyDescent="0.3">
      <c r="A927" s="7" t="s">
        <v>939</v>
      </c>
      <c r="B927" s="8">
        <v>15.800000190734863</v>
      </c>
    </row>
    <row r="928" spans="1:2" x14ac:dyDescent="0.3">
      <c r="A928" s="7" t="s">
        <v>940</v>
      </c>
      <c r="B928" s="8">
        <v>15.800000190734863</v>
      </c>
    </row>
    <row r="929" spans="1:2" x14ac:dyDescent="0.3">
      <c r="A929" s="7" t="s">
        <v>941</v>
      </c>
      <c r="B929" s="8">
        <v>16.200000762939453</v>
      </c>
    </row>
    <row r="930" spans="1:2" x14ac:dyDescent="0.3">
      <c r="A930" s="7" t="s">
        <v>942</v>
      </c>
      <c r="B930" s="8">
        <v>16.200000762939453</v>
      </c>
    </row>
    <row r="931" spans="1:2" x14ac:dyDescent="0.3">
      <c r="A931" s="7" t="s">
        <v>943</v>
      </c>
      <c r="B931" s="8">
        <v>16.200000762939453</v>
      </c>
    </row>
    <row r="932" spans="1:2" x14ac:dyDescent="0.3">
      <c r="A932" s="7" t="s">
        <v>944</v>
      </c>
      <c r="B932" s="8">
        <v>16.200000762939453</v>
      </c>
    </row>
    <row r="933" spans="1:2" x14ac:dyDescent="0.3">
      <c r="A933" s="7" t="s">
        <v>945</v>
      </c>
      <c r="B933" s="8">
        <v>16.379999160766602</v>
      </c>
    </row>
    <row r="934" spans="1:2" x14ac:dyDescent="0.3">
      <c r="A934" s="7" t="s">
        <v>946</v>
      </c>
      <c r="B934" s="8">
        <v>16.299999237060547</v>
      </c>
    </row>
    <row r="935" spans="1:2" x14ac:dyDescent="0.3">
      <c r="A935" s="7" t="s">
        <v>947</v>
      </c>
      <c r="B935" s="8">
        <v>16.299999237060547</v>
      </c>
    </row>
    <row r="936" spans="1:2" x14ac:dyDescent="0.3">
      <c r="A936" s="7" t="s">
        <v>948</v>
      </c>
      <c r="B936" s="8">
        <v>16.299999237060547</v>
      </c>
    </row>
    <row r="937" spans="1:2" x14ac:dyDescent="0.3">
      <c r="A937" s="7" t="s">
        <v>949</v>
      </c>
      <c r="B937" s="8">
        <v>16.200000762939453</v>
      </c>
    </row>
    <row r="938" spans="1:2" x14ac:dyDescent="0.3">
      <c r="A938" s="7" t="s">
        <v>950</v>
      </c>
      <c r="B938" s="8">
        <v>16.200000762939453</v>
      </c>
    </row>
    <row r="939" spans="1:2" x14ac:dyDescent="0.3">
      <c r="A939" s="7" t="s">
        <v>951</v>
      </c>
      <c r="B939" s="8">
        <v>16.200000762939453</v>
      </c>
    </row>
    <row r="940" spans="1:2" x14ac:dyDescent="0.3">
      <c r="A940" s="7" t="s">
        <v>952</v>
      </c>
      <c r="B940" s="8">
        <v>16.200000762939453</v>
      </c>
    </row>
    <row r="941" spans="1:2" x14ac:dyDescent="0.3">
      <c r="A941" s="7" t="s">
        <v>953</v>
      </c>
      <c r="B941" s="8">
        <v>16.350000381469727</v>
      </c>
    </row>
    <row r="942" spans="1:2" x14ac:dyDescent="0.3">
      <c r="A942" s="7" t="s">
        <v>954</v>
      </c>
      <c r="B942" s="8">
        <v>16.299999237060547</v>
      </c>
    </row>
    <row r="943" spans="1:2" x14ac:dyDescent="0.3">
      <c r="A943" s="7" t="s">
        <v>955</v>
      </c>
      <c r="B943" s="8">
        <v>16.25</v>
      </c>
    </row>
    <row r="944" spans="1:2" x14ac:dyDescent="0.3">
      <c r="A944" s="7" t="s">
        <v>956</v>
      </c>
      <c r="B944" s="8">
        <v>16.200000762939453</v>
      </c>
    </row>
    <row r="945" spans="1:2" x14ac:dyDescent="0.3">
      <c r="A945" s="7" t="s">
        <v>957</v>
      </c>
      <c r="B945" s="8">
        <v>16.200000762939453</v>
      </c>
    </row>
    <row r="946" spans="1:2" x14ac:dyDescent="0.3">
      <c r="A946" s="7" t="s">
        <v>958</v>
      </c>
      <c r="B946" s="8">
        <v>16.200000762939453</v>
      </c>
    </row>
    <row r="947" spans="1:2" x14ac:dyDescent="0.3">
      <c r="A947" s="7" t="s">
        <v>959</v>
      </c>
      <c r="B947" s="8">
        <v>16.200000762939453</v>
      </c>
    </row>
    <row r="948" spans="1:2" x14ac:dyDescent="0.3">
      <c r="A948" s="7" t="s">
        <v>960</v>
      </c>
      <c r="B948" s="8">
        <v>16.200000762939453</v>
      </c>
    </row>
    <row r="949" spans="1:2" x14ac:dyDescent="0.3">
      <c r="A949" s="7" t="s">
        <v>961</v>
      </c>
      <c r="B949" s="8">
        <v>16.200000762939453</v>
      </c>
    </row>
    <row r="950" spans="1:2" x14ac:dyDescent="0.3">
      <c r="A950" s="7" t="s">
        <v>962</v>
      </c>
      <c r="B950" s="8">
        <v>16.100000381469727</v>
      </c>
    </row>
    <row r="951" spans="1:2" x14ac:dyDescent="0.3">
      <c r="A951" s="7" t="s">
        <v>963</v>
      </c>
      <c r="B951" s="8">
        <v>16.100000381469727</v>
      </c>
    </row>
    <row r="952" spans="1:2" x14ac:dyDescent="0.3">
      <c r="A952" s="7" t="s">
        <v>964</v>
      </c>
      <c r="B952" s="8">
        <v>16.100000381469727</v>
      </c>
    </row>
    <row r="953" spans="1:2" x14ac:dyDescent="0.3">
      <c r="A953" s="7" t="s">
        <v>965</v>
      </c>
      <c r="B953" s="8">
        <v>16.100000381469727</v>
      </c>
    </row>
    <row r="954" spans="1:2" x14ac:dyDescent="0.3">
      <c r="A954" s="7" t="s">
        <v>966</v>
      </c>
      <c r="B954" s="8">
        <v>16.100000381469727</v>
      </c>
    </row>
    <row r="955" spans="1:2" x14ac:dyDescent="0.3">
      <c r="A955" s="7" t="s">
        <v>967</v>
      </c>
      <c r="B955" s="8">
        <v>16.100000381469727</v>
      </c>
    </row>
    <row r="956" spans="1:2" x14ac:dyDescent="0.3">
      <c r="A956" s="7" t="s">
        <v>968</v>
      </c>
      <c r="B956" s="8">
        <v>16.049999237060547</v>
      </c>
    </row>
    <row r="957" spans="1:2" x14ac:dyDescent="0.3">
      <c r="A957" s="7" t="s">
        <v>969</v>
      </c>
      <c r="B957" s="8">
        <v>16.149999618530273</v>
      </c>
    </row>
    <row r="958" spans="1:2" x14ac:dyDescent="0.3">
      <c r="A958" s="7" t="s">
        <v>970</v>
      </c>
      <c r="B958" s="8">
        <v>16.25</v>
      </c>
    </row>
    <row r="959" spans="1:2" x14ac:dyDescent="0.3">
      <c r="A959" s="7" t="s">
        <v>971</v>
      </c>
      <c r="B959" s="8">
        <v>16.25</v>
      </c>
    </row>
    <row r="960" spans="1:2" x14ac:dyDescent="0.3">
      <c r="A960" s="7" t="s">
        <v>972</v>
      </c>
      <c r="B960" s="8">
        <v>16.25</v>
      </c>
    </row>
    <row r="961" spans="1:2" x14ac:dyDescent="0.3">
      <c r="A961" s="7" t="s">
        <v>973</v>
      </c>
      <c r="B961" s="8">
        <v>16.350000381469727</v>
      </c>
    </row>
    <row r="962" spans="1:2" x14ac:dyDescent="0.3">
      <c r="A962" s="7" t="s">
        <v>974</v>
      </c>
      <c r="B962" s="8">
        <v>16.350000381469727</v>
      </c>
    </row>
    <row r="963" spans="1:2" x14ac:dyDescent="0.3">
      <c r="A963" s="7" t="s">
        <v>975</v>
      </c>
      <c r="B963" s="8">
        <v>16.450000762939453</v>
      </c>
    </row>
    <row r="964" spans="1:2" x14ac:dyDescent="0.3">
      <c r="A964" s="7" t="s">
        <v>976</v>
      </c>
      <c r="B964" s="8">
        <v>16.399999618530273</v>
      </c>
    </row>
    <row r="965" spans="1:2" x14ac:dyDescent="0.3">
      <c r="A965" s="7" t="s">
        <v>977</v>
      </c>
      <c r="B965" s="8">
        <v>16.350000381469727</v>
      </c>
    </row>
    <row r="966" spans="1:2" x14ac:dyDescent="0.3">
      <c r="A966" s="7" t="s">
        <v>978</v>
      </c>
      <c r="B966" s="8">
        <v>16.350000381469727</v>
      </c>
    </row>
    <row r="967" spans="1:2" x14ac:dyDescent="0.3">
      <c r="A967" s="7" t="s">
        <v>979</v>
      </c>
      <c r="B967" s="8">
        <v>16.350000381469727</v>
      </c>
    </row>
    <row r="968" spans="1:2" x14ac:dyDescent="0.3">
      <c r="A968" s="7" t="s">
        <v>980</v>
      </c>
      <c r="B968" s="8">
        <v>16.5</v>
      </c>
    </row>
    <row r="969" spans="1:2" x14ac:dyDescent="0.3">
      <c r="A969" s="7" t="s">
        <v>981</v>
      </c>
      <c r="B969" s="8">
        <v>16.600000381469727</v>
      </c>
    </row>
    <row r="970" spans="1:2" x14ac:dyDescent="0.3">
      <c r="A970" s="7" t="s">
        <v>982</v>
      </c>
      <c r="B970" s="8">
        <v>16.649999618530273</v>
      </c>
    </row>
    <row r="971" spans="1:2" x14ac:dyDescent="0.3">
      <c r="A971" s="7" t="s">
        <v>983</v>
      </c>
      <c r="B971" s="8">
        <v>16.700000762939453</v>
      </c>
    </row>
    <row r="972" spans="1:2" x14ac:dyDescent="0.3">
      <c r="A972" s="7" t="s">
        <v>984</v>
      </c>
      <c r="B972" s="8">
        <v>16.799999237060547</v>
      </c>
    </row>
    <row r="973" spans="1:2" x14ac:dyDescent="0.3">
      <c r="A973" s="7" t="s">
        <v>985</v>
      </c>
      <c r="B973" s="8">
        <v>16.799999237060547</v>
      </c>
    </row>
    <row r="974" spans="1:2" x14ac:dyDescent="0.3">
      <c r="A974" s="7" t="s">
        <v>986</v>
      </c>
      <c r="B974" s="8">
        <v>16.799999237060547</v>
      </c>
    </row>
    <row r="975" spans="1:2" x14ac:dyDescent="0.3">
      <c r="A975" s="7" t="s">
        <v>987</v>
      </c>
      <c r="B975" s="8">
        <v>17</v>
      </c>
    </row>
    <row r="976" spans="1:2" x14ac:dyDescent="0.3">
      <c r="A976" s="7" t="s">
        <v>988</v>
      </c>
      <c r="B976" s="8">
        <v>17.159999847412109</v>
      </c>
    </row>
    <row r="977" spans="1:2" x14ac:dyDescent="0.3">
      <c r="A977" s="7" t="s">
        <v>989</v>
      </c>
      <c r="B977" s="8">
        <v>17.370000839233398</v>
      </c>
    </row>
    <row r="978" spans="1:2" x14ac:dyDescent="0.3">
      <c r="A978" s="7" t="s">
        <v>990</v>
      </c>
      <c r="B978" s="8">
        <v>17.329999923706055</v>
      </c>
    </row>
    <row r="979" spans="1:2" x14ac:dyDescent="0.3">
      <c r="A979" s="7" t="s">
        <v>991</v>
      </c>
      <c r="B979" s="8">
        <v>17.209999084472656</v>
      </c>
    </row>
    <row r="980" spans="1:2" x14ac:dyDescent="0.3">
      <c r="A980" s="7" t="s">
        <v>992</v>
      </c>
      <c r="B980" s="8">
        <v>17.209999084472656</v>
      </c>
    </row>
    <row r="981" spans="1:2" x14ac:dyDescent="0.3">
      <c r="A981" s="7" t="s">
        <v>993</v>
      </c>
      <c r="B981" s="8">
        <v>17.209999084472656</v>
      </c>
    </row>
    <row r="982" spans="1:2" x14ac:dyDescent="0.3">
      <c r="A982" s="7" t="s">
        <v>994</v>
      </c>
      <c r="B982" s="8">
        <v>17.180000305175781</v>
      </c>
    </row>
    <row r="983" spans="1:2" x14ac:dyDescent="0.3">
      <c r="A983" s="7" t="s">
        <v>995</v>
      </c>
      <c r="B983" s="8">
        <v>17.200000762939453</v>
      </c>
    </row>
    <row r="984" spans="1:2" x14ac:dyDescent="0.3">
      <c r="A984" s="7" t="s">
        <v>996</v>
      </c>
      <c r="B984" s="8">
        <v>17.149999618530273</v>
      </c>
    </row>
    <row r="985" spans="1:2" x14ac:dyDescent="0.3">
      <c r="A985" s="7" t="s">
        <v>997</v>
      </c>
      <c r="B985" s="8">
        <v>17.149999618530273</v>
      </c>
    </row>
    <row r="986" spans="1:2" x14ac:dyDescent="0.3">
      <c r="A986" s="7" t="s">
        <v>998</v>
      </c>
      <c r="B986" s="8">
        <v>17.049999237060547</v>
      </c>
    </row>
    <row r="987" spans="1:2" x14ac:dyDescent="0.3">
      <c r="A987" s="7" t="s">
        <v>999</v>
      </c>
      <c r="B987" s="8">
        <v>17.049999237060547</v>
      </c>
    </row>
    <row r="988" spans="1:2" x14ac:dyDescent="0.3">
      <c r="A988" s="7" t="s">
        <v>1000</v>
      </c>
      <c r="B988" s="8">
        <v>17.049999237060547</v>
      </c>
    </row>
    <row r="989" spans="1:2" x14ac:dyDescent="0.3">
      <c r="A989" s="7" t="s">
        <v>1001</v>
      </c>
      <c r="B989" s="8">
        <v>17.100000381469727</v>
      </c>
    </row>
    <row r="990" spans="1:2" x14ac:dyDescent="0.3">
      <c r="A990" s="7" t="s">
        <v>1002</v>
      </c>
      <c r="B990" s="8">
        <v>17.399999618530273</v>
      </c>
    </row>
    <row r="991" spans="1:2" x14ac:dyDescent="0.3">
      <c r="A991" s="7" t="s">
        <v>1003</v>
      </c>
      <c r="B991" s="8">
        <v>17.350000381469727</v>
      </c>
    </row>
    <row r="992" spans="1:2" x14ac:dyDescent="0.3">
      <c r="A992" s="7" t="s">
        <v>1004</v>
      </c>
      <c r="B992" s="8">
        <v>17.399999618530273</v>
      </c>
    </row>
    <row r="993" spans="1:2" x14ac:dyDescent="0.3">
      <c r="A993" s="7" t="s">
        <v>1005</v>
      </c>
      <c r="B993" s="8">
        <v>17.600000381469727</v>
      </c>
    </row>
    <row r="994" spans="1:2" x14ac:dyDescent="0.3">
      <c r="A994" s="7" t="s">
        <v>1006</v>
      </c>
      <c r="B994" s="8">
        <v>17.600000381469727</v>
      </c>
    </row>
    <row r="995" spans="1:2" x14ac:dyDescent="0.3">
      <c r="A995" s="7" t="s">
        <v>1007</v>
      </c>
      <c r="B995" s="8">
        <v>17.600000381469727</v>
      </c>
    </row>
    <row r="996" spans="1:2" x14ac:dyDescent="0.3">
      <c r="A996" s="7" t="s">
        <v>1008</v>
      </c>
      <c r="B996" s="8">
        <v>17.649999618530273</v>
      </c>
    </row>
    <row r="997" spans="1:2" x14ac:dyDescent="0.3">
      <c r="A997" s="7" t="s">
        <v>1009</v>
      </c>
      <c r="B997" s="8">
        <v>17.549999237060547</v>
      </c>
    </row>
    <row r="998" spans="1:2" x14ac:dyDescent="0.3">
      <c r="A998" s="7" t="s">
        <v>1010</v>
      </c>
      <c r="B998" s="8">
        <v>17.700000762939453</v>
      </c>
    </row>
    <row r="999" spans="1:2" x14ac:dyDescent="0.3">
      <c r="A999" s="7" t="s">
        <v>1011</v>
      </c>
      <c r="B999" s="8">
        <v>17.850000381469727</v>
      </c>
    </row>
    <row r="1000" spans="1:2" x14ac:dyDescent="0.3">
      <c r="A1000" s="7" t="s">
        <v>1012</v>
      </c>
      <c r="B1000" s="8">
        <v>17.989999771118164</v>
      </c>
    </row>
    <row r="1001" spans="1:2" x14ac:dyDescent="0.3">
      <c r="A1001" s="7" t="s">
        <v>1013</v>
      </c>
      <c r="B1001" s="8">
        <v>17.989999771118164</v>
      </c>
    </row>
    <row r="1002" spans="1:2" x14ac:dyDescent="0.3">
      <c r="A1002" s="7" t="s">
        <v>1014</v>
      </c>
      <c r="B1002" s="8">
        <v>17.989999771118164</v>
      </c>
    </row>
    <row r="1003" spans="1:2" x14ac:dyDescent="0.3">
      <c r="A1003" s="7" t="s">
        <v>1015</v>
      </c>
      <c r="B1003" s="8">
        <v>17.850000381469727</v>
      </c>
    </row>
    <row r="1004" spans="1:2" x14ac:dyDescent="0.3">
      <c r="A1004" s="7" t="s">
        <v>1016</v>
      </c>
      <c r="B1004" s="8">
        <v>17.784999847412109</v>
      </c>
    </row>
    <row r="1005" spans="1:2" x14ac:dyDescent="0.3">
      <c r="A1005" s="7" t="s">
        <v>1017</v>
      </c>
      <c r="B1005" s="8">
        <v>17.799999237060547</v>
      </c>
    </row>
    <row r="1006" spans="1:2" x14ac:dyDescent="0.3">
      <c r="A1006" s="7" t="s">
        <v>1018</v>
      </c>
      <c r="B1006" s="8">
        <v>17.850000381469727</v>
      </c>
    </row>
    <row r="1007" spans="1:2" x14ac:dyDescent="0.3">
      <c r="A1007" s="7" t="s">
        <v>1019</v>
      </c>
      <c r="B1007" s="8">
        <v>17.850000381469727</v>
      </c>
    </row>
    <row r="1008" spans="1:2" x14ac:dyDescent="0.3">
      <c r="A1008" s="7" t="s">
        <v>1020</v>
      </c>
      <c r="B1008" s="8">
        <v>17.850000381469727</v>
      </c>
    </row>
    <row r="1009" spans="1:2" x14ac:dyDescent="0.3">
      <c r="A1009" s="7" t="s">
        <v>1021</v>
      </c>
      <c r="B1009" s="8">
        <v>17.850000381469727</v>
      </c>
    </row>
    <row r="1010" spans="1:2" x14ac:dyDescent="0.3">
      <c r="A1010" s="7" t="s">
        <v>1022</v>
      </c>
      <c r="B1010" s="8">
        <v>17.899999618530273</v>
      </c>
    </row>
    <row r="1011" spans="1:2" x14ac:dyDescent="0.3">
      <c r="A1011" s="7" t="s">
        <v>1023</v>
      </c>
      <c r="B1011" s="8">
        <v>17.899999618530273</v>
      </c>
    </row>
    <row r="1012" spans="1:2" x14ac:dyDescent="0.3">
      <c r="A1012" s="7" t="s">
        <v>1024</v>
      </c>
      <c r="B1012" s="8">
        <v>17.899999618530273</v>
      </c>
    </row>
    <row r="1013" spans="1:2" x14ac:dyDescent="0.3">
      <c r="A1013" s="7" t="s">
        <v>1025</v>
      </c>
      <c r="B1013" s="8">
        <v>17.899999618530273</v>
      </c>
    </row>
    <row r="1014" spans="1:2" x14ac:dyDescent="0.3">
      <c r="A1014" s="7" t="s">
        <v>1026</v>
      </c>
      <c r="B1014" s="8">
        <v>17.899999618530273</v>
      </c>
    </row>
    <row r="1015" spans="1:2" x14ac:dyDescent="0.3">
      <c r="A1015" s="7" t="s">
        <v>1027</v>
      </c>
      <c r="B1015" s="8">
        <v>17.899999618530273</v>
      </c>
    </row>
    <row r="1016" spans="1:2" x14ac:dyDescent="0.3">
      <c r="A1016" s="7" t="s">
        <v>1028</v>
      </c>
      <c r="B1016" s="8">
        <v>17.899999618530273</v>
      </c>
    </row>
    <row r="1017" spans="1:2" x14ac:dyDescent="0.3">
      <c r="A1017" s="7" t="s">
        <v>1029</v>
      </c>
      <c r="B1017" s="8">
        <v>17.350000381469727</v>
      </c>
    </row>
    <row r="1018" spans="1:2" x14ac:dyDescent="0.3">
      <c r="A1018" s="7" t="s">
        <v>1030</v>
      </c>
      <c r="B1018" s="8">
        <v>17.25</v>
      </c>
    </row>
    <row r="1019" spans="1:2" x14ac:dyDescent="0.3">
      <c r="A1019" s="7" t="s">
        <v>1031</v>
      </c>
      <c r="B1019" s="8">
        <v>17.399999618530273</v>
      </c>
    </row>
    <row r="1020" spans="1:2" x14ac:dyDescent="0.3">
      <c r="A1020" s="7" t="s">
        <v>1032</v>
      </c>
      <c r="B1020" s="8">
        <v>17.549999237060547</v>
      </c>
    </row>
    <row r="1021" spans="1:2" x14ac:dyDescent="0.3">
      <c r="A1021" s="7" t="s">
        <v>1033</v>
      </c>
      <c r="B1021" s="8">
        <v>17.5</v>
      </c>
    </row>
    <row r="1022" spans="1:2" x14ac:dyDescent="0.3">
      <c r="A1022" s="7" t="s">
        <v>1034</v>
      </c>
      <c r="B1022" s="8">
        <v>17.5</v>
      </c>
    </row>
    <row r="1023" spans="1:2" x14ac:dyDescent="0.3">
      <c r="A1023" s="7" t="s">
        <v>1035</v>
      </c>
      <c r="B1023" s="8">
        <v>17.5</v>
      </c>
    </row>
    <row r="1024" spans="1:2" x14ac:dyDescent="0.3">
      <c r="A1024" s="7" t="s">
        <v>1036</v>
      </c>
      <c r="B1024" s="8">
        <v>17.5</v>
      </c>
    </row>
    <row r="1025" spans="1:2" x14ac:dyDescent="0.3">
      <c r="A1025" s="7" t="s">
        <v>1037</v>
      </c>
      <c r="B1025" s="8">
        <v>17.399999618530273</v>
      </c>
    </row>
    <row r="1026" spans="1:2" x14ac:dyDescent="0.3">
      <c r="A1026" s="7" t="s">
        <v>1038</v>
      </c>
      <c r="B1026" s="8">
        <v>17.450000762939453</v>
      </c>
    </row>
    <row r="1027" spans="1:2" x14ac:dyDescent="0.3">
      <c r="A1027" s="7" t="s">
        <v>1039</v>
      </c>
      <c r="B1027" s="8">
        <v>17.399999618530273</v>
      </c>
    </row>
    <row r="1028" spans="1:2" x14ac:dyDescent="0.3">
      <c r="A1028" s="7" t="s">
        <v>1040</v>
      </c>
      <c r="B1028" s="8">
        <v>17.399999618530273</v>
      </c>
    </row>
    <row r="1029" spans="1:2" x14ac:dyDescent="0.3">
      <c r="A1029" s="7" t="s">
        <v>1041</v>
      </c>
      <c r="B1029" s="8">
        <v>17.399999618530273</v>
      </c>
    </row>
    <row r="1030" spans="1:2" x14ac:dyDescent="0.3">
      <c r="A1030" s="7" t="s">
        <v>1042</v>
      </c>
      <c r="B1030" s="8">
        <v>17.399999618530273</v>
      </c>
    </row>
    <row r="1031" spans="1:2" x14ac:dyDescent="0.3">
      <c r="A1031" s="7" t="s">
        <v>1043</v>
      </c>
      <c r="B1031" s="8">
        <v>17.430000305175781</v>
      </c>
    </row>
    <row r="1032" spans="1:2" x14ac:dyDescent="0.3">
      <c r="A1032" s="7" t="s">
        <v>1044</v>
      </c>
      <c r="B1032" s="8">
        <v>17.600000381469727</v>
      </c>
    </row>
    <row r="1033" spans="1:2" x14ac:dyDescent="0.3">
      <c r="A1033" s="7" t="s">
        <v>1045</v>
      </c>
      <c r="B1033" s="8">
        <v>17.600000381469727</v>
      </c>
    </row>
    <row r="1034" spans="1:2" x14ac:dyDescent="0.3">
      <c r="A1034" s="7" t="s">
        <v>1046</v>
      </c>
      <c r="B1034" s="8">
        <v>17.5</v>
      </c>
    </row>
    <row r="1035" spans="1:2" x14ac:dyDescent="0.3">
      <c r="A1035" s="7" t="s">
        <v>1047</v>
      </c>
      <c r="B1035" s="8">
        <v>17.399999618530273</v>
      </c>
    </row>
    <row r="1036" spans="1:2" x14ac:dyDescent="0.3">
      <c r="A1036" s="7" t="s">
        <v>1048</v>
      </c>
      <c r="B1036" s="8">
        <v>17.399999618530273</v>
      </c>
    </row>
    <row r="1037" spans="1:2" x14ac:dyDescent="0.3">
      <c r="A1037" s="7" t="s">
        <v>1049</v>
      </c>
      <c r="B1037" s="8">
        <v>17.399999618530273</v>
      </c>
    </row>
    <row r="1038" spans="1:2" x14ac:dyDescent="0.3">
      <c r="A1038" s="7" t="s">
        <v>1050</v>
      </c>
      <c r="B1038" s="8">
        <v>17.450000762939453</v>
      </c>
    </row>
    <row r="1039" spans="1:2" x14ac:dyDescent="0.3">
      <c r="A1039" s="7" t="s">
        <v>1051</v>
      </c>
      <c r="B1039" s="8">
        <v>17.450000762939453</v>
      </c>
    </row>
    <row r="1040" spans="1:2" x14ac:dyDescent="0.3">
      <c r="A1040" s="7" t="s">
        <v>1052</v>
      </c>
      <c r="B1040" s="8">
        <v>17.399999618530273</v>
      </c>
    </row>
    <row r="1041" spans="1:2" x14ac:dyDescent="0.3">
      <c r="A1041" s="7" t="s">
        <v>1053</v>
      </c>
      <c r="B1041" s="8">
        <v>17.399999618530273</v>
      </c>
    </row>
    <row r="1042" spans="1:2" x14ac:dyDescent="0.3">
      <c r="A1042" s="7" t="s">
        <v>1054</v>
      </c>
      <c r="B1042" s="8">
        <v>17.399999618530273</v>
      </c>
    </row>
    <row r="1043" spans="1:2" x14ac:dyDescent="0.3">
      <c r="A1043" s="7" t="s">
        <v>1055</v>
      </c>
      <c r="B1043" s="8">
        <v>17.399999618530273</v>
      </c>
    </row>
    <row r="1044" spans="1:2" x14ac:dyDescent="0.3">
      <c r="A1044" s="7" t="s">
        <v>1056</v>
      </c>
      <c r="B1044" s="8">
        <v>17.399999618530273</v>
      </c>
    </row>
    <row r="1045" spans="1:2" x14ac:dyDescent="0.3">
      <c r="A1045" s="7" t="s">
        <v>1057</v>
      </c>
      <c r="B1045" s="8">
        <v>17.350000381469727</v>
      </c>
    </row>
    <row r="1046" spans="1:2" x14ac:dyDescent="0.3">
      <c r="A1046" s="7" t="s">
        <v>1058</v>
      </c>
      <c r="B1046" s="8">
        <v>17.299999237060547</v>
      </c>
    </row>
    <row r="1047" spans="1:2" x14ac:dyDescent="0.3">
      <c r="A1047" s="7" t="s">
        <v>1059</v>
      </c>
      <c r="B1047" s="8">
        <v>17.25</v>
      </c>
    </row>
    <row r="1048" spans="1:2" x14ac:dyDescent="0.3">
      <c r="A1048" s="7" t="s">
        <v>1060</v>
      </c>
      <c r="B1048" s="8">
        <v>17.200000762939453</v>
      </c>
    </row>
    <row r="1049" spans="1:2" x14ac:dyDescent="0.3">
      <c r="A1049" s="7" t="s">
        <v>1061</v>
      </c>
      <c r="B1049" s="8">
        <v>17.200000762939453</v>
      </c>
    </row>
    <row r="1050" spans="1:2" x14ac:dyDescent="0.3">
      <c r="A1050" s="7" t="s">
        <v>1062</v>
      </c>
      <c r="B1050" s="8">
        <v>17.200000762939453</v>
      </c>
    </row>
    <row r="1051" spans="1:2" x14ac:dyDescent="0.3">
      <c r="A1051" s="7" t="s">
        <v>1063</v>
      </c>
      <c r="B1051" s="8">
        <v>17.200000762939453</v>
      </c>
    </row>
    <row r="1052" spans="1:2" x14ac:dyDescent="0.3">
      <c r="A1052" s="7" t="s">
        <v>1064</v>
      </c>
      <c r="B1052" s="8">
        <v>17.299999237060547</v>
      </c>
    </row>
    <row r="1053" spans="1:2" x14ac:dyDescent="0.3">
      <c r="A1053" s="7" t="s">
        <v>1065</v>
      </c>
      <c r="B1053" s="8">
        <v>17.350000381469727</v>
      </c>
    </row>
    <row r="1054" spans="1:2" x14ac:dyDescent="0.3">
      <c r="A1054" s="7" t="s">
        <v>1066</v>
      </c>
      <c r="B1054" s="8">
        <v>17.399999618530273</v>
      </c>
    </row>
    <row r="1055" spans="1:2" x14ac:dyDescent="0.3">
      <c r="A1055" s="7" t="s">
        <v>1067</v>
      </c>
      <c r="B1055" s="8">
        <v>17.5</v>
      </c>
    </row>
    <row r="1056" spans="1:2" x14ac:dyDescent="0.3">
      <c r="A1056" s="7" t="s">
        <v>1068</v>
      </c>
      <c r="B1056" s="8">
        <v>17.5</v>
      </c>
    </row>
    <row r="1057" spans="1:2" x14ac:dyDescent="0.3">
      <c r="A1057" s="7" t="s">
        <v>1069</v>
      </c>
      <c r="B1057" s="8">
        <v>17.5</v>
      </c>
    </row>
    <row r="1058" spans="1:2" x14ac:dyDescent="0.3">
      <c r="A1058" s="7" t="s">
        <v>1070</v>
      </c>
      <c r="B1058" s="8">
        <v>17.5</v>
      </c>
    </row>
    <row r="1059" spans="1:2" x14ac:dyDescent="0.3">
      <c r="A1059" s="7" t="s">
        <v>1071</v>
      </c>
      <c r="B1059" s="8">
        <v>17.700000762939453</v>
      </c>
    </row>
    <row r="1060" spans="1:2" x14ac:dyDescent="0.3">
      <c r="A1060" s="7" t="s">
        <v>1072</v>
      </c>
      <c r="B1060" s="8">
        <v>17.799999237060547</v>
      </c>
    </row>
    <row r="1061" spans="1:2" x14ac:dyDescent="0.3">
      <c r="A1061" s="7" t="s">
        <v>1073</v>
      </c>
      <c r="B1061" s="8">
        <v>17.799999237060547</v>
      </c>
    </row>
    <row r="1062" spans="1:2" x14ac:dyDescent="0.3">
      <c r="A1062" s="7" t="s">
        <v>1074</v>
      </c>
      <c r="B1062" s="8">
        <v>17.700000762939453</v>
      </c>
    </row>
    <row r="1063" spans="1:2" x14ac:dyDescent="0.3">
      <c r="A1063" s="7" t="s">
        <v>1075</v>
      </c>
      <c r="B1063" s="8">
        <v>17.5</v>
      </c>
    </row>
    <row r="1064" spans="1:2" x14ac:dyDescent="0.3">
      <c r="A1064" s="7" t="s">
        <v>1076</v>
      </c>
      <c r="B1064" s="8">
        <v>17.5</v>
      </c>
    </row>
    <row r="1065" spans="1:2" x14ac:dyDescent="0.3">
      <c r="A1065" s="7" t="s">
        <v>1077</v>
      </c>
      <c r="B1065" s="8">
        <v>17.5</v>
      </c>
    </row>
    <row r="1066" spans="1:2" x14ac:dyDescent="0.3">
      <c r="A1066" s="7" t="s">
        <v>1078</v>
      </c>
      <c r="B1066" s="8">
        <v>17.600000381469727</v>
      </c>
    </row>
    <row r="1067" spans="1:2" x14ac:dyDescent="0.3">
      <c r="A1067" s="7" t="s">
        <v>1079</v>
      </c>
      <c r="B1067" s="8">
        <v>17.600000381469727</v>
      </c>
    </row>
    <row r="1068" spans="1:2" x14ac:dyDescent="0.3">
      <c r="A1068" s="7" t="s">
        <v>1080</v>
      </c>
      <c r="B1068" s="8">
        <v>17.549999237060547</v>
      </c>
    </row>
    <row r="1069" spans="1:2" x14ac:dyDescent="0.3">
      <c r="A1069" s="7" t="s">
        <v>1081</v>
      </c>
      <c r="B1069" s="8">
        <v>17.600000381469727</v>
      </c>
    </row>
    <row r="1070" spans="1:2" x14ac:dyDescent="0.3">
      <c r="A1070" s="7" t="s">
        <v>1082</v>
      </c>
      <c r="B1070" s="8">
        <v>17.649999618530273</v>
      </c>
    </row>
    <row r="1071" spans="1:2" x14ac:dyDescent="0.3">
      <c r="A1071" s="7" t="s">
        <v>1083</v>
      </c>
      <c r="B1071" s="8">
        <v>17.649999618530273</v>
      </c>
    </row>
    <row r="1072" spans="1:2" x14ac:dyDescent="0.3">
      <c r="A1072" s="7" t="s">
        <v>1084</v>
      </c>
      <c r="B1072" s="8">
        <v>17.649999618530273</v>
      </c>
    </row>
    <row r="1073" spans="1:2" x14ac:dyDescent="0.3">
      <c r="A1073" s="7" t="s">
        <v>1085</v>
      </c>
      <c r="B1073" s="8">
        <v>17.700000762939453</v>
      </c>
    </row>
    <row r="1074" spans="1:2" x14ac:dyDescent="0.3">
      <c r="A1074" s="7" t="s">
        <v>1086</v>
      </c>
      <c r="B1074" s="8">
        <v>17.649999618530273</v>
      </c>
    </row>
    <row r="1075" spans="1:2" x14ac:dyDescent="0.3">
      <c r="A1075" s="7" t="s">
        <v>1087</v>
      </c>
      <c r="B1075" s="8">
        <v>17.649999618530273</v>
      </c>
    </row>
    <row r="1076" spans="1:2" x14ac:dyDescent="0.3">
      <c r="A1076" s="7" t="s">
        <v>1088</v>
      </c>
      <c r="B1076" s="8">
        <v>17.600000381469727</v>
      </c>
    </row>
    <row r="1077" spans="1:2" x14ac:dyDescent="0.3">
      <c r="A1077" s="7" t="s">
        <v>1089</v>
      </c>
      <c r="B1077" s="8">
        <v>17.549999237060547</v>
      </c>
    </row>
    <row r="1078" spans="1:2" x14ac:dyDescent="0.3">
      <c r="A1078" s="7" t="s">
        <v>1090</v>
      </c>
      <c r="B1078" s="8">
        <v>17.549999237060547</v>
      </c>
    </row>
    <row r="1079" spans="1:2" x14ac:dyDescent="0.3">
      <c r="A1079" s="7" t="s">
        <v>1091</v>
      </c>
      <c r="B1079" s="8">
        <v>17.549999237060547</v>
      </c>
    </row>
    <row r="1080" spans="1:2" x14ac:dyDescent="0.3">
      <c r="A1080" s="7" t="s">
        <v>1092</v>
      </c>
      <c r="B1080" s="8">
        <v>17.549999237060547</v>
      </c>
    </row>
    <row r="1081" spans="1:2" x14ac:dyDescent="0.3">
      <c r="A1081" s="7" t="s">
        <v>1093</v>
      </c>
      <c r="B1081" s="8">
        <v>17.600000381469727</v>
      </c>
    </row>
    <row r="1082" spans="1:2" x14ac:dyDescent="0.3">
      <c r="A1082" s="7" t="s">
        <v>1094</v>
      </c>
      <c r="B1082" s="8">
        <v>17.549999237060547</v>
      </c>
    </row>
    <row r="1083" spans="1:2" x14ac:dyDescent="0.3">
      <c r="A1083" s="7" t="s">
        <v>1095</v>
      </c>
      <c r="B1083" s="8">
        <v>17.649999618530273</v>
      </c>
    </row>
    <row r="1084" spans="1:2" x14ac:dyDescent="0.3">
      <c r="A1084" s="7" t="s">
        <v>1096</v>
      </c>
      <c r="B1084" s="8">
        <v>17.649999618530273</v>
      </c>
    </row>
    <row r="1085" spans="1:2" x14ac:dyDescent="0.3">
      <c r="A1085" s="7" t="s">
        <v>1097</v>
      </c>
      <c r="B1085" s="8">
        <v>17.649999618530273</v>
      </c>
    </row>
    <row r="1086" spans="1:2" x14ac:dyDescent="0.3">
      <c r="A1086" s="7" t="s">
        <v>1098</v>
      </c>
      <c r="B1086" s="8">
        <v>17.649999618530273</v>
      </c>
    </row>
    <row r="1087" spans="1:2" x14ac:dyDescent="0.3">
      <c r="A1087" s="7" t="s">
        <v>1099</v>
      </c>
      <c r="B1087" s="8">
        <v>17.600000381469727</v>
      </c>
    </row>
    <row r="1088" spans="1:2" x14ac:dyDescent="0.3">
      <c r="A1088" s="7" t="s">
        <v>1100</v>
      </c>
      <c r="B1088" s="8">
        <v>17.700000762939453</v>
      </c>
    </row>
    <row r="1089" spans="1:2" x14ac:dyDescent="0.3">
      <c r="A1089" s="7" t="s">
        <v>1101</v>
      </c>
      <c r="B1089" s="8">
        <v>17.700000762939453</v>
      </c>
    </row>
    <row r="1090" spans="1:2" x14ac:dyDescent="0.3">
      <c r="A1090" s="7" t="s">
        <v>1102</v>
      </c>
      <c r="B1090" s="8">
        <v>17.850000381469727</v>
      </c>
    </row>
    <row r="1091" spans="1:2" x14ac:dyDescent="0.3">
      <c r="A1091" s="7" t="s">
        <v>1103</v>
      </c>
      <c r="B1091" s="8">
        <v>17.850000381469727</v>
      </c>
    </row>
    <row r="1092" spans="1:2" x14ac:dyDescent="0.3">
      <c r="A1092" s="7" t="s">
        <v>1104</v>
      </c>
      <c r="B1092" s="8">
        <v>17.850000381469727</v>
      </c>
    </row>
    <row r="1093" spans="1:2" x14ac:dyDescent="0.3">
      <c r="A1093" s="7" t="s">
        <v>1105</v>
      </c>
      <c r="B1093" s="8">
        <v>17.850000381469727</v>
      </c>
    </row>
    <row r="1094" spans="1:2" x14ac:dyDescent="0.3">
      <c r="A1094" s="7" t="s">
        <v>1106</v>
      </c>
      <c r="B1094" s="8">
        <v>17.850000381469727</v>
      </c>
    </row>
    <row r="1095" spans="1:2" x14ac:dyDescent="0.3">
      <c r="A1095" s="7" t="s">
        <v>1107</v>
      </c>
      <c r="B1095" s="8">
        <v>17.850000381469727</v>
      </c>
    </row>
    <row r="1096" spans="1:2" x14ac:dyDescent="0.3">
      <c r="A1096" s="7" t="s">
        <v>1108</v>
      </c>
      <c r="B1096" s="8">
        <v>17.799999237060547</v>
      </c>
    </row>
    <row r="1097" spans="1:2" x14ac:dyDescent="0.3">
      <c r="A1097" s="7" t="s">
        <v>1109</v>
      </c>
      <c r="B1097" s="8">
        <v>17.75</v>
      </c>
    </row>
    <row r="1098" spans="1:2" x14ac:dyDescent="0.3">
      <c r="A1098" s="7" t="s">
        <v>1110</v>
      </c>
      <c r="B1098" s="8">
        <v>17.850000381469727</v>
      </c>
    </row>
    <row r="1099" spans="1:2" x14ac:dyDescent="0.3">
      <c r="A1099" s="7" t="s">
        <v>1111</v>
      </c>
      <c r="B1099" s="8">
        <v>17.850000381469727</v>
      </c>
    </row>
    <row r="1100" spans="1:2" x14ac:dyDescent="0.3">
      <c r="A1100" s="7" t="s">
        <v>1112</v>
      </c>
      <c r="B1100" s="8">
        <v>17.850000381469727</v>
      </c>
    </row>
    <row r="1101" spans="1:2" x14ac:dyDescent="0.3">
      <c r="A1101" s="7" t="s">
        <v>1113</v>
      </c>
      <c r="B1101" s="8">
        <v>17.850000381469727</v>
      </c>
    </row>
    <row r="1102" spans="1:2" x14ac:dyDescent="0.3">
      <c r="A1102" s="7" t="s">
        <v>1114</v>
      </c>
      <c r="B1102" s="8">
        <v>17.850000381469727</v>
      </c>
    </row>
    <row r="1103" spans="1:2" x14ac:dyDescent="0.3">
      <c r="A1103" s="7" t="s">
        <v>1115</v>
      </c>
      <c r="B1103" s="8">
        <v>17.75</v>
      </c>
    </row>
    <row r="1104" spans="1:2" x14ac:dyDescent="0.3">
      <c r="A1104" s="7" t="s">
        <v>1116</v>
      </c>
      <c r="B1104" s="8">
        <v>17.75</v>
      </c>
    </row>
    <row r="1105" spans="1:2" x14ac:dyDescent="0.3">
      <c r="A1105" s="7" t="s">
        <v>1117</v>
      </c>
      <c r="B1105" s="8">
        <v>17.700000762939453</v>
      </c>
    </row>
    <row r="1106" spans="1:2" x14ac:dyDescent="0.3">
      <c r="A1106" s="7" t="s">
        <v>1118</v>
      </c>
      <c r="B1106" s="8">
        <v>17.700000762939453</v>
      </c>
    </row>
    <row r="1107" spans="1:2" x14ac:dyDescent="0.3">
      <c r="A1107" s="7" t="s">
        <v>1119</v>
      </c>
      <c r="B1107" s="8">
        <v>17.700000762939453</v>
      </c>
    </row>
    <row r="1108" spans="1:2" x14ac:dyDescent="0.3">
      <c r="A1108" s="7" t="s">
        <v>1120</v>
      </c>
      <c r="B1108" s="8">
        <v>17.700000762939453</v>
      </c>
    </row>
    <row r="1109" spans="1:2" x14ac:dyDescent="0.3">
      <c r="A1109" s="7" t="s">
        <v>1121</v>
      </c>
      <c r="B1109" s="8">
        <v>17.700000762939453</v>
      </c>
    </row>
    <row r="1110" spans="1:2" x14ac:dyDescent="0.3">
      <c r="A1110" s="7" t="s">
        <v>1122</v>
      </c>
      <c r="B1110" s="8">
        <v>17.700000762939453</v>
      </c>
    </row>
    <row r="1111" spans="1:2" x14ac:dyDescent="0.3">
      <c r="A1111" s="7" t="s">
        <v>1123</v>
      </c>
      <c r="B1111" s="8">
        <v>17.700000762939453</v>
      </c>
    </row>
    <row r="1112" spans="1:2" x14ac:dyDescent="0.3">
      <c r="A1112" s="7" t="s">
        <v>1124</v>
      </c>
      <c r="B1112" s="8">
        <v>17.700000762939453</v>
      </c>
    </row>
    <row r="1113" spans="1:2" x14ac:dyDescent="0.3">
      <c r="A1113" s="7" t="s">
        <v>1125</v>
      </c>
      <c r="B1113" s="8">
        <v>17.700000762939453</v>
      </c>
    </row>
    <row r="1114" spans="1:2" x14ac:dyDescent="0.3">
      <c r="A1114" s="7" t="s">
        <v>1126</v>
      </c>
      <c r="B1114" s="8">
        <v>17.700000762939453</v>
      </c>
    </row>
    <row r="1115" spans="1:2" x14ac:dyDescent="0.3">
      <c r="A1115" s="7" t="s">
        <v>1127</v>
      </c>
      <c r="B1115" s="8">
        <v>17.700000762939453</v>
      </c>
    </row>
    <row r="1116" spans="1:2" x14ac:dyDescent="0.3">
      <c r="A1116" s="7" t="s">
        <v>1128</v>
      </c>
      <c r="B1116" s="8">
        <v>17.700000762939453</v>
      </c>
    </row>
    <row r="1117" spans="1:2" x14ac:dyDescent="0.3">
      <c r="A1117" s="7" t="s">
        <v>1129</v>
      </c>
      <c r="B1117" s="8">
        <v>17.649999618530273</v>
      </c>
    </row>
    <row r="1118" spans="1:2" x14ac:dyDescent="0.3">
      <c r="A1118" s="7" t="s">
        <v>1130</v>
      </c>
      <c r="B1118" s="8">
        <v>17.649999618530273</v>
      </c>
    </row>
    <row r="1119" spans="1:2" x14ac:dyDescent="0.3">
      <c r="A1119" s="7" t="s">
        <v>1131</v>
      </c>
      <c r="B1119" s="8">
        <v>17.549999237060547</v>
      </c>
    </row>
    <row r="1120" spans="1:2" x14ac:dyDescent="0.3">
      <c r="A1120" s="7" t="s">
        <v>1132</v>
      </c>
      <c r="B1120" s="8">
        <v>17.549999237060547</v>
      </c>
    </row>
    <row r="1121" spans="1:2" x14ac:dyDescent="0.3">
      <c r="A1121" s="7" t="s">
        <v>1133</v>
      </c>
      <c r="B1121" s="8">
        <v>17.549999237060547</v>
      </c>
    </row>
    <row r="1122" spans="1:2" x14ac:dyDescent="0.3">
      <c r="A1122" s="7" t="s">
        <v>1134</v>
      </c>
      <c r="B1122" s="8">
        <v>17.5</v>
      </c>
    </row>
    <row r="1123" spans="1:2" x14ac:dyDescent="0.3">
      <c r="A1123" s="7" t="s">
        <v>1135</v>
      </c>
      <c r="B1123" s="8">
        <v>17.549999237060547</v>
      </c>
    </row>
    <row r="1124" spans="1:2" x14ac:dyDescent="0.3">
      <c r="A1124" s="7" t="s">
        <v>1136</v>
      </c>
      <c r="B1124" s="8">
        <v>17.600000381469727</v>
      </c>
    </row>
    <row r="1125" spans="1:2" x14ac:dyDescent="0.3">
      <c r="A1125" s="7" t="s">
        <v>1137</v>
      </c>
      <c r="B1125" s="8">
        <v>17.5</v>
      </c>
    </row>
    <row r="1126" spans="1:2" x14ac:dyDescent="0.3">
      <c r="A1126" s="7" t="s">
        <v>1138</v>
      </c>
      <c r="B1126" s="8">
        <v>17.450000762939453</v>
      </c>
    </row>
    <row r="1127" spans="1:2" x14ac:dyDescent="0.3">
      <c r="A1127" s="7" t="s">
        <v>1139</v>
      </c>
      <c r="B1127" s="8">
        <v>17.450000762939453</v>
      </c>
    </row>
    <row r="1128" spans="1:2" x14ac:dyDescent="0.3">
      <c r="A1128" s="7" t="s">
        <v>1140</v>
      </c>
      <c r="B1128" s="8">
        <v>17.450000762939453</v>
      </c>
    </row>
    <row r="1129" spans="1:2" x14ac:dyDescent="0.3">
      <c r="A1129" s="7" t="s">
        <v>1141</v>
      </c>
      <c r="B1129" s="8">
        <v>17.549999237060547</v>
      </c>
    </row>
    <row r="1130" spans="1:2" x14ac:dyDescent="0.3">
      <c r="A1130" s="7" t="s">
        <v>1142</v>
      </c>
      <c r="B1130" s="8">
        <v>17.5</v>
      </c>
    </row>
    <row r="1131" spans="1:2" x14ac:dyDescent="0.3">
      <c r="A1131" s="7" t="s">
        <v>1143</v>
      </c>
      <c r="B1131" s="8">
        <v>17.450000762939453</v>
      </c>
    </row>
    <row r="1132" spans="1:2" x14ac:dyDescent="0.3">
      <c r="A1132" s="7" t="s">
        <v>1144</v>
      </c>
      <c r="B1132" s="8">
        <v>17.5</v>
      </c>
    </row>
    <row r="1133" spans="1:2" x14ac:dyDescent="0.3">
      <c r="A1133" s="7" t="s">
        <v>1145</v>
      </c>
      <c r="B1133" s="8">
        <v>17.5</v>
      </c>
    </row>
    <row r="1134" spans="1:2" x14ac:dyDescent="0.3">
      <c r="A1134" s="7" t="s">
        <v>1146</v>
      </c>
      <c r="B1134" s="8">
        <v>17.5</v>
      </c>
    </row>
    <row r="1135" spans="1:2" x14ac:dyDescent="0.3">
      <c r="A1135" s="7" t="s">
        <v>1147</v>
      </c>
      <c r="B1135" s="8">
        <v>17.5</v>
      </c>
    </row>
    <row r="1136" spans="1:2" x14ac:dyDescent="0.3">
      <c r="A1136" s="7" t="s">
        <v>1148</v>
      </c>
      <c r="B1136" s="8">
        <v>17.450000762939453</v>
      </c>
    </row>
    <row r="1137" spans="1:2" x14ac:dyDescent="0.3">
      <c r="A1137" s="7" t="s">
        <v>1149</v>
      </c>
      <c r="B1137" s="8">
        <v>17.344999313354492</v>
      </c>
    </row>
    <row r="1138" spans="1:2" x14ac:dyDescent="0.3">
      <c r="A1138" s="7" t="s">
        <v>1150</v>
      </c>
      <c r="B1138" s="8">
        <v>17.280000686645508</v>
      </c>
    </row>
    <row r="1139" spans="1:2" x14ac:dyDescent="0.3">
      <c r="A1139" s="7" t="s">
        <v>1151</v>
      </c>
      <c r="B1139" s="8">
        <v>17.450000762939453</v>
      </c>
    </row>
    <row r="1140" spans="1:2" x14ac:dyDescent="0.3">
      <c r="A1140" s="7" t="s">
        <v>1152</v>
      </c>
      <c r="B1140" s="8">
        <v>17.514999389648438</v>
      </c>
    </row>
    <row r="1141" spans="1:2" x14ac:dyDescent="0.3">
      <c r="A1141" s="7" t="s">
        <v>1153</v>
      </c>
      <c r="B1141" s="8">
        <v>17.514999389648438</v>
      </c>
    </row>
    <row r="1142" spans="1:2" x14ac:dyDescent="0.3">
      <c r="A1142" s="7" t="s">
        <v>1154</v>
      </c>
      <c r="B1142" s="8">
        <v>17.514999389648438</v>
      </c>
    </row>
    <row r="1143" spans="1:2" x14ac:dyDescent="0.3">
      <c r="A1143" s="7" t="s">
        <v>1155</v>
      </c>
      <c r="B1143" s="8">
        <v>17.572000503540039</v>
      </c>
    </row>
    <row r="1144" spans="1:2" x14ac:dyDescent="0.3">
      <c r="A1144" s="7" t="s">
        <v>1156</v>
      </c>
      <c r="B1144" s="8">
        <v>17.700000762939453</v>
      </c>
    </row>
    <row r="1145" spans="1:2" x14ac:dyDescent="0.3">
      <c r="A1145" s="7" t="s">
        <v>1157</v>
      </c>
      <c r="B1145" s="8">
        <v>17.760000228881836</v>
      </c>
    </row>
    <row r="1146" spans="1:2" x14ac:dyDescent="0.3">
      <c r="A1146" s="7" t="s">
        <v>1158</v>
      </c>
      <c r="B1146" s="8">
        <v>17.934999465942383</v>
      </c>
    </row>
    <row r="1147" spans="1:2" x14ac:dyDescent="0.3">
      <c r="A1147" s="7" t="s">
        <v>1159</v>
      </c>
      <c r="B1147" s="8">
        <v>18.069999694824219</v>
      </c>
    </row>
    <row r="1148" spans="1:2" x14ac:dyDescent="0.3">
      <c r="A1148" s="7" t="s">
        <v>1160</v>
      </c>
      <c r="B1148" s="8">
        <v>18.069999694824219</v>
      </c>
    </row>
    <row r="1149" spans="1:2" x14ac:dyDescent="0.3">
      <c r="A1149" s="7" t="s">
        <v>1161</v>
      </c>
      <c r="B1149" s="8">
        <v>18.069999694824219</v>
      </c>
    </row>
    <row r="1150" spans="1:2" x14ac:dyDescent="0.3">
      <c r="A1150" s="7" t="s">
        <v>1162</v>
      </c>
      <c r="B1150" s="8">
        <v>18.069999694824219</v>
      </c>
    </row>
    <row r="1151" spans="1:2" x14ac:dyDescent="0.3">
      <c r="A1151" s="7" t="s">
        <v>1163</v>
      </c>
      <c r="B1151" s="8">
        <v>18.334999084472656</v>
      </c>
    </row>
    <row r="1152" spans="1:2" x14ac:dyDescent="0.3">
      <c r="A1152" s="7" t="s">
        <v>1164</v>
      </c>
      <c r="B1152" s="8">
        <v>18.436000823974609</v>
      </c>
    </row>
    <row r="1153" spans="1:2" x14ac:dyDescent="0.3">
      <c r="A1153" s="7" t="s">
        <v>1165</v>
      </c>
      <c r="B1153" s="8">
        <v>19.200000762939453</v>
      </c>
    </row>
    <row r="1154" spans="1:2" x14ac:dyDescent="0.3">
      <c r="A1154" s="7" t="s">
        <v>1166</v>
      </c>
      <c r="B1154" s="8">
        <v>18.64900016784668</v>
      </c>
    </row>
    <row r="1155" spans="1:2" x14ac:dyDescent="0.3">
      <c r="A1155" s="7" t="s">
        <v>1167</v>
      </c>
      <c r="B1155" s="8">
        <v>18.64900016784668</v>
      </c>
    </row>
    <row r="1156" spans="1:2" x14ac:dyDescent="0.3">
      <c r="A1156" s="7" t="s">
        <v>1168</v>
      </c>
      <c r="B1156" s="8">
        <v>18.64900016784668</v>
      </c>
    </row>
    <row r="1157" spans="1:2" x14ac:dyDescent="0.3">
      <c r="A1157" s="7" t="s">
        <v>1169</v>
      </c>
      <c r="B1157" s="8">
        <v>18.64900016784668</v>
      </c>
    </row>
    <row r="1158" spans="1:2" x14ac:dyDescent="0.3">
      <c r="A1158" s="7" t="s">
        <v>1170</v>
      </c>
      <c r="B1158" s="8">
        <v>18.409999847412109</v>
      </c>
    </row>
    <row r="1159" spans="1:2" x14ac:dyDescent="0.3">
      <c r="A1159" s="7" t="s">
        <v>1171</v>
      </c>
      <c r="B1159" s="8">
        <v>18.444999694824219</v>
      </c>
    </row>
    <row r="1160" spans="1:2" x14ac:dyDescent="0.3">
      <c r="A1160" s="7" t="s">
        <v>1172</v>
      </c>
      <c r="B1160" s="8">
        <v>18.629999160766602</v>
      </c>
    </row>
    <row r="1161" spans="1:2" x14ac:dyDescent="0.3">
      <c r="A1161" s="7" t="s">
        <v>1173</v>
      </c>
      <c r="B1161" s="8">
        <v>18.902999877929688</v>
      </c>
    </row>
    <row r="1162" spans="1:2" x14ac:dyDescent="0.3">
      <c r="A1162" s="7" t="s">
        <v>1174</v>
      </c>
      <c r="B1162" s="8">
        <v>18.902999877929688</v>
      </c>
    </row>
    <row r="1163" spans="1:2" x14ac:dyDescent="0.3">
      <c r="A1163" s="7" t="s">
        <v>1175</v>
      </c>
      <c r="B1163" s="8">
        <v>18.902999877929688</v>
      </c>
    </row>
    <row r="1164" spans="1:2" x14ac:dyDescent="0.3">
      <c r="A1164" s="7" t="s">
        <v>1176</v>
      </c>
      <c r="B1164" s="8">
        <v>19.030000686645508</v>
      </c>
    </row>
    <row r="1165" spans="1:2" x14ac:dyDescent="0.3">
      <c r="A1165" s="7" t="s">
        <v>1177</v>
      </c>
      <c r="B1165" s="8">
        <v>18.940000534057617</v>
      </c>
    </row>
    <row r="1166" spans="1:2" x14ac:dyDescent="0.3">
      <c r="A1166" s="7" t="s">
        <v>1178</v>
      </c>
      <c r="B1166" s="8">
        <v>18.620000839233398</v>
      </c>
    </row>
    <row r="1167" spans="1:2" x14ac:dyDescent="0.3">
      <c r="A1167" s="7" t="s">
        <v>1179</v>
      </c>
      <c r="B1167" s="8">
        <v>18.709999084472656</v>
      </c>
    </row>
    <row r="1168" spans="1:2" x14ac:dyDescent="0.3">
      <c r="A1168" s="7" t="s">
        <v>1180</v>
      </c>
      <c r="B1168" s="8">
        <v>18.690000534057617</v>
      </c>
    </row>
    <row r="1169" spans="1:2" x14ac:dyDescent="0.3">
      <c r="A1169" s="7" t="s">
        <v>1181</v>
      </c>
      <c r="B1169" s="8">
        <v>18.690000534057617</v>
      </c>
    </row>
    <row r="1170" spans="1:2" x14ac:dyDescent="0.3">
      <c r="A1170" s="7" t="s">
        <v>1182</v>
      </c>
      <c r="B1170" s="8">
        <v>18.690000534057617</v>
      </c>
    </row>
    <row r="1171" spans="1:2" x14ac:dyDescent="0.3">
      <c r="A1171" s="7" t="s">
        <v>1183</v>
      </c>
      <c r="B1171" s="8">
        <v>18.690000534057617</v>
      </c>
    </row>
    <row r="1172" spans="1:2" x14ac:dyDescent="0.3">
      <c r="A1172" s="7" t="s">
        <v>1184</v>
      </c>
      <c r="B1172" s="8">
        <v>18.899999618530273</v>
      </c>
    </row>
    <row r="1173" spans="1:2" x14ac:dyDescent="0.3">
      <c r="A1173" s="7" t="s">
        <v>1185</v>
      </c>
      <c r="B1173" s="8">
        <v>18.850000381469727</v>
      </c>
    </row>
    <row r="1174" spans="1:2" x14ac:dyDescent="0.3">
      <c r="A1174" s="7" t="s">
        <v>1186</v>
      </c>
      <c r="B1174" s="8">
        <v>18.870000839233398</v>
      </c>
    </row>
    <row r="1175" spans="1:2" x14ac:dyDescent="0.3">
      <c r="A1175" s="7" t="s">
        <v>1187</v>
      </c>
      <c r="B1175" s="8">
        <v>18.995000839233398</v>
      </c>
    </row>
    <row r="1176" spans="1:2" x14ac:dyDescent="0.3">
      <c r="A1176" s="7" t="s">
        <v>1188</v>
      </c>
      <c r="B1176" s="8">
        <v>18.995000839233398</v>
      </c>
    </row>
    <row r="1177" spans="1:2" x14ac:dyDescent="0.3">
      <c r="A1177" s="7" t="s">
        <v>1189</v>
      </c>
      <c r="B1177" s="8">
        <v>18.995000839233398</v>
      </c>
    </row>
    <row r="1178" spans="1:2" x14ac:dyDescent="0.3">
      <c r="A1178" s="7" t="s">
        <v>1190</v>
      </c>
      <c r="B1178" s="8">
        <v>19.145999908447266</v>
      </c>
    </row>
    <row r="1179" spans="1:2" x14ac:dyDescent="0.3">
      <c r="A1179" s="7" t="s">
        <v>1191</v>
      </c>
      <c r="B1179" s="8">
        <v>19.334999084472656</v>
      </c>
    </row>
    <row r="1180" spans="1:2" x14ac:dyDescent="0.3">
      <c r="A1180" s="7" t="s">
        <v>1192</v>
      </c>
      <c r="B1180" s="8">
        <v>19.680000305175781</v>
      </c>
    </row>
    <row r="1181" spans="1:2" x14ac:dyDescent="0.3">
      <c r="A1181" s="7" t="s">
        <v>1193</v>
      </c>
      <c r="B1181" s="8">
        <v>19.559999465942383</v>
      </c>
    </row>
    <row r="1182" spans="1:2" x14ac:dyDescent="0.3">
      <c r="A1182" s="7" t="s">
        <v>1194</v>
      </c>
      <c r="B1182" s="8">
        <v>19.569999694824219</v>
      </c>
    </row>
    <row r="1183" spans="1:2" x14ac:dyDescent="0.3">
      <c r="A1183" s="7" t="s">
        <v>1195</v>
      </c>
      <c r="B1183" s="8">
        <v>19.569999694824219</v>
      </c>
    </row>
    <row r="1184" spans="1:2" x14ac:dyDescent="0.3">
      <c r="A1184" s="7" t="s">
        <v>1196</v>
      </c>
      <c r="B1184" s="8">
        <v>19.569999694824219</v>
      </c>
    </row>
    <row r="1185" spans="1:2" x14ac:dyDescent="0.3">
      <c r="A1185" s="7" t="s">
        <v>1197</v>
      </c>
      <c r="B1185" s="8">
        <v>19.579999923706055</v>
      </c>
    </row>
    <row r="1186" spans="1:2" x14ac:dyDescent="0.3">
      <c r="A1186" s="7" t="s">
        <v>1198</v>
      </c>
      <c r="B1186" s="8">
        <v>19.635000228881836</v>
      </c>
    </row>
    <row r="1187" spans="1:2" x14ac:dyDescent="0.3">
      <c r="A1187" s="7" t="s">
        <v>1199</v>
      </c>
      <c r="B1187" s="8">
        <v>19.649999618530273</v>
      </c>
    </row>
    <row r="1188" spans="1:2" x14ac:dyDescent="0.3">
      <c r="A1188" s="7" t="s">
        <v>1200</v>
      </c>
      <c r="B1188" s="8">
        <v>19.379999160766602</v>
      </c>
    </row>
    <row r="1189" spans="1:2" x14ac:dyDescent="0.3">
      <c r="A1189" s="7" t="s">
        <v>1201</v>
      </c>
      <c r="B1189" s="8">
        <v>19.5</v>
      </c>
    </row>
    <row r="1190" spans="1:2" x14ac:dyDescent="0.3">
      <c r="A1190" s="7" t="s">
        <v>1202</v>
      </c>
      <c r="B1190" s="8">
        <v>19.5</v>
      </c>
    </row>
    <row r="1191" spans="1:2" x14ac:dyDescent="0.3">
      <c r="A1191" s="7" t="s">
        <v>1203</v>
      </c>
      <c r="B1191" s="8">
        <v>19.5</v>
      </c>
    </row>
    <row r="1192" spans="1:2" x14ac:dyDescent="0.3">
      <c r="A1192" s="7" t="s">
        <v>1204</v>
      </c>
      <c r="B1192" s="8">
        <v>19.469999313354492</v>
      </c>
    </row>
    <row r="1193" spans="1:2" x14ac:dyDescent="0.3">
      <c r="A1193" s="7" t="s">
        <v>1205</v>
      </c>
      <c r="B1193" s="8">
        <v>19.559999465942383</v>
      </c>
    </row>
    <row r="1194" spans="1:2" x14ac:dyDescent="0.3">
      <c r="A1194" s="7" t="s">
        <v>1206</v>
      </c>
      <c r="B1194" s="8">
        <v>19.694999694824219</v>
      </c>
    </row>
    <row r="1195" spans="1:2" x14ac:dyDescent="0.3">
      <c r="A1195" s="7" t="s">
        <v>1207</v>
      </c>
      <c r="B1195" s="8">
        <v>19.969999313354492</v>
      </c>
    </row>
    <row r="1196" spans="1:2" x14ac:dyDescent="0.3">
      <c r="A1196" s="7" t="s">
        <v>1208</v>
      </c>
      <c r="B1196" s="8">
        <v>19.979999542236328</v>
      </c>
    </row>
    <row r="1197" spans="1:2" x14ac:dyDescent="0.3">
      <c r="A1197" s="7" t="s">
        <v>1209</v>
      </c>
      <c r="B1197" s="8">
        <v>19.979999542236328</v>
      </c>
    </row>
    <row r="1198" spans="1:2" x14ac:dyDescent="0.3">
      <c r="A1198" s="7" t="s">
        <v>1210</v>
      </c>
      <c r="B1198" s="8">
        <v>19.979999542236328</v>
      </c>
    </row>
    <row r="1199" spans="1:2" x14ac:dyDescent="0.3">
      <c r="A1199" s="7" t="s">
        <v>1211</v>
      </c>
      <c r="B1199" s="8">
        <v>19.979999542236328</v>
      </c>
    </row>
    <row r="1200" spans="1:2" x14ac:dyDescent="0.3">
      <c r="A1200" s="7" t="s">
        <v>1212</v>
      </c>
      <c r="B1200" s="8">
        <v>19.979999542236328</v>
      </c>
    </row>
    <row r="1201" spans="1:2" x14ac:dyDescent="0.3">
      <c r="A1201" s="7" t="s">
        <v>1213</v>
      </c>
      <c r="B1201" s="8">
        <v>19.899999618530273</v>
      </c>
    </row>
    <row r="1202" spans="1:2" x14ac:dyDescent="0.3">
      <c r="A1202" s="7" t="s">
        <v>1214</v>
      </c>
      <c r="B1202" s="8">
        <v>19.659999847412109</v>
      </c>
    </row>
    <row r="1203" spans="1:2" x14ac:dyDescent="0.3">
      <c r="A1203" s="7" t="s">
        <v>1215</v>
      </c>
      <c r="B1203" s="8">
        <v>19.760000228881836</v>
      </c>
    </row>
    <row r="1204" spans="1:2" x14ac:dyDescent="0.3">
      <c r="A1204" s="7" t="s">
        <v>1216</v>
      </c>
      <c r="B1204" s="8">
        <v>19.760000228881836</v>
      </c>
    </row>
    <row r="1205" spans="1:2" x14ac:dyDescent="0.3">
      <c r="A1205" s="7" t="s">
        <v>1217</v>
      </c>
      <c r="B1205" s="8">
        <v>19.760000228881836</v>
      </c>
    </row>
    <row r="1206" spans="1:2" x14ac:dyDescent="0.3">
      <c r="A1206" s="7" t="s">
        <v>1218</v>
      </c>
      <c r="B1206" s="8">
        <v>19.760000228881836</v>
      </c>
    </row>
    <row r="1207" spans="1:2" x14ac:dyDescent="0.3">
      <c r="A1207" s="7" t="s">
        <v>1219</v>
      </c>
      <c r="B1207" s="8">
        <v>19.850000381469727</v>
      </c>
    </row>
    <row r="1208" spans="1:2" x14ac:dyDescent="0.3">
      <c r="A1208" s="7" t="s">
        <v>1220</v>
      </c>
      <c r="B1208" s="8">
        <v>19.924999237060547</v>
      </c>
    </row>
    <row r="1209" spans="1:2" x14ac:dyDescent="0.3">
      <c r="A1209" s="7" t="s">
        <v>1221</v>
      </c>
      <c r="B1209" s="8">
        <v>19.950000762939453</v>
      </c>
    </row>
    <row r="1210" spans="1:2" x14ac:dyDescent="0.3">
      <c r="A1210" s="7" t="s">
        <v>1222</v>
      </c>
      <c r="B1210" s="8">
        <v>19.979999542236328</v>
      </c>
    </row>
    <row r="1211" spans="1:2" x14ac:dyDescent="0.3">
      <c r="A1211" s="7" t="s">
        <v>1223</v>
      </c>
      <c r="B1211" s="8">
        <v>19.979999542236328</v>
      </c>
    </row>
    <row r="1212" spans="1:2" x14ac:dyDescent="0.3">
      <c r="A1212" s="7" t="s">
        <v>1224</v>
      </c>
      <c r="B1212" s="8">
        <v>19.979999542236328</v>
      </c>
    </row>
    <row r="1213" spans="1:2" x14ac:dyDescent="0.3">
      <c r="A1213" s="7" t="s">
        <v>1225</v>
      </c>
      <c r="B1213" s="8">
        <v>20.190000534057617</v>
      </c>
    </row>
    <row r="1214" spans="1:2" x14ac:dyDescent="0.3">
      <c r="A1214" s="7" t="s">
        <v>1226</v>
      </c>
      <c r="B1214" s="8">
        <v>20.280000686645508</v>
      </c>
    </row>
    <row r="1215" spans="1:2" x14ac:dyDescent="0.3">
      <c r="A1215" s="7" t="s">
        <v>1227</v>
      </c>
      <c r="B1215" s="8">
        <v>20.110000610351563</v>
      </c>
    </row>
    <row r="1216" spans="1:2" x14ac:dyDescent="0.3">
      <c r="A1216" s="7" t="s">
        <v>1228</v>
      </c>
      <c r="B1216" s="8">
        <v>20.150999069213867</v>
      </c>
    </row>
    <row r="1217" spans="1:2" x14ac:dyDescent="0.3">
      <c r="A1217" s="7" t="s">
        <v>1229</v>
      </c>
      <c r="B1217" s="8">
        <v>20.290000915527344</v>
      </c>
    </row>
    <row r="1218" spans="1:2" x14ac:dyDescent="0.3">
      <c r="A1218" s="7" t="s">
        <v>1230</v>
      </c>
      <c r="B1218" s="8">
        <v>20.290000915527344</v>
      </c>
    </row>
    <row r="1219" spans="1:2" x14ac:dyDescent="0.3">
      <c r="A1219" s="7" t="s">
        <v>1231</v>
      </c>
      <c r="B1219" s="8">
        <v>20.290000915527344</v>
      </c>
    </row>
    <row r="1220" spans="1:2" x14ac:dyDescent="0.3">
      <c r="A1220" s="7" t="s">
        <v>1232</v>
      </c>
      <c r="B1220" s="8">
        <v>20.219999313354492</v>
      </c>
    </row>
    <row r="1221" spans="1:2" x14ac:dyDescent="0.3">
      <c r="A1221" s="7" t="s">
        <v>1233</v>
      </c>
      <c r="B1221" s="8">
        <v>20.340000152587891</v>
      </c>
    </row>
    <row r="1222" spans="1:2" x14ac:dyDescent="0.3">
      <c r="A1222" s="7" t="s">
        <v>1234</v>
      </c>
      <c r="B1222" s="8">
        <v>20.409999847412109</v>
      </c>
    </row>
    <row r="1223" spans="1:2" x14ac:dyDescent="0.3">
      <c r="A1223" s="7" t="s">
        <v>1235</v>
      </c>
      <c r="B1223" s="8">
        <v>20.360000610351563</v>
      </c>
    </row>
    <row r="1224" spans="1:2" x14ac:dyDescent="0.3">
      <c r="A1224" s="7" t="s">
        <v>1236</v>
      </c>
      <c r="B1224" s="8">
        <v>20.239999771118164</v>
      </c>
    </row>
    <row r="1225" spans="1:2" x14ac:dyDescent="0.3">
      <c r="A1225" s="7" t="s">
        <v>1237</v>
      </c>
      <c r="B1225" s="8">
        <v>20.239999771118164</v>
      </c>
    </row>
    <row r="1226" spans="1:2" x14ac:dyDescent="0.3">
      <c r="A1226" s="7" t="s">
        <v>1238</v>
      </c>
      <c r="B1226" s="8">
        <v>20.239999771118164</v>
      </c>
    </row>
    <row r="1227" spans="1:2" x14ac:dyDescent="0.3">
      <c r="A1227" s="7" t="s">
        <v>1239</v>
      </c>
      <c r="B1227" s="8">
        <v>20.200000762939453</v>
      </c>
    </row>
    <row r="1228" spans="1:2" x14ac:dyDescent="0.3">
      <c r="A1228" s="7" t="s">
        <v>1240</v>
      </c>
      <c r="B1228" s="8">
        <v>20.219999313354492</v>
      </c>
    </row>
    <row r="1229" spans="1:2" x14ac:dyDescent="0.3">
      <c r="A1229" s="7" t="s">
        <v>1241</v>
      </c>
      <c r="B1229" s="8">
        <v>20.239999771118164</v>
      </c>
    </row>
    <row r="1230" spans="1:2" x14ac:dyDescent="0.3">
      <c r="A1230" s="7" t="s">
        <v>1242</v>
      </c>
      <c r="B1230" s="8">
        <v>20.344999313354492</v>
      </c>
    </row>
    <row r="1231" spans="1:2" x14ac:dyDescent="0.3">
      <c r="A1231" s="7" t="s">
        <v>1243</v>
      </c>
      <c r="B1231" s="8">
        <v>20.190000534057617</v>
      </c>
    </row>
    <row r="1232" spans="1:2" x14ac:dyDescent="0.3">
      <c r="A1232" s="7" t="s">
        <v>1244</v>
      </c>
      <c r="B1232" s="8">
        <v>20.190000534057617</v>
      </c>
    </row>
    <row r="1233" spans="1:2" x14ac:dyDescent="0.3">
      <c r="A1233" s="7" t="s">
        <v>1245</v>
      </c>
      <c r="B1233" s="8">
        <v>20.190000534057617</v>
      </c>
    </row>
    <row r="1234" spans="1:2" x14ac:dyDescent="0.3">
      <c r="A1234" s="7" t="s">
        <v>1246</v>
      </c>
      <c r="B1234" s="8">
        <v>20.200000762939453</v>
      </c>
    </row>
    <row r="1235" spans="1:2" x14ac:dyDescent="0.3">
      <c r="A1235" s="7" t="s">
        <v>1247</v>
      </c>
      <c r="B1235" s="8">
        <v>20.264999389648438</v>
      </c>
    </row>
    <row r="1236" spans="1:2" x14ac:dyDescent="0.3">
      <c r="A1236" s="7" t="s">
        <v>1248</v>
      </c>
      <c r="B1236" s="8">
        <v>20.270000457763672</v>
      </c>
    </row>
    <row r="1237" spans="1:2" x14ac:dyDescent="0.3">
      <c r="A1237" s="7" t="s">
        <v>1249</v>
      </c>
      <c r="B1237" s="8">
        <v>20.225000381469727</v>
      </c>
    </row>
    <row r="1238" spans="1:2" x14ac:dyDescent="0.3">
      <c r="A1238" s="7" t="s">
        <v>1250</v>
      </c>
      <c r="B1238" s="8">
        <v>20.190000534057617</v>
      </c>
    </row>
    <row r="1239" spans="1:2" x14ac:dyDescent="0.3">
      <c r="A1239" s="7" t="s">
        <v>1251</v>
      </c>
      <c r="B1239" s="8">
        <v>20.190000534057617</v>
      </c>
    </row>
    <row r="1240" spans="1:2" x14ac:dyDescent="0.3">
      <c r="A1240" s="7" t="s">
        <v>1252</v>
      </c>
      <c r="B1240" s="8">
        <v>20.190000534057617</v>
      </c>
    </row>
    <row r="1241" spans="1:2" x14ac:dyDescent="0.3">
      <c r="A1241" s="7" t="s">
        <v>1253</v>
      </c>
      <c r="B1241" s="8">
        <v>20.190000534057617</v>
      </c>
    </row>
    <row r="1242" spans="1:2" x14ac:dyDescent="0.3">
      <c r="A1242" s="7" t="s">
        <v>1254</v>
      </c>
      <c r="B1242" s="8">
        <v>20.167999267578125</v>
      </c>
    </row>
    <row r="1243" spans="1:2" x14ac:dyDescent="0.3">
      <c r="A1243" s="7" t="s">
        <v>1255</v>
      </c>
      <c r="B1243" s="8">
        <v>20.14900016784668</v>
      </c>
    </row>
    <row r="1244" spans="1:2" x14ac:dyDescent="0.3">
      <c r="A1244" s="7" t="s">
        <v>1256</v>
      </c>
      <c r="B1244" s="8">
        <v>20.14900016784668</v>
      </c>
    </row>
    <row r="1245" spans="1:2" x14ac:dyDescent="0.3">
      <c r="A1245" s="7" t="s">
        <v>1257</v>
      </c>
      <c r="B1245" s="8">
        <v>20.14900016784668</v>
      </c>
    </row>
    <row r="1246" spans="1:2" x14ac:dyDescent="0.3">
      <c r="A1246" s="7" t="s">
        <v>1258</v>
      </c>
      <c r="B1246" s="8">
        <v>20.14900016784668</v>
      </c>
    </row>
    <row r="1247" spans="1:2" x14ac:dyDescent="0.3">
      <c r="A1247" s="7" t="s">
        <v>1259</v>
      </c>
      <c r="B1247" s="8">
        <v>20.14900016784668</v>
      </c>
    </row>
    <row r="1248" spans="1:2" x14ac:dyDescent="0.3">
      <c r="A1248" s="7" t="s">
        <v>1260</v>
      </c>
      <c r="B1248" s="8">
        <v>20.14900016784668</v>
      </c>
    </row>
    <row r="1249" spans="1:2" x14ac:dyDescent="0.3">
      <c r="A1249" s="7" t="s">
        <v>1261</v>
      </c>
      <c r="B1249" s="8">
        <v>20.180000305175781</v>
      </c>
    </row>
    <row r="1250" spans="1:2" x14ac:dyDescent="0.3">
      <c r="A1250" s="7" t="s">
        <v>1262</v>
      </c>
      <c r="B1250" s="8">
        <v>20.180000305175781</v>
      </c>
    </row>
    <row r="1251" spans="1:2" x14ac:dyDescent="0.3">
      <c r="A1251" s="7" t="s">
        <v>1263</v>
      </c>
      <c r="B1251" s="8">
        <v>20.200000762939453</v>
      </c>
    </row>
    <row r="1252" spans="1:2" x14ac:dyDescent="0.3">
      <c r="A1252" s="7" t="s">
        <v>1264</v>
      </c>
      <c r="B1252" s="8">
        <v>20.180000305175781</v>
      </c>
    </row>
    <row r="1253" spans="1:2" x14ac:dyDescent="0.3">
      <c r="A1253" s="7" t="s">
        <v>1265</v>
      </c>
      <c r="B1253" s="8">
        <v>20.180000305175781</v>
      </c>
    </row>
    <row r="1254" spans="1:2" x14ac:dyDescent="0.3">
      <c r="A1254" s="7" t="s">
        <v>1266</v>
      </c>
      <c r="B1254" s="8">
        <v>20.180000305175781</v>
      </c>
    </row>
    <row r="1255" spans="1:2" x14ac:dyDescent="0.3">
      <c r="A1255" s="7" t="s">
        <v>1267</v>
      </c>
      <c r="B1255" s="8">
        <v>20.190000534057617</v>
      </c>
    </row>
    <row r="1256" spans="1:2" x14ac:dyDescent="0.3">
      <c r="A1256" s="7" t="s">
        <v>1268</v>
      </c>
      <c r="B1256" s="8">
        <v>20.163999557495117</v>
      </c>
    </row>
    <row r="1257" spans="1:2" x14ac:dyDescent="0.3">
      <c r="A1257" s="7" t="s">
        <v>1269</v>
      </c>
      <c r="B1257" s="8">
        <v>20.167999267578125</v>
      </c>
    </row>
    <row r="1258" spans="1:2" x14ac:dyDescent="0.3">
      <c r="A1258" s="7" t="s">
        <v>1270</v>
      </c>
      <c r="B1258" s="8">
        <v>20.209999084472656</v>
      </c>
    </row>
    <row r="1259" spans="1:2" x14ac:dyDescent="0.3">
      <c r="A1259" s="7" t="s">
        <v>1271</v>
      </c>
      <c r="B1259" s="8">
        <v>20.219999313354492</v>
      </c>
    </row>
    <row r="1260" spans="1:2" x14ac:dyDescent="0.3">
      <c r="A1260" s="7" t="s">
        <v>1272</v>
      </c>
      <c r="B1260" s="8">
        <v>20.219999313354492</v>
      </c>
    </row>
    <row r="1261" spans="1:2" x14ac:dyDescent="0.3">
      <c r="A1261" s="7" t="s">
        <v>1273</v>
      </c>
      <c r="B1261" s="8">
        <v>20.219999313354492</v>
      </c>
    </row>
    <row r="1262" spans="1:2" x14ac:dyDescent="0.3">
      <c r="A1262" s="7" t="s">
        <v>1274</v>
      </c>
      <c r="B1262" s="8">
        <v>20.219999313354492</v>
      </c>
    </row>
    <row r="1263" spans="1:2" x14ac:dyDescent="0.3">
      <c r="A1263" s="7" t="s">
        <v>1275</v>
      </c>
      <c r="B1263" s="8">
        <v>20.180999755859375</v>
      </c>
    </row>
    <row r="1264" spans="1:2" x14ac:dyDescent="0.3">
      <c r="A1264" s="7" t="s">
        <v>1276</v>
      </c>
      <c r="B1264" s="8">
        <v>20.135000228881836</v>
      </c>
    </row>
    <row r="1265" spans="1:2" x14ac:dyDescent="0.3">
      <c r="A1265" s="7" t="s">
        <v>1277</v>
      </c>
      <c r="B1265" s="8">
        <v>20.159999847412109</v>
      </c>
    </row>
    <row r="1266" spans="1:2" x14ac:dyDescent="0.3">
      <c r="A1266" s="7" t="s">
        <v>1278</v>
      </c>
      <c r="B1266" s="8">
        <v>20.190000534057617</v>
      </c>
    </row>
    <row r="1267" spans="1:2" x14ac:dyDescent="0.3">
      <c r="A1267" s="7" t="s">
        <v>1279</v>
      </c>
      <c r="B1267" s="8">
        <v>20.190000534057617</v>
      </c>
    </row>
    <row r="1268" spans="1:2" x14ac:dyDescent="0.3">
      <c r="A1268" s="7" t="s">
        <v>1280</v>
      </c>
      <c r="B1268" s="8">
        <v>20.190000534057617</v>
      </c>
    </row>
    <row r="1269" spans="1:2" x14ac:dyDescent="0.3">
      <c r="A1269" s="7" t="s">
        <v>1281</v>
      </c>
      <c r="B1269" s="8">
        <v>20.260000228881836</v>
      </c>
    </row>
    <row r="1270" spans="1:2" x14ac:dyDescent="0.3">
      <c r="A1270" s="7" t="s">
        <v>1282</v>
      </c>
      <c r="B1270" s="8">
        <v>20.260000228881836</v>
      </c>
    </row>
    <row r="1271" spans="1:2" x14ac:dyDescent="0.3">
      <c r="A1271" s="7" t="s">
        <v>1283</v>
      </c>
      <c r="B1271" s="8">
        <v>20.25200080871582</v>
      </c>
    </row>
    <row r="1272" spans="1:2" x14ac:dyDescent="0.3">
      <c r="A1272" s="7" t="s">
        <v>1284</v>
      </c>
      <c r="B1272" s="8">
        <v>20.549999237060547</v>
      </c>
    </row>
    <row r="1273" spans="1:2" x14ac:dyDescent="0.3">
      <c r="A1273" s="7" t="s">
        <v>1285</v>
      </c>
      <c r="B1273" s="8">
        <v>20.534999847412109</v>
      </c>
    </row>
    <row r="1274" spans="1:2" x14ac:dyDescent="0.3">
      <c r="A1274" s="7" t="s">
        <v>1286</v>
      </c>
      <c r="B1274" s="8">
        <v>20.534999847412109</v>
      </c>
    </row>
    <row r="1275" spans="1:2" x14ac:dyDescent="0.3">
      <c r="A1275" s="7" t="s">
        <v>1287</v>
      </c>
      <c r="B1275" s="8">
        <v>20.534999847412109</v>
      </c>
    </row>
    <row r="1276" spans="1:2" x14ac:dyDescent="0.3">
      <c r="A1276" s="7" t="s">
        <v>1288</v>
      </c>
      <c r="B1276" s="8">
        <v>20.534999847412109</v>
      </c>
    </row>
    <row r="1277" spans="1:2" x14ac:dyDescent="0.3">
      <c r="A1277" s="7" t="s">
        <v>1289</v>
      </c>
      <c r="B1277" s="8">
        <v>20.534999847412109</v>
      </c>
    </row>
    <row r="1278" spans="1:2" x14ac:dyDescent="0.3">
      <c r="A1278" s="7" t="s">
        <v>1290</v>
      </c>
      <c r="B1278" s="8">
        <v>21.200000762939453</v>
      </c>
    </row>
    <row r="1279" spans="1:2" x14ac:dyDescent="0.3">
      <c r="A1279" s="7" t="s">
        <v>1291</v>
      </c>
      <c r="B1279" s="8">
        <v>23</v>
      </c>
    </row>
    <row r="1280" spans="1:2" x14ac:dyDescent="0.3">
      <c r="A1280" s="7" t="s">
        <v>1292</v>
      </c>
      <c r="B1280" s="8">
        <v>21.799999237060547</v>
      </c>
    </row>
    <row r="1281" spans="1:2" x14ac:dyDescent="0.3">
      <c r="A1281" s="7" t="s">
        <v>1293</v>
      </c>
      <c r="B1281" s="8">
        <v>21.799999237060547</v>
      </c>
    </row>
    <row r="1282" spans="1:2" x14ac:dyDescent="0.3">
      <c r="A1282" s="7" t="s">
        <v>1294</v>
      </c>
      <c r="B1282" s="8">
        <v>21.799999237060547</v>
      </c>
    </row>
    <row r="1283" spans="1:2" x14ac:dyDescent="0.3">
      <c r="A1283" s="7" t="s">
        <v>1295</v>
      </c>
      <c r="B1283" s="8">
        <v>21.968999862670898</v>
      </c>
    </row>
    <row r="1284" spans="1:2" x14ac:dyDescent="0.3">
      <c r="A1284" s="7" t="s">
        <v>1296</v>
      </c>
      <c r="B1284" s="8">
        <v>22.399999618530273</v>
      </c>
    </row>
    <row r="1285" spans="1:2" x14ac:dyDescent="0.3">
      <c r="A1285" s="7" t="s">
        <v>1297</v>
      </c>
      <c r="B1285" s="8">
        <v>22.729999542236328</v>
      </c>
    </row>
    <row r="1286" spans="1:2" x14ac:dyDescent="0.3">
      <c r="A1286" s="7" t="s">
        <v>1298</v>
      </c>
      <c r="B1286" s="8">
        <v>22.709999084472656</v>
      </c>
    </row>
    <row r="1287" spans="1:2" x14ac:dyDescent="0.3">
      <c r="A1287" s="7" t="s">
        <v>1299</v>
      </c>
      <c r="B1287" s="8">
        <v>23.260000228881836</v>
      </c>
    </row>
    <row r="1288" spans="1:2" x14ac:dyDescent="0.3">
      <c r="A1288" s="7" t="s">
        <v>1300</v>
      </c>
      <c r="B1288" s="8">
        <v>23.260000228881836</v>
      </c>
    </row>
    <row r="1289" spans="1:2" x14ac:dyDescent="0.3">
      <c r="A1289" s="7" t="s">
        <v>1301</v>
      </c>
      <c r="B1289" s="8">
        <v>23.260000228881836</v>
      </c>
    </row>
    <row r="1290" spans="1:2" x14ac:dyDescent="0.3">
      <c r="A1290" s="7" t="s">
        <v>1302</v>
      </c>
      <c r="B1290" s="8">
        <v>24.989999771118164</v>
      </c>
    </row>
    <row r="1291" spans="1:2" x14ac:dyDescent="0.3">
      <c r="A1291" s="7" t="s">
        <v>1303</v>
      </c>
      <c r="B1291" s="8">
        <v>24.049999237060547</v>
      </c>
    </row>
    <row r="1292" spans="1:2" x14ac:dyDescent="0.3">
      <c r="A1292" s="7" t="s">
        <v>1304</v>
      </c>
      <c r="B1292" s="8">
        <v>24.290000915527344</v>
      </c>
    </row>
    <row r="1293" spans="1:2" x14ac:dyDescent="0.3">
      <c r="A1293" s="7" t="s">
        <v>1305</v>
      </c>
      <c r="B1293" s="8">
        <v>24.319999694824219</v>
      </c>
    </row>
    <row r="1294" spans="1:2" x14ac:dyDescent="0.3">
      <c r="A1294" s="7" t="s">
        <v>1306</v>
      </c>
      <c r="B1294" s="8">
        <v>24.430000305175781</v>
      </c>
    </row>
    <row r="1295" spans="1:2" x14ac:dyDescent="0.3">
      <c r="A1295" s="7" t="s">
        <v>1307</v>
      </c>
      <c r="B1295" s="8">
        <v>24.430000305175781</v>
      </c>
    </row>
    <row r="1296" spans="1:2" x14ac:dyDescent="0.3">
      <c r="A1296" s="7" t="s">
        <v>1308</v>
      </c>
      <c r="B1296" s="8">
        <v>24.430000305175781</v>
      </c>
    </row>
    <row r="1297" spans="1:2" x14ac:dyDescent="0.3">
      <c r="A1297" s="7" t="s">
        <v>1309</v>
      </c>
      <c r="B1297" s="8">
        <v>24.388999938964844</v>
      </c>
    </row>
    <row r="1298" spans="1:2" x14ac:dyDescent="0.3">
      <c r="A1298" s="7" t="s">
        <v>1310</v>
      </c>
      <c r="B1298" s="8">
        <v>24.319999694824219</v>
      </c>
    </row>
    <row r="1299" spans="1:2" x14ac:dyDescent="0.3">
      <c r="A1299" s="7" t="s">
        <v>1311</v>
      </c>
      <c r="B1299" s="8">
        <v>24.475000381469727</v>
      </c>
    </row>
    <row r="1300" spans="1:2" x14ac:dyDescent="0.3">
      <c r="A1300" s="7" t="s">
        <v>1312</v>
      </c>
      <c r="B1300" s="8">
        <v>24.600000381469727</v>
      </c>
    </row>
    <row r="1301" spans="1:2" x14ac:dyDescent="0.3">
      <c r="A1301" s="7" t="s">
        <v>1313</v>
      </c>
      <c r="B1301" s="8">
        <v>24.600000381469727</v>
      </c>
    </row>
    <row r="1302" spans="1:2" x14ac:dyDescent="0.3">
      <c r="A1302" s="7" t="s">
        <v>1314</v>
      </c>
      <c r="B1302" s="8">
        <v>24.600000381469727</v>
      </c>
    </row>
    <row r="1303" spans="1:2" x14ac:dyDescent="0.3">
      <c r="A1303" s="7" t="s">
        <v>1315</v>
      </c>
      <c r="B1303" s="8">
        <v>24.600000381469727</v>
      </c>
    </row>
    <row r="1304" spans="1:2" x14ac:dyDescent="0.3">
      <c r="A1304" s="7" t="s">
        <v>1316</v>
      </c>
      <c r="B1304" s="8">
        <v>24.600000381469727</v>
      </c>
    </row>
    <row r="1305" spans="1:2" x14ac:dyDescent="0.3">
      <c r="A1305" s="7" t="s">
        <v>1317</v>
      </c>
      <c r="B1305" s="8">
        <v>24.840000152587891</v>
      </c>
    </row>
    <row r="1306" spans="1:2" x14ac:dyDescent="0.3">
      <c r="A1306" s="7" t="s">
        <v>1318</v>
      </c>
      <c r="B1306" s="8">
        <v>24.930000305175781</v>
      </c>
    </row>
    <row r="1307" spans="1:2" x14ac:dyDescent="0.3">
      <c r="A1307" s="7" t="s">
        <v>1319</v>
      </c>
      <c r="B1307" s="8">
        <v>24.959999084472656</v>
      </c>
    </row>
    <row r="1308" spans="1:2" x14ac:dyDescent="0.3">
      <c r="A1308" s="7" t="s">
        <v>1320</v>
      </c>
      <c r="B1308" s="8">
        <v>24.979999542236328</v>
      </c>
    </row>
    <row r="1309" spans="1:2" x14ac:dyDescent="0.3">
      <c r="A1309" s="7" t="s">
        <v>1321</v>
      </c>
      <c r="B1309" s="8">
        <v>24.979999542236328</v>
      </c>
    </row>
    <row r="1310" spans="1:2" x14ac:dyDescent="0.3">
      <c r="A1310" s="7" t="s">
        <v>1322</v>
      </c>
      <c r="B1310" s="8">
        <v>24.979999542236328</v>
      </c>
    </row>
    <row r="1311" spans="1:2" x14ac:dyDescent="0.3">
      <c r="A1311" s="7" t="s">
        <v>1323</v>
      </c>
      <c r="B1311" s="8">
        <v>24.969999313354492</v>
      </c>
    </row>
    <row r="1312" spans="1:2" x14ac:dyDescent="0.3">
      <c r="A1312" s="7" t="s">
        <v>1324</v>
      </c>
      <c r="B1312" s="8">
        <v>24.959999084472656</v>
      </c>
    </row>
    <row r="1313" spans="1:2" x14ac:dyDescent="0.3">
      <c r="A1313" s="7" t="s">
        <v>1325</v>
      </c>
      <c r="B1313" s="8">
        <v>24.899999618530273</v>
      </c>
    </row>
    <row r="1314" spans="1:2" x14ac:dyDescent="0.3">
      <c r="A1314" s="7" t="s">
        <v>1326</v>
      </c>
      <c r="B1314" s="8">
        <v>24.985000610351563</v>
      </c>
    </row>
    <row r="1315" spans="1:2" x14ac:dyDescent="0.3">
      <c r="A1315" s="7" t="s">
        <v>1327</v>
      </c>
      <c r="B1315" s="8">
        <v>25.309999465942383</v>
      </c>
    </row>
    <row r="1316" spans="1:2" x14ac:dyDescent="0.3">
      <c r="A1316" s="7" t="s">
        <v>1328</v>
      </c>
      <c r="B1316" s="8">
        <v>25.309999465942383</v>
      </c>
    </row>
    <row r="1317" spans="1:2" x14ac:dyDescent="0.3">
      <c r="A1317" s="7" t="s">
        <v>1329</v>
      </c>
      <c r="B1317" s="8">
        <v>25.309999465942383</v>
      </c>
    </row>
    <row r="1318" spans="1:2" x14ac:dyDescent="0.3">
      <c r="A1318" s="7" t="s">
        <v>1330</v>
      </c>
      <c r="B1318" s="8">
        <v>26</v>
      </c>
    </row>
    <row r="1319" spans="1:2" x14ac:dyDescent="0.3">
      <c r="A1319" s="7" t="s">
        <v>1331</v>
      </c>
      <c r="B1319" s="8">
        <v>25.75</v>
      </c>
    </row>
    <row r="1320" spans="1:2" x14ac:dyDescent="0.3">
      <c r="A1320" s="7" t="s">
        <v>1332</v>
      </c>
      <c r="B1320" s="8">
        <v>26.000999450683594</v>
      </c>
    </row>
    <row r="1321" spans="1:2" x14ac:dyDescent="0.3">
      <c r="A1321" s="7" t="s">
        <v>1333</v>
      </c>
      <c r="B1321" s="8">
        <v>27.700000762939453</v>
      </c>
    </row>
    <row r="1322" spans="1:2" x14ac:dyDescent="0.3">
      <c r="A1322" s="7" t="s">
        <v>1334</v>
      </c>
      <c r="B1322" s="8">
        <v>28.100000381469727</v>
      </c>
    </row>
    <row r="1323" spans="1:2" x14ac:dyDescent="0.3">
      <c r="A1323" s="7" t="s">
        <v>1335</v>
      </c>
      <c r="B1323" s="8">
        <v>28.100000381469727</v>
      </c>
    </row>
    <row r="1324" spans="1:2" x14ac:dyDescent="0.3">
      <c r="A1324" s="7" t="s">
        <v>1336</v>
      </c>
      <c r="B1324" s="8">
        <v>28.100000381469727</v>
      </c>
    </row>
    <row r="1325" spans="1:2" x14ac:dyDescent="0.3">
      <c r="A1325" s="7" t="s">
        <v>1337</v>
      </c>
      <c r="B1325" s="8">
        <v>27.579999923706055</v>
      </c>
    </row>
    <row r="1326" spans="1:2" x14ac:dyDescent="0.3">
      <c r="A1326" s="7" t="s">
        <v>1338</v>
      </c>
      <c r="B1326" s="8">
        <v>27.780000686645508</v>
      </c>
    </row>
    <row r="1327" spans="1:2" x14ac:dyDescent="0.3">
      <c r="A1327" s="7" t="s">
        <v>1339</v>
      </c>
      <c r="B1327" s="8">
        <v>27.780000686645508</v>
      </c>
    </row>
    <row r="1328" spans="1:2" x14ac:dyDescent="0.3">
      <c r="A1328" s="7" t="s">
        <v>1340</v>
      </c>
      <c r="B1328" s="8">
        <v>27.5</v>
      </c>
    </row>
    <row r="1329" spans="1:2" x14ac:dyDescent="0.3">
      <c r="A1329" s="7" t="s">
        <v>1341</v>
      </c>
      <c r="B1329" s="8">
        <v>27.010000228881836</v>
      </c>
    </row>
    <row r="1330" spans="1:2" x14ac:dyDescent="0.3">
      <c r="A1330" s="7" t="s">
        <v>1342</v>
      </c>
      <c r="B1330" s="8">
        <v>27.010000228881836</v>
      </c>
    </row>
    <row r="1331" spans="1:2" x14ac:dyDescent="0.3">
      <c r="A1331" s="7" t="s">
        <v>1343</v>
      </c>
      <c r="B1331" s="8">
        <v>27.010000228881836</v>
      </c>
    </row>
    <row r="1332" spans="1:2" x14ac:dyDescent="0.3">
      <c r="A1332" s="7" t="s">
        <v>1344</v>
      </c>
      <c r="B1332" s="8">
        <v>27.069999694824219</v>
      </c>
    </row>
    <row r="1333" spans="1:2" x14ac:dyDescent="0.3">
      <c r="A1333" s="7" t="s">
        <v>1345</v>
      </c>
      <c r="B1333" s="8">
        <v>27.100000381469727</v>
      </c>
    </row>
    <row r="1334" spans="1:2" x14ac:dyDescent="0.3">
      <c r="A1334" s="7" t="s">
        <v>1346</v>
      </c>
      <c r="B1334" s="8">
        <v>27.440000534057617</v>
      </c>
    </row>
    <row r="1335" spans="1:2" x14ac:dyDescent="0.3">
      <c r="A1335" s="7" t="s">
        <v>1347</v>
      </c>
      <c r="B1335" s="8">
        <v>28.120000839233398</v>
      </c>
    </row>
    <row r="1336" spans="1:2" x14ac:dyDescent="0.3">
      <c r="A1336" s="7" t="s">
        <v>1348</v>
      </c>
      <c r="B1336" s="8">
        <v>28.850000381469727</v>
      </c>
    </row>
    <row r="1337" spans="1:2" x14ac:dyDescent="0.3">
      <c r="A1337" s="7" t="s">
        <v>1349</v>
      </c>
      <c r="B1337" s="8">
        <v>28.850000381469727</v>
      </c>
    </row>
    <row r="1338" spans="1:2" x14ac:dyDescent="0.3">
      <c r="A1338" s="7" t="s">
        <v>1350</v>
      </c>
      <c r="B1338" s="8">
        <v>28.850000381469727</v>
      </c>
    </row>
    <row r="1339" spans="1:2" x14ac:dyDescent="0.3">
      <c r="A1339" s="7" t="s">
        <v>1351</v>
      </c>
      <c r="B1339" s="8">
        <v>28.299999237060547</v>
      </c>
    </row>
    <row r="1340" spans="1:2" x14ac:dyDescent="0.3">
      <c r="A1340" s="7" t="s">
        <v>1352</v>
      </c>
      <c r="B1340" s="8">
        <v>27.799999237060547</v>
      </c>
    </row>
    <row r="1341" spans="1:2" x14ac:dyDescent="0.3">
      <c r="A1341" s="7" t="s">
        <v>1353</v>
      </c>
      <c r="B1341" s="8">
        <v>27.799999237060547</v>
      </c>
    </row>
    <row r="1342" spans="1:2" x14ac:dyDescent="0.3">
      <c r="A1342" s="7" t="s">
        <v>1354</v>
      </c>
      <c r="B1342" s="8">
        <v>28.049999237060547</v>
      </c>
    </row>
    <row r="1343" spans="1:2" x14ac:dyDescent="0.3">
      <c r="A1343" s="7" t="s">
        <v>1355</v>
      </c>
      <c r="B1343" s="8">
        <v>27.899999618530273</v>
      </c>
    </row>
    <row r="1344" spans="1:2" x14ac:dyDescent="0.3">
      <c r="A1344" s="7" t="s">
        <v>1356</v>
      </c>
      <c r="B1344" s="8">
        <v>27.899999618530273</v>
      </c>
    </row>
    <row r="1345" spans="1:2" x14ac:dyDescent="0.3">
      <c r="A1345" s="7" t="s">
        <v>1357</v>
      </c>
      <c r="B1345" s="8">
        <v>27.899999618530273</v>
      </c>
    </row>
    <row r="1346" spans="1:2" x14ac:dyDescent="0.3">
      <c r="A1346" s="7" t="s">
        <v>1358</v>
      </c>
      <c r="B1346" s="8">
        <v>27.899999618530273</v>
      </c>
    </row>
    <row r="1347" spans="1:2" x14ac:dyDescent="0.3">
      <c r="A1347" s="7" t="s">
        <v>1359</v>
      </c>
      <c r="B1347" s="8">
        <v>27.370000839233398</v>
      </c>
    </row>
    <row r="1348" spans="1:2" x14ac:dyDescent="0.3">
      <c r="A1348" s="7" t="s">
        <v>1360</v>
      </c>
      <c r="B1348" s="8">
        <v>27.389999389648438</v>
      </c>
    </row>
    <row r="1349" spans="1:2" x14ac:dyDescent="0.3">
      <c r="A1349" s="7" t="s">
        <v>1361</v>
      </c>
      <c r="B1349" s="8">
        <v>27.229999542236328</v>
      </c>
    </row>
    <row r="1350" spans="1:2" x14ac:dyDescent="0.3">
      <c r="A1350" s="7" t="s">
        <v>1362</v>
      </c>
      <c r="B1350" s="8">
        <v>27.209999084472656</v>
      </c>
    </row>
    <row r="1351" spans="1:2" x14ac:dyDescent="0.3">
      <c r="A1351" s="7" t="s">
        <v>1363</v>
      </c>
      <c r="B1351" s="8">
        <v>27.209999084472656</v>
      </c>
    </row>
    <row r="1352" spans="1:2" x14ac:dyDescent="0.3">
      <c r="A1352" s="7" t="s">
        <v>1364</v>
      </c>
      <c r="B1352" s="8">
        <v>27.209999084472656</v>
      </c>
    </row>
    <row r="1353" spans="1:2" x14ac:dyDescent="0.3">
      <c r="A1353" s="7" t="s">
        <v>1365</v>
      </c>
      <c r="B1353" s="8">
        <v>27.360000610351563</v>
      </c>
    </row>
    <row r="1354" spans="1:2" x14ac:dyDescent="0.3">
      <c r="A1354" s="7" t="s">
        <v>1366</v>
      </c>
      <c r="B1354" s="8">
        <v>27.549999237060547</v>
      </c>
    </row>
    <row r="1355" spans="1:2" x14ac:dyDescent="0.3">
      <c r="A1355" s="7" t="s">
        <v>1367</v>
      </c>
      <c r="B1355" s="8">
        <v>27.597999572753906</v>
      </c>
    </row>
    <row r="1356" spans="1:2" x14ac:dyDescent="0.3">
      <c r="A1356" s="7" t="s">
        <v>1368</v>
      </c>
      <c r="B1356" s="8">
        <v>27.75</v>
      </c>
    </row>
    <row r="1357" spans="1:2" x14ac:dyDescent="0.3">
      <c r="A1357" s="7" t="s">
        <v>1369</v>
      </c>
      <c r="B1357" s="8">
        <v>27.579999923706055</v>
      </c>
    </row>
    <row r="1358" spans="1:2" x14ac:dyDescent="0.3">
      <c r="A1358" s="7" t="s">
        <v>1370</v>
      </c>
      <c r="B1358" s="8">
        <v>27.579999923706055</v>
      </c>
    </row>
    <row r="1359" spans="1:2" x14ac:dyDescent="0.3">
      <c r="A1359" s="7" t="s">
        <v>1371</v>
      </c>
      <c r="B1359" s="8">
        <v>27.579999923706055</v>
      </c>
    </row>
    <row r="1360" spans="1:2" x14ac:dyDescent="0.3">
      <c r="A1360" s="7" t="s">
        <v>1372</v>
      </c>
      <c r="B1360" s="8">
        <v>27.620000839233398</v>
      </c>
    </row>
    <row r="1361" spans="1:2" x14ac:dyDescent="0.3">
      <c r="A1361" s="7" t="s">
        <v>1373</v>
      </c>
      <c r="B1361" s="8">
        <v>27.479999542236328</v>
      </c>
    </row>
    <row r="1362" spans="1:2" x14ac:dyDescent="0.3">
      <c r="A1362" s="7" t="s">
        <v>1374</v>
      </c>
      <c r="B1362" s="8">
        <v>27.389999389648438</v>
      </c>
    </row>
    <row r="1363" spans="1:2" x14ac:dyDescent="0.3">
      <c r="A1363" s="7" t="s">
        <v>1375</v>
      </c>
      <c r="B1363" s="8">
        <v>27.409999847412109</v>
      </c>
    </row>
    <row r="1364" spans="1:2" x14ac:dyDescent="0.3">
      <c r="A1364" s="7" t="s">
        <v>1376</v>
      </c>
      <c r="B1364" s="8">
        <v>27.325000762939453</v>
      </c>
    </row>
    <row r="1365" spans="1:2" x14ac:dyDescent="0.3">
      <c r="A1365" s="7" t="s">
        <v>1377</v>
      </c>
      <c r="B1365" s="8">
        <v>27.325000762939453</v>
      </c>
    </row>
    <row r="1366" spans="1:2" x14ac:dyDescent="0.3">
      <c r="A1366" s="7" t="s">
        <v>1378</v>
      </c>
      <c r="B1366" s="8">
        <v>27.325000762939453</v>
      </c>
    </row>
    <row r="1367" spans="1:2" x14ac:dyDescent="0.3">
      <c r="A1367" s="7" t="s">
        <v>1379</v>
      </c>
      <c r="B1367" s="8">
        <v>27.254999160766602</v>
      </c>
    </row>
    <row r="1368" spans="1:2" x14ac:dyDescent="0.3">
      <c r="A1368" s="7" t="s">
        <v>1380</v>
      </c>
      <c r="B1368" s="8">
        <v>27.409999847412109</v>
      </c>
    </row>
    <row r="1369" spans="1:2" x14ac:dyDescent="0.3">
      <c r="A1369" s="7" t="s">
        <v>1381</v>
      </c>
      <c r="B1369" s="8">
        <v>27.524999618530273</v>
      </c>
    </row>
    <row r="1370" spans="1:2" x14ac:dyDescent="0.3">
      <c r="A1370" s="7" t="s">
        <v>1382</v>
      </c>
      <c r="B1370" s="8">
        <v>27.450000762939453</v>
      </c>
    </row>
    <row r="1371" spans="1:2" x14ac:dyDescent="0.3">
      <c r="A1371" s="7" t="s">
        <v>1383</v>
      </c>
      <c r="B1371" s="8">
        <v>27.290000915527344</v>
      </c>
    </row>
    <row r="1372" spans="1:2" x14ac:dyDescent="0.3">
      <c r="A1372" s="7" t="s">
        <v>1384</v>
      </c>
      <c r="B1372" s="8">
        <v>27.290000915527344</v>
      </c>
    </row>
    <row r="1373" spans="1:2" x14ac:dyDescent="0.3">
      <c r="A1373" s="7" t="s">
        <v>1385</v>
      </c>
      <c r="B1373" s="8">
        <v>27.290000915527344</v>
      </c>
    </row>
    <row r="1374" spans="1:2" x14ac:dyDescent="0.3">
      <c r="A1374" s="7" t="s">
        <v>1386</v>
      </c>
      <c r="B1374" s="8">
        <v>27.329999923706055</v>
      </c>
    </row>
    <row r="1375" spans="1:2" x14ac:dyDescent="0.3">
      <c r="A1375" s="7" t="s">
        <v>1387</v>
      </c>
      <c r="B1375" s="8">
        <v>27.395000457763672</v>
      </c>
    </row>
    <row r="1376" spans="1:2" x14ac:dyDescent="0.3">
      <c r="A1376" s="7" t="s">
        <v>1388</v>
      </c>
      <c r="B1376" s="8">
        <v>27.649999618530273</v>
      </c>
    </row>
    <row r="1377" spans="1:2" x14ac:dyDescent="0.3">
      <c r="A1377" s="7" t="s">
        <v>1389</v>
      </c>
      <c r="B1377" s="8">
        <v>28.110000610351563</v>
      </c>
    </row>
    <row r="1378" spans="1:2" x14ac:dyDescent="0.3">
      <c r="A1378" s="7" t="s">
        <v>1390</v>
      </c>
      <c r="B1378" s="8">
        <v>29.25</v>
      </c>
    </row>
    <row r="1379" spans="1:2" x14ac:dyDescent="0.3">
      <c r="A1379" s="7" t="s">
        <v>1391</v>
      </c>
      <c r="B1379" s="8">
        <v>29.25</v>
      </c>
    </row>
    <row r="1380" spans="1:2" x14ac:dyDescent="0.3">
      <c r="A1380" s="7" t="s">
        <v>1392</v>
      </c>
      <c r="B1380" s="8">
        <v>29.25</v>
      </c>
    </row>
    <row r="1381" spans="1:2" x14ac:dyDescent="0.3">
      <c r="A1381" s="7" t="s">
        <v>1393</v>
      </c>
      <c r="B1381" s="8">
        <v>29.924999237060547</v>
      </c>
    </row>
    <row r="1382" spans="1:2" x14ac:dyDescent="0.3">
      <c r="A1382" s="7" t="s">
        <v>1394</v>
      </c>
      <c r="B1382" s="8">
        <v>29.610000610351563</v>
      </c>
    </row>
    <row r="1383" spans="1:2" x14ac:dyDescent="0.3">
      <c r="A1383" s="7" t="s">
        <v>1395</v>
      </c>
      <c r="B1383" s="8">
        <v>30</v>
      </c>
    </row>
    <row r="1384" spans="1:2" x14ac:dyDescent="0.3">
      <c r="A1384" s="7" t="s">
        <v>1396</v>
      </c>
      <c r="B1384" s="8">
        <v>29.799999237060547</v>
      </c>
    </row>
    <row r="1385" spans="1:2" x14ac:dyDescent="0.3">
      <c r="A1385" s="7" t="s">
        <v>1397</v>
      </c>
      <c r="B1385" s="8">
        <v>29.850000381469727</v>
      </c>
    </row>
    <row r="1386" spans="1:2" x14ac:dyDescent="0.3">
      <c r="A1386" s="7" t="s">
        <v>1398</v>
      </c>
      <c r="B1386" s="8">
        <v>29.850000381469727</v>
      </c>
    </row>
    <row r="1387" spans="1:2" x14ac:dyDescent="0.3">
      <c r="A1387" s="7" t="s">
        <v>1399</v>
      </c>
      <c r="B1387" s="8">
        <v>29.850000381469727</v>
      </c>
    </row>
    <row r="1388" spans="1:2" x14ac:dyDescent="0.3">
      <c r="A1388" s="7" t="s">
        <v>1400</v>
      </c>
      <c r="B1388" s="8">
        <v>29.850000381469727</v>
      </c>
    </row>
    <row r="1389" spans="1:2" x14ac:dyDescent="0.3">
      <c r="A1389" s="7" t="s">
        <v>1401</v>
      </c>
      <c r="B1389" s="8">
        <v>30</v>
      </c>
    </row>
    <row r="1390" spans="1:2" x14ac:dyDescent="0.3">
      <c r="A1390" s="7" t="s">
        <v>1402</v>
      </c>
      <c r="B1390" s="8">
        <v>30.25</v>
      </c>
    </row>
    <row r="1391" spans="1:2" x14ac:dyDescent="0.3">
      <c r="A1391" s="7" t="s">
        <v>1403</v>
      </c>
      <c r="B1391" s="8">
        <v>30.489999771118164</v>
      </c>
    </row>
    <row r="1392" spans="1:2" x14ac:dyDescent="0.3">
      <c r="A1392" s="7" t="s">
        <v>1404</v>
      </c>
      <c r="B1392" s="8">
        <v>30.899999618530273</v>
      </c>
    </row>
    <row r="1393" spans="1:2" x14ac:dyDescent="0.3">
      <c r="A1393" s="7" t="s">
        <v>1405</v>
      </c>
      <c r="B1393" s="8">
        <v>30.899999618530273</v>
      </c>
    </row>
    <row r="1394" spans="1:2" x14ac:dyDescent="0.3">
      <c r="A1394" s="7" t="s">
        <v>1406</v>
      </c>
      <c r="B1394" s="8">
        <v>30.899999618530273</v>
      </c>
    </row>
    <row r="1395" spans="1:2" x14ac:dyDescent="0.3">
      <c r="A1395" s="7" t="s">
        <v>1407</v>
      </c>
      <c r="B1395" s="8">
        <v>30.969999313354492</v>
      </c>
    </row>
    <row r="1396" spans="1:2" x14ac:dyDescent="0.3">
      <c r="A1396" s="7" t="s">
        <v>1408</v>
      </c>
      <c r="B1396" s="8">
        <v>31.350000381469727</v>
      </c>
    </row>
    <row r="1397" spans="1:2" x14ac:dyDescent="0.3">
      <c r="A1397" s="7" t="s">
        <v>1409</v>
      </c>
      <c r="B1397" s="8">
        <v>33.799999237060547</v>
      </c>
    </row>
    <row r="1398" spans="1:2" x14ac:dyDescent="0.3">
      <c r="A1398" s="7" t="s">
        <v>1410</v>
      </c>
      <c r="B1398" s="8">
        <v>37.599998474121094</v>
      </c>
    </row>
    <row r="1399" spans="1:2" x14ac:dyDescent="0.3">
      <c r="A1399" s="7" t="s">
        <v>1411</v>
      </c>
      <c r="B1399" s="8">
        <v>36.849998474121094</v>
      </c>
    </row>
    <row r="1400" spans="1:2" x14ac:dyDescent="0.3">
      <c r="A1400" s="7" t="s">
        <v>1412</v>
      </c>
      <c r="B1400" s="8">
        <v>36.849998474121094</v>
      </c>
    </row>
    <row r="1401" spans="1:2" x14ac:dyDescent="0.3">
      <c r="A1401" s="7" t="s">
        <v>1413</v>
      </c>
      <c r="B1401" s="8">
        <v>36.849998474121094</v>
      </c>
    </row>
    <row r="1402" spans="1:2" x14ac:dyDescent="0.3">
      <c r="A1402" s="7" t="s">
        <v>1414</v>
      </c>
      <c r="B1402" s="8">
        <v>36.849998474121094</v>
      </c>
    </row>
    <row r="1403" spans="1:2" x14ac:dyDescent="0.3">
      <c r="A1403" s="7" t="s">
        <v>1415</v>
      </c>
      <c r="B1403" s="8">
        <v>38.880001068115234</v>
      </c>
    </row>
    <row r="1404" spans="1:2" x14ac:dyDescent="0.3">
      <c r="A1404" s="7" t="s">
        <v>1416</v>
      </c>
      <c r="B1404" s="8">
        <v>38.400001525878906</v>
      </c>
    </row>
    <row r="1405" spans="1:2" x14ac:dyDescent="0.3">
      <c r="A1405" s="7" t="s">
        <v>1417</v>
      </c>
      <c r="B1405" s="8">
        <v>37.349998474121094</v>
      </c>
    </row>
    <row r="1406" spans="1:2" x14ac:dyDescent="0.3">
      <c r="A1406" s="7" t="s">
        <v>1418</v>
      </c>
      <c r="B1406" s="8">
        <v>36.990001678466797</v>
      </c>
    </row>
    <row r="1407" spans="1:2" x14ac:dyDescent="0.3">
      <c r="A1407" s="7" t="s">
        <v>1419</v>
      </c>
      <c r="B1407" s="8">
        <v>36.990001678466797</v>
      </c>
    </row>
    <row r="1408" spans="1:2" x14ac:dyDescent="0.3">
      <c r="A1408" s="7" t="s">
        <v>1420</v>
      </c>
      <c r="B1408" s="8">
        <v>36.990001678466797</v>
      </c>
    </row>
    <row r="1409" spans="1:2" x14ac:dyDescent="0.3">
      <c r="A1409" s="7" t="s">
        <v>1421</v>
      </c>
      <c r="B1409" s="8">
        <v>37.380001068115234</v>
      </c>
    </row>
    <row r="1410" spans="1:2" x14ac:dyDescent="0.3">
      <c r="A1410" s="7" t="s">
        <v>1422</v>
      </c>
      <c r="B1410" s="8">
        <v>37.941001892089844</v>
      </c>
    </row>
    <row r="1411" spans="1:2" x14ac:dyDescent="0.3">
      <c r="A1411" s="7" t="s">
        <v>1423</v>
      </c>
      <c r="B1411" s="8">
        <v>38.25</v>
      </c>
    </row>
    <row r="1412" spans="1:2" x14ac:dyDescent="0.3">
      <c r="A1412" s="7" t="s">
        <v>1424</v>
      </c>
      <c r="B1412" s="8">
        <v>39.549999237060547</v>
      </c>
    </row>
    <row r="1413" spans="1:2" x14ac:dyDescent="0.3">
      <c r="A1413" s="7" t="s">
        <v>1425</v>
      </c>
      <c r="B1413" s="8">
        <v>39.860000610351563</v>
      </c>
    </row>
    <row r="1414" spans="1:2" x14ac:dyDescent="0.3">
      <c r="A1414" s="7" t="s">
        <v>1426</v>
      </c>
      <c r="B1414" s="8">
        <v>39.860000610351563</v>
      </c>
    </row>
    <row r="1415" spans="1:2" x14ac:dyDescent="0.3">
      <c r="A1415" s="7" t="s">
        <v>1427</v>
      </c>
      <c r="B1415" s="8">
        <v>39.860000610351563</v>
      </c>
    </row>
    <row r="1416" spans="1:2" x14ac:dyDescent="0.3">
      <c r="A1416" s="7" t="s">
        <v>1428</v>
      </c>
      <c r="B1416" s="8">
        <v>39.529998779296875</v>
      </c>
    </row>
    <row r="1417" spans="1:2" x14ac:dyDescent="0.3">
      <c r="A1417" s="7" t="s">
        <v>1429</v>
      </c>
      <c r="B1417" s="8">
        <v>39.730998992919922</v>
      </c>
    </row>
    <row r="1418" spans="1:2" x14ac:dyDescent="0.3">
      <c r="A1418" s="7" t="s">
        <v>1430</v>
      </c>
      <c r="B1418" s="8">
        <v>39.209999084472656</v>
      </c>
    </row>
    <row r="1419" spans="1:2" x14ac:dyDescent="0.3">
      <c r="A1419" s="7" t="s">
        <v>1431</v>
      </c>
      <c r="B1419" s="8">
        <v>38.200000762939453</v>
      </c>
    </row>
    <row r="1420" spans="1:2" x14ac:dyDescent="0.3">
      <c r="A1420" s="7" t="s">
        <v>1432</v>
      </c>
      <c r="B1420" s="8">
        <v>37.150001525878906</v>
      </c>
    </row>
    <row r="1421" spans="1:2" x14ac:dyDescent="0.3">
      <c r="A1421" s="7" t="s">
        <v>1433</v>
      </c>
      <c r="B1421" s="8">
        <v>37.150001525878906</v>
      </c>
    </row>
    <row r="1422" spans="1:2" x14ac:dyDescent="0.3">
      <c r="A1422" s="7" t="s">
        <v>1434</v>
      </c>
      <c r="B1422" s="8">
        <v>37.150001525878906</v>
      </c>
    </row>
    <row r="1423" spans="1:2" x14ac:dyDescent="0.3">
      <c r="A1423" s="7" t="s">
        <v>1435</v>
      </c>
      <c r="B1423" s="8">
        <v>37.299999237060547</v>
      </c>
    </row>
    <row r="1424" spans="1:2" x14ac:dyDescent="0.3">
      <c r="A1424" s="7" t="s">
        <v>1436</v>
      </c>
      <c r="B1424" s="8">
        <v>38.099998474121094</v>
      </c>
    </row>
    <row r="1425" spans="1:2" x14ac:dyDescent="0.3">
      <c r="A1425" s="7" t="s">
        <v>1437</v>
      </c>
      <c r="B1425" s="8">
        <v>38.509998321533203</v>
      </c>
    </row>
    <row r="1426" spans="1:2" x14ac:dyDescent="0.3">
      <c r="A1426" s="7" t="s">
        <v>1438</v>
      </c>
      <c r="B1426" s="8">
        <v>39.700000762939453</v>
      </c>
    </row>
    <row r="1427" spans="1:2" x14ac:dyDescent="0.3">
      <c r="A1427" s="7" t="s">
        <v>1439</v>
      </c>
      <c r="B1427" s="8">
        <v>41.25</v>
      </c>
    </row>
    <row r="1428" spans="1:2" x14ac:dyDescent="0.3">
      <c r="A1428" s="7" t="s">
        <v>1440</v>
      </c>
      <c r="B1428" s="8">
        <v>41.25</v>
      </c>
    </row>
    <row r="1429" spans="1:2" x14ac:dyDescent="0.3">
      <c r="A1429" s="7" t="s">
        <v>1441</v>
      </c>
      <c r="B1429" s="8">
        <v>41.25</v>
      </c>
    </row>
    <row r="1430" spans="1:2" x14ac:dyDescent="0.3">
      <c r="A1430" s="7" t="s">
        <v>1442</v>
      </c>
      <c r="B1430" s="8">
        <v>39.549999237060547</v>
      </c>
    </row>
    <row r="1431" spans="1:2" x14ac:dyDescent="0.3">
      <c r="A1431" s="7" t="s">
        <v>1443</v>
      </c>
      <c r="B1431" s="8">
        <v>38.099998474121094</v>
      </c>
    </row>
    <row r="1432" spans="1:2" x14ac:dyDescent="0.3">
      <c r="A1432" s="7" t="s">
        <v>1444</v>
      </c>
      <c r="B1432" s="8">
        <v>37.689998626708984</v>
      </c>
    </row>
    <row r="1433" spans="1:2" x14ac:dyDescent="0.3">
      <c r="A1433" s="7" t="s">
        <v>1445</v>
      </c>
      <c r="B1433" s="8">
        <v>38.299999237060547</v>
      </c>
    </row>
    <row r="1434" spans="1:2" x14ac:dyDescent="0.3">
      <c r="A1434" s="7" t="s">
        <v>1446</v>
      </c>
      <c r="B1434" s="8">
        <v>37.840000152587891</v>
      </c>
    </row>
    <row r="1435" spans="1:2" x14ac:dyDescent="0.3">
      <c r="A1435" s="7" t="s">
        <v>1447</v>
      </c>
      <c r="B1435" s="8">
        <v>37.840000152587891</v>
      </c>
    </row>
    <row r="1436" spans="1:2" x14ac:dyDescent="0.3">
      <c r="A1436" s="7" t="s">
        <v>1448</v>
      </c>
      <c r="B1436" s="8">
        <v>37.840000152587891</v>
      </c>
    </row>
    <row r="1437" spans="1:2" x14ac:dyDescent="0.3">
      <c r="A1437" s="7" t="s">
        <v>1449</v>
      </c>
      <c r="B1437" s="8">
        <v>37.840000152587891</v>
      </c>
    </row>
    <row r="1438" spans="1:2" x14ac:dyDescent="0.3">
      <c r="A1438" s="7" t="s">
        <v>1450</v>
      </c>
      <c r="B1438" s="8">
        <v>37.119998931884766</v>
      </c>
    </row>
    <row r="1439" spans="1:2" x14ac:dyDescent="0.3">
      <c r="A1439" s="7" t="s">
        <v>1451</v>
      </c>
      <c r="B1439" s="8">
        <v>37.25</v>
      </c>
    </row>
    <row r="1440" spans="1:2" x14ac:dyDescent="0.3">
      <c r="A1440" s="7" t="s">
        <v>1452</v>
      </c>
      <c r="B1440" s="8">
        <v>36.569999694824219</v>
      </c>
    </row>
    <row r="1441" spans="1:2" x14ac:dyDescent="0.3">
      <c r="A1441" s="7" t="s">
        <v>1453</v>
      </c>
      <c r="B1441" s="8">
        <v>36.75</v>
      </c>
    </row>
    <row r="1442" spans="1:2" x14ac:dyDescent="0.3">
      <c r="A1442" s="7" t="s">
        <v>1454</v>
      </c>
      <c r="B1442" s="8">
        <v>36.75</v>
      </c>
    </row>
    <row r="1443" spans="1:2" x14ac:dyDescent="0.3">
      <c r="A1443" s="7" t="s">
        <v>1455</v>
      </c>
      <c r="B1443" s="8">
        <v>36.75</v>
      </c>
    </row>
    <row r="1444" spans="1:2" x14ac:dyDescent="0.3">
      <c r="A1444" s="7" t="s">
        <v>1456</v>
      </c>
      <c r="B1444" s="8">
        <v>36.75</v>
      </c>
    </row>
    <row r="1445" spans="1:2" x14ac:dyDescent="0.3">
      <c r="A1445" s="7" t="s">
        <v>1457</v>
      </c>
      <c r="B1445" s="8">
        <v>36</v>
      </c>
    </row>
    <row r="1446" spans="1:2" x14ac:dyDescent="0.3">
      <c r="A1446" s="7" t="s">
        <v>1458</v>
      </c>
      <c r="B1446" s="8">
        <v>36.180000305175781</v>
      </c>
    </row>
    <row r="1447" spans="1:2" x14ac:dyDescent="0.3">
      <c r="A1447" s="7" t="s">
        <v>1459</v>
      </c>
      <c r="B1447" s="8">
        <v>36.650001525878906</v>
      </c>
    </row>
    <row r="1448" spans="1:2" x14ac:dyDescent="0.3">
      <c r="A1448" s="7" t="s">
        <v>1460</v>
      </c>
      <c r="B1448" s="8">
        <v>36.540000915527344</v>
      </c>
    </row>
    <row r="1449" spans="1:2" x14ac:dyDescent="0.3">
      <c r="A1449" s="7" t="s">
        <v>1461</v>
      </c>
      <c r="B1449" s="8">
        <v>36.540000915527344</v>
      </c>
    </row>
    <row r="1450" spans="1:2" x14ac:dyDescent="0.3">
      <c r="A1450" s="7" t="s">
        <v>1462</v>
      </c>
      <c r="B1450" s="8">
        <v>36.540000915527344</v>
      </c>
    </row>
    <row r="1451" spans="1:2" x14ac:dyDescent="0.3">
      <c r="A1451" s="7" t="s">
        <v>1463</v>
      </c>
      <c r="B1451" s="8">
        <v>36.459999084472656</v>
      </c>
    </row>
    <row r="1452" spans="1:2" x14ac:dyDescent="0.3">
      <c r="A1452" s="7" t="s">
        <v>1464</v>
      </c>
      <c r="B1452" s="8">
        <v>36.590000152587891</v>
      </c>
    </row>
    <row r="1453" spans="1:2" x14ac:dyDescent="0.3">
      <c r="A1453" s="7" t="s">
        <v>1465</v>
      </c>
      <c r="B1453" s="8">
        <v>37</v>
      </c>
    </row>
    <row r="1454" spans="1:2" x14ac:dyDescent="0.3">
      <c r="A1454" s="7" t="s">
        <v>1466</v>
      </c>
      <c r="B1454" s="8">
        <v>36.790000915527344</v>
      </c>
    </row>
    <row r="1455" spans="1:2" x14ac:dyDescent="0.3">
      <c r="A1455" s="7" t="s">
        <v>1467</v>
      </c>
      <c r="B1455" s="8">
        <v>36.840000152587891</v>
      </c>
    </row>
    <row r="1456" spans="1:2" x14ac:dyDescent="0.3">
      <c r="A1456" s="7" t="s">
        <v>1468</v>
      </c>
      <c r="B1456" s="8">
        <v>36.840000152587891</v>
      </c>
    </row>
    <row r="1457" spans="1:2" x14ac:dyDescent="0.3">
      <c r="A1457" s="7" t="s">
        <v>1469</v>
      </c>
      <c r="B1457" s="8">
        <v>36.840000152587891</v>
      </c>
    </row>
    <row r="1458" spans="1:2" x14ac:dyDescent="0.3">
      <c r="A1458" s="7" t="s">
        <v>1470</v>
      </c>
      <c r="B1458" s="8">
        <v>36.900001525878906</v>
      </c>
    </row>
    <row r="1459" spans="1:2" x14ac:dyDescent="0.3">
      <c r="A1459" s="7" t="s">
        <v>1471</v>
      </c>
      <c r="B1459" s="8">
        <v>36.715000152587891</v>
      </c>
    </row>
    <row r="1460" spans="1:2" x14ac:dyDescent="0.3">
      <c r="A1460" s="7" t="s">
        <v>1472</v>
      </c>
      <c r="B1460" s="8">
        <v>35.950000762939453</v>
      </c>
    </row>
    <row r="1461" spans="1:2" x14ac:dyDescent="0.3">
      <c r="A1461" s="7" t="s">
        <v>1473</v>
      </c>
      <c r="B1461" s="8">
        <v>35.669998168945313</v>
      </c>
    </row>
    <row r="1462" spans="1:2" x14ac:dyDescent="0.3">
      <c r="A1462" s="7" t="s">
        <v>1474</v>
      </c>
      <c r="B1462" s="8">
        <v>35.490001678466797</v>
      </c>
    </row>
    <row r="1463" spans="1:2" x14ac:dyDescent="0.3">
      <c r="A1463" s="7" t="s">
        <v>1475</v>
      </c>
      <c r="B1463" s="8">
        <v>35.490001678466797</v>
      </c>
    </row>
    <row r="1464" spans="1:2" x14ac:dyDescent="0.3">
      <c r="A1464" s="7" t="s">
        <v>1476</v>
      </c>
      <c r="B1464" s="8">
        <v>35.490001678466797</v>
      </c>
    </row>
    <row r="1465" spans="1:2" x14ac:dyDescent="0.3">
      <c r="A1465" s="7" t="s">
        <v>1477</v>
      </c>
      <c r="B1465" s="8">
        <v>35.650001525878906</v>
      </c>
    </row>
    <row r="1466" spans="1:2" x14ac:dyDescent="0.3">
      <c r="A1466" s="7" t="s">
        <v>1478</v>
      </c>
      <c r="B1466" s="8">
        <v>35.650001525878906</v>
      </c>
    </row>
    <row r="1467" spans="1:2" x14ac:dyDescent="0.3">
      <c r="A1467" s="7" t="s">
        <v>1479</v>
      </c>
      <c r="B1467" s="8">
        <v>35.669998168945313</v>
      </c>
    </row>
    <row r="1468" spans="1:2" x14ac:dyDescent="0.3">
      <c r="A1468" s="7" t="s">
        <v>1480</v>
      </c>
      <c r="B1468" s="8">
        <v>35.5</v>
      </c>
    </row>
    <row r="1469" spans="1:2" x14ac:dyDescent="0.3">
      <c r="A1469" s="7" t="s">
        <v>1481</v>
      </c>
      <c r="B1469" s="8">
        <v>35.380001068115234</v>
      </c>
    </row>
    <row r="1470" spans="1:2" x14ac:dyDescent="0.3">
      <c r="A1470" s="7" t="s">
        <v>1482</v>
      </c>
      <c r="B1470" s="8">
        <v>35.380001068115234</v>
      </c>
    </row>
    <row r="1471" spans="1:2" x14ac:dyDescent="0.3">
      <c r="A1471" s="7" t="s">
        <v>1483</v>
      </c>
      <c r="B1471" s="8">
        <v>35.380001068115234</v>
      </c>
    </row>
    <row r="1472" spans="1:2" x14ac:dyDescent="0.3">
      <c r="A1472" s="7" t="s">
        <v>1484</v>
      </c>
      <c r="B1472" s="8">
        <v>35.380001068115234</v>
      </c>
    </row>
    <row r="1473" spans="1:2" x14ac:dyDescent="0.3">
      <c r="A1473" s="7" t="s">
        <v>1485</v>
      </c>
      <c r="B1473" s="8">
        <v>36.049999237060547</v>
      </c>
    </row>
    <row r="1474" spans="1:2" x14ac:dyDescent="0.3">
      <c r="A1474" s="7" t="s">
        <v>1486</v>
      </c>
      <c r="B1474" s="8">
        <v>35.900001525878906</v>
      </c>
    </row>
    <row r="1475" spans="1:2" x14ac:dyDescent="0.3">
      <c r="A1475" s="7" t="s">
        <v>1487</v>
      </c>
      <c r="B1475" s="8">
        <v>36.049999237060547</v>
      </c>
    </row>
    <row r="1476" spans="1:2" x14ac:dyDescent="0.3">
      <c r="A1476" s="7" t="s">
        <v>1488</v>
      </c>
      <c r="B1476" s="8">
        <v>35.930000305175781</v>
      </c>
    </row>
    <row r="1477" spans="1:2" x14ac:dyDescent="0.3">
      <c r="A1477" s="7" t="s">
        <v>1489</v>
      </c>
      <c r="B1477" s="8">
        <v>35.930000305175781</v>
      </c>
    </row>
    <row r="1478" spans="1:2" x14ac:dyDescent="0.3">
      <c r="A1478" s="7" t="s">
        <v>1490</v>
      </c>
      <c r="B1478" s="8">
        <v>35.930000305175781</v>
      </c>
    </row>
    <row r="1479" spans="1:2" x14ac:dyDescent="0.3">
      <c r="A1479" s="7" t="s">
        <v>1491</v>
      </c>
      <c r="B1479" s="8">
        <v>35.930000305175781</v>
      </c>
    </row>
    <row r="1480" spans="1:2" x14ac:dyDescent="0.3">
      <c r="A1480" s="7" t="s">
        <v>1492</v>
      </c>
      <c r="B1480" s="8">
        <v>36.180000305175781</v>
      </c>
    </row>
    <row r="1481" spans="1:2" x14ac:dyDescent="0.3">
      <c r="A1481" s="7" t="s">
        <v>1493</v>
      </c>
      <c r="B1481" s="8">
        <v>36.255001068115234</v>
      </c>
    </row>
    <row r="1482" spans="1:2" x14ac:dyDescent="0.3">
      <c r="A1482" s="7" t="s">
        <v>1494</v>
      </c>
      <c r="B1482" s="8">
        <v>36.255001068115234</v>
      </c>
    </row>
    <row r="1483" spans="1:2" x14ac:dyDescent="0.3">
      <c r="A1483" s="7" t="s">
        <v>1495</v>
      </c>
      <c r="B1483" s="8">
        <v>37.5</v>
      </c>
    </row>
    <row r="1484" spans="1:2" x14ac:dyDescent="0.3">
      <c r="A1484" s="7" t="s">
        <v>1496</v>
      </c>
      <c r="B1484" s="8">
        <v>37.5</v>
      </c>
    </row>
    <row r="1485" spans="1:2" x14ac:dyDescent="0.3">
      <c r="A1485" s="7" t="s">
        <v>1497</v>
      </c>
      <c r="B1485" s="8">
        <v>37.5</v>
      </c>
    </row>
    <row r="1486" spans="1:2" x14ac:dyDescent="0.3">
      <c r="A1486" s="7" t="s">
        <v>1498</v>
      </c>
      <c r="B1486" s="8">
        <v>39.049999237060547</v>
      </c>
    </row>
    <row r="1487" spans="1:2" x14ac:dyDescent="0.3">
      <c r="A1487" s="7" t="s">
        <v>1499</v>
      </c>
      <c r="B1487" s="8">
        <v>38.549999237060547</v>
      </c>
    </row>
    <row r="1488" spans="1:2" x14ac:dyDescent="0.3">
      <c r="A1488" s="7" t="s">
        <v>1500</v>
      </c>
      <c r="B1488" s="8">
        <v>38.459999084472656</v>
      </c>
    </row>
    <row r="1489" spans="1:2" x14ac:dyDescent="0.3">
      <c r="A1489" s="7" t="s">
        <v>1501</v>
      </c>
      <c r="B1489" s="8">
        <v>37.720001220703125</v>
      </c>
    </row>
    <row r="1490" spans="1:2" x14ac:dyDescent="0.3">
      <c r="A1490" s="7" t="s">
        <v>1502</v>
      </c>
      <c r="B1490" s="8">
        <v>37.720001220703125</v>
      </c>
    </row>
    <row r="1491" spans="1:2" x14ac:dyDescent="0.3">
      <c r="A1491" s="7" t="s">
        <v>1503</v>
      </c>
      <c r="B1491" s="8">
        <v>37.720001220703125</v>
      </c>
    </row>
    <row r="1492" spans="1:2" x14ac:dyDescent="0.3">
      <c r="A1492" s="7" t="s">
        <v>1504</v>
      </c>
      <c r="B1492" s="8">
        <v>37.720001220703125</v>
      </c>
    </row>
    <row r="1493" spans="1:2" x14ac:dyDescent="0.3">
      <c r="A1493" s="7" t="s">
        <v>1505</v>
      </c>
      <c r="B1493" s="8">
        <v>36.5</v>
      </c>
    </row>
    <row r="1494" spans="1:2" x14ac:dyDescent="0.3">
      <c r="A1494" s="7" t="s">
        <v>1506</v>
      </c>
      <c r="B1494" s="8">
        <v>37.400001525878906</v>
      </c>
    </row>
    <row r="1495" spans="1:2" x14ac:dyDescent="0.3">
      <c r="A1495" s="7" t="s">
        <v>1507</v>
      </c>
      <c r="B1495" s="8">
        <v>37.450000762939453</v>
      </c>
    </row>
    <row r="1496" spans="1:2" x14ac:dyDescent="0.3">
      <c r="A1496" s="7" t="s">
        <v>1508</v>
      </c>
      <c r="B1496" s="8">
        <v>37.700000762939453</v>
      </c>
    </row>
    <row r="1497" spans="1:2" x14ac:dyDescent="0.3">
      <c r="A1497" s="7" t="s">
        <v>1509</v>
      </c>
      <c r="B1497" s="8">
        <v>37.400001525878906</v>
      </c>
    </row>
    <row r="1498" spans="1:2" x14ac:dyDescent="0.3">
      <c r="A1498" s="7" t="s">
        <v>1510</v>
      </c>
      <c r="B1498" s="8">
        <v>37.400001525878906</v>
      </c>
    </row>
    <row r="1499" spans="1:2" x14ac:dyDescent="0.3">
      <c r="A1499" s="7" t="s">
        <v>1511</v>
      </c>
      <c r="B1499" s="8">
        <v>37.400001525878906</v>
      </c>
    </row>
    <row r="1500" spans="1:2" x14ac:dyDescent="0.3">
      <c r="A1500" s="7" t="s">
        <v>1512</v>
      </c>
      <c r="B1500" s="8">
        <v>37.659999847412109</v>
      </c>
    </row>
    <row r="1501" spans="1:2" x14ac:dyDescent="0.3">
      <c r="A1501" s="7" t="s">
        <v>1513</v>
      </c>
      <c r="B1501" s="8">
        <v>37.799999237060547</v>
      </c>
    </row>
    <row r="1502" spans="1:2" x14ac:dyDescent="0.3">
      <c r="A1502" s="7" t="s">
        <v>1514</v>
      </c>
      <c r="B1502" s="8">
        <v>37.590000152587891</v>
      </c>
    </row>
    <row r="1503" spans="1:2" x14ac:dyDescent="0.3">
      <c r="A1503" s="7" t="s">
        <v>1515</v>
      </c>
      <c r="B1503" s="8">
        <v>37.830001831054688</v>
      </c>
    </row>
    <row r="1504" spans="1:2" x14ac:dyDescent="0.3">
      <c r="A1504" s="7" t="s">
        <v>1516</v>
      </c>
      <c r="B1504" s="8">
        <v>38.073001861572266</v>
      </c>
    </row>
    <row r="1505" spans="1:2" x14ac:dyDescent="0.3">
      <c r="A1505" s="7" t="s">
        <v>1517</v>
      </c>
      <c r="B1505" s="8">
        <v>38.073001861572266</v>
      </c>
    </row>
    <row r="1506" spans="1:2" x14ac:dyDescent="0.3">
      <c r="A1506" s="7" t="s">
        <v>1518</v>
      </c>
      <c r="B1506" s="8">
        <v>38.073001861572266</v>
      </c>
    </row>
    <row r="1507" spans="1:2" x14ac:dyDescent="0.3">
      <c r="A1507" s="7" t="s">
        <v>1519</v>
      </c>
      <c r="B1507" s="8">
        <v>38.259998321533203</v>
      </c>
    </row>
    <row r="1508" spans="1:2" x14ac:dyDescent="0.3">
      <c r="A1508" s="7" t="s">
        <v>1520</v>
      </c>
      <c r="B1508" s="8">
        <v>38.259998321533203</v>
      </c>
    </row>
    <row r="1509" spans="1:2" x14ac:dyDescent="0.3">
      <c r="A1509" s="7" t="s">
        <v>1521</v>
      </c>
      <c r="B1509" s="8">
        <v>38.369998931884766</v>
      </c>
    </row>
    <row r="1510" spans="1:2" x14ac:dyDescent="0.3">
      <c r="A1510" s="7" t="s">
        <v>1522</v>
      </c>
      <c r="B1510" s="8">
        <v>38.049999237060547</v>
      </c>
    </row>
    <row r="1511" spans="1:2" x14ac:dyDescent="0.3">
      <c r="A1511" s="7" t="s">
        <v>1523</v>
      </c>
      <c r="B1511" s="8">
        <v>37.974998474121094</v>
      </c>
    </row>
    <row r="1512" spans="1:2" x14ac:dyDescent="0.3">
      <c r="A1512" s="7" t="s">
        <v>1524</v>
      </c>
      <c r="B1512" s="8">
        <v>37.974998474121094</v>
      </c>
    </row>
    <row r="1513" spans="1:2" x14ac:dyDescent="0.3">
      <c r="A1513" s="7" t="s">
        <v>1525</v>
      </c>
      <c r="B1513" s="8">
        <v>37.974998474121094</v>
      </c>
    </row>
    <row r="1514" spans="1:2" x14ac:dyDescent="0.3">
      <c r="A1514" s="7" t="s">
        <v>1526</v>
      </c>
      <c r="B1514" s="8">
        <v>37.974998474121094</v>
      </c>
    </row>
    <row r="1515" spans="1:2" x14ac:dyDescent="0.3">
      <c r="A1515" s="7" t="s">
        <v>1527</v>
      </c>
      <c r="B1515" s="8">
        <v>37.974998474121094</v>
      </c>
    </row>
    <row r="1516" spans="1:2" x14ac:dyDescent="0.3">
      <c r="A1516" s="7" t="s">
        <v>1528</v>
      </c>
      <c r="B1516" s="8">
        <v>38.599998474121094</v>
      </c>
    </row>
    <row r="1517" spans="1:2" x14ac:dyDescent="0.3">
      <c r="A1517" s="7" t="s">
        <v>1529</v>
      </c>
      <c r="B1517" s="8">
        <v>38.299999237060547</v>
      </c>
    </row>
    <row r="1518" spans="1:2" x14ac:dyDescent="0.3">
      <c r="A1518" s="7" t="s">
        <v>1530</v>
      </c>
      <c r="B1518" s="8">
        <v>37.700000762939453</v>
      </c>
    </row>
    <row r="1519" spans="1:2" x14ac:dyDescent="0.3">
      <c r="A1519" s="7" t="s">
        <v>1531</v>
      </c>
      <c r="B1519" s="8">
        <v>37.700000762939453</v>
      </c>
    </row>
    <row r="1520" spans="1:2" x14ac:dyDescent="0.3">
      <c r="A1520" s="7" t="s">
        <v>1532</v>
      </c>
      <c r="B1520" s="8">
        <v>37.700000762939453</v>
      </c>
    </row>
    <row r="1521" spans="1:2" x14ac:dyDescent="0.3">
      <c r="A1521" s="7" t="s">
        <v>1533</v>
      </c>
      <c r="B1521" s="8">
        <v>37.700000762939453</v>
      </c>
    </row>
    <row r="1522" spans="1:2" x14ac:dyDescent="0.3">
      <c r="A1522" s="7" t="s">
        <v>1534</v>
      </c>
      <c r="B1522" s="8">
        <v>37.700000762939453</v>
      </c>
    </row>
    <row r="1523" spans="1:2" x14ac:dyDescent="0.3">
      <c r="A1523" s="7" t="s">
        <v>1535</v>
      </c>
      <c r="B1523" s="8">
        <v>37.650001525878906</v>
      </c>
    </row>
    <row r="1524" spans="1:2" x14ac:dyDescent="0.3">
      <c r="A1524" s="7" t="s">
        <v>1536</v>
      </c>
      <c r="B1524" s="8">
        <v>37.450000762939453</v>
      </c>
    </row>
    <row r="1525" spans="1:2" x14ac:dyDescent="0.3">
      <c r="A1525" s="7" t="s">
        <v>1537</v>
      </c>
      <c r="B1525" s="8">
        <v>37.369998931884766</v>
      </c>
    </row>
    <row r="1526" spans="1:2" x14ac:dyDescent="0.3">
      <c r="A1526" s="7" t="s">
        <v>1538</v>
      </c>
      <c r="B1526" s="8">
        <v>37.369998931884766</v>
      </c>
    </row>
    <row r="1527" spans="1:2" x14ac:dyDescent="0.3">
      <c r="A1527" s="7" t="s">
        <v>1539</v>
      </c>
      <c r="B1527" s="8">
        <v>37.369998931884766</v>
      </c>
    </row>
    <row r="1528" spans="1:2" x14ac:dyDescent="0.3">
      <c r="A1528" s="7" t="s">
        <v>1540</v>
      </c>
      <c r="B1528" s="8">
        <v>37.305000305175781</v>
      </c>
    </row>
    <row r="1529" spans="1:2" x14ac:dyDescent="0.3">
      <c r="A1529" s="7" t="s">
        <v>1541</v>
      </c>
      <c r="B1529" s="8">
        <v>37.599998474121094</v>
      </c>
    </row>
    <row r="1530" spans="1:2" x14ac:dyDescent="0.3">
      <c r="A1530" s="7" t="s">
        <v>1542</v>
      </c>
      <c r="B1530" s="8">
        <v>37.369998931884766</v>
      </c>
    </row>
    <row r="1531" spans="1:2" x14ac:dyDescent="0.3">
      <c r="A1531" s="7" t="s">
        <v>1543</v>
      </c>
      <c r="B1531" s="8">
        <v>37.080001831054688</v>
      </c>
    </row>
    <row r="1532" spans="1:2" x14ac:dyDescent="0.3">
      <c r="A1532" s="7" t="s">
        <v>1544</v>
      </c>
      <c r="B1532" s="8">
        <v>36.900001525878906</v>
      </c>
    </row>
    <row r="1533" spans="1:2" x14ac:dyDescent="0.3">
      <c r="A1533" s="7" t="s">
        <v>1545</v>
      </c>
      <c r="B1533" s="8">
        <v>36.900001525878906</v>
      </c>
    </row>
    <row r="1534" spans="1:2" x14ac:dyDescent="0.3">
      <c r="A1534" s="7" t="s">
        <v>1546</v>
      </c>
      <c r="B1534" s="8">
        <v>36.900001525878906</v>
      </c>
    </row>
    <row r="1535" spans="1:2" x14ac:dyDescent="0.3">
      <c r="A1535" s="7" t="s">
        <v>1547</v>
      </c>
      <c r="B1535" s="8">
        <v>37</v>
      </c>
    </row>
    <row r="1536" spans="1:2" x14ac:dyDescent="0.3">
      <c r="A1536" s="7" t="s">
        <v>1548</v>
      </c>
      <c r="B1536" s="8">
        <v>37.099998474121094</v>
      </c>
    </row>
    <row r="1537" spans="1:2" x14ac:dyDescent="0.3">
      <c r="A1537" s="7" t="s">
        <v>1549</v>
      </c>
      <c r="B1537" s="8">
        <v>37.5</v>
      </c>
    </row>
    <row r="1538" spans="1:2" x14ac:dyDescent="0.3">
      <c r="A1538" s="7" t="s">
        <v>1550</v>
      </c>
      <c r="B1538" s="8">
        <v>37.709999084472656</v>
      </c>
    </row>
    <row r="1539" spans="1:2" x14ac:dyDescent="0.3">
      <c r="A1539" s="7" t="s">
        <v>1551</v>
      </c>
      <c r="B1539" s="8">
        <v>37.580001831054688</v>
      </c>
    </row>
    <row r="1540" spans="1:2" x14ac:dyDescent="0.3">
      <c r="A1540" s="7" t="s">
        <v>1552</v>
      </c>
      <c r="B1540" s="8">
        <v>37.580001831054688</v>
      </c>
    </row>
    <row r="1541" spans="1:2" x14ac:dyDescent="0.3">
      <c r="A1541" s="7" t="s">
        <v>1553</v>
      </c>
      <c r="B1541" s="8">
        <v>37.580001831054688</v>
      </c>
    </row>
    <row r="1542" spans="1:2" x14ac:dyDescent="0.3">
      <c r="A1542" s="7" t="s">
        <v>1554</v>
      </c>
      <c r="B1542" s="8">
        <v>37.580001831054688</v>
      </c>
    </row>
    <row r="1543" spans="1:2" x14ac:dyDescent="0.3">
      <c r="A1543" s="7" t="s">
        <v>1555</v>
      </c>
      <c r="B1543" s="8">
        <v>37.529998779296875</v>
      </c>
    </row>
    <row r="1544" spans="1:2" x14ac:dyDescent="0.3">
      <c r="A1544" s="7" t="s">
        <v>1556</v>
      </c>
      <c r="B1544" s="8">
        <v>37.560001373291016</v>
      </c>
    </row>
    <row r="1545" spans="1:2" x14ac:dyDescent="0.3">
      <c r="A1545" s="7" t="s">
        <v>1557</v>
      </c>
      <c r="B1545" s="8">
        <v>37.400001525878906</v>
      </c>
    </row>
    <row r="1546" spans="1:2" x14ac:dyDescent="0.3">
      <c r="A1546" s="7" t="s">
        <v>1558</v>
      </c>
      <c r="B1546" s="8">
        <v>37.029998779296875</v>
      </c>
    </row>
    <row r="1547" spans="1:2" x14ac:dyDescent="0.3">
      <c r="A1547" s="7" t="s">
        <v>1559</v>
      </c>
      <c r="B1547" s="8">
        <v>37.029998779296875</v>
      </c>
    </row>
    <row r="1548" spans="1:2" x14ac:dyDescent="0.3">
      <c r="A1548" s="7" t="s">
        <v>1560</v>
      </c>
      <c r="B1548" s="8">
        <v>37.029998779296875</v>
      </c>
    </row>
    <row r="1549" spans="1:2" x14ac:dyDescent="0.3">
      <c r="A1549" s="7" t="s">
        <v>1561</v>
      </c>
      <c r="B1549" s="8">
        <v>37.150001525878906</v>
      </c>
    </row>
    <row r="1550" spans="1:2" x14ac:dyDescent="0.3">
      <c r="A1550" s="7" t="s">
        <v>1562</v>
      </c>
      <c r="B1550" s="8">
        <v>37.700000762939453</v>
      </c>
    </row>
    <row r="1551" spans="1:2" x14ac:dyDescent="0.3">
      <c r="A1551" s="7" t="s">
        <v>1563</v>
      </c>
      <c r="B1551" s="8">
        <v>37.509998321533203</v>
      </c>
    </row>
    <row r="1552" spans="1:2" x14ac:dyDescent="0.3">
      <c r="A1552" s="7" t="s">
        <v>1564</v>
      </c>
      <c r="B1552" s="8">
        <v>37.349998474121094</v>
      </c>
    </row>
    <row r="1553" spans="1:2" x14ac:dyDescent="0.3">
      <c r="A1553" s="7" t="s">
        <v>1565</v>
      </c>
      <c r="B1553" s="8">
        <v>37.169998168945313</v>
      </c>
    </row>
    <row r="1554" spans="1:2" x14ac:dyDescent="0.3">
      <c r="A1554" s="7" t="s">
        <v>1566</v>
      </c>
      <c r="B1554" s="8">
        <v>37.169998168945313</v>
      </c>
    </row>
    <row r="1555" spans="1:2" x14ac:dyDescent="0.3">
      <c r="A1555" s="7" t="s">
        <v>1567</v>
      </c>
      <c r="B1555" s="8">
        <v>37.169998168945313</v>
      </c>
    </row>
    <row r="1556" spans="1:2" x14ac:dyDescent="0.3">
      <c r="A1556" s="7" t="s">
        <v>1568</v>
      </c>
      <c r="B1556" s="8">
        <v>37.189998626708984</v>
      </c>
    </row>
    <row r="1557" spans="1:2" x14ac:dyDescent="0.3">
      <c r="A1557" s="7" t="s">
        <v>1569</v>
      </c>
      <c r="B1557" s="8">
        <v>37.200000762939453</v>
      </c>
    </row>
    <row r="1558" spans="1:2" x14ac:dyDescent="0.3">
      <c r="A1558" s="7" t="s">
        <v>1570</v>
      </c>
      <c r="B1558" s="8">
        <v>37.520000457763672</v>
      </c>
    </row>
    <row r="1559" spans="1:2" x14ac:dyDescent="0.3">
      <c r="A1559" s="7" t="s">
        <v>1571</v>
      </c>
      <c r="B1559" s="8">
        <v>37.819999694824219</v>
      </c>
    </row>
    <row r="1560" spans="1:2" x14ac:dyDescent="0.3">
      <c r="A1560" s="7" t="s">
        <v>1572</v>
      </c>
      <c r="B1560" s="8">
        <v>37.849998474121094</v>
      </c>
    </row>
    <row r="1561" spans="1:2" x14ac:dyDescent="0.3">
      <c r="A1561" s="7" t="s">
        <v>1573</v>
      </c>
      <c r="B1561" s="8">
        <v>37.849998474121094</v>
      </c>
    </row>
    <row r="1562" spans="1:2" x14ac:dyDescent="0.3">
      <c r="A1562" s="7" t="s">
        <v>1574</v>
      </c>
      <c r="B1562" s="8">
        <v>37.849998474121094</v>
      </c>
    </row>
    <row r="1563" spans="1:2" x14ac:dyDescent="0.3">
      <c r="A1563" s="7" t="s">
        <v>1575</v>
      </c>
      <c r="B1563" s="8">
        <v>37.909999847412109</v>
      </c>
    </row>
    <row r="1564" spans="1:2" x14ac:dyDescent="0.3">
      <c r="A1564" s="7" t="s">
        <v>1576</v>
      </c>
      <c r="B1564" s="8">
        <v>37.990001678466797</v>
      </c>
    </row>
    <row r="1565" spans="1:2" x14ac:dyDescent="0.3">
      <c r="A1565" s="7" t="s">
        <v>1577</v>
      </c>
      <c r="B1565" s="8">
        <v>38.220001220703125</v>
      </c>
    </row>
    <row r="1566" spans="1:2" x14ac:dyDescent="0.3">
      <c r="A1566" s="7" t="s">
        <v>1578</v>
      </c>
      <c r="B1566" s="8">
        <v>38.220001220703125</v>
      </c>
    </row>
    <row r="1567" spans="1:2" x14ac:dyDescent="0.3">
      <c r="A1567" s="7" t="s">
        <v>1579</v>
      </c>
      <c r="B1567" s="8">
        <v>38.619998931884766</v>
      </c>
    </row>
    <row r="1568" spans="1:2" x14ac:dyDescent="0.3">
      <c r="A1568" s="7" t="s">
        <v>1580</v>
      </c>
      <c r="B1568" s="8">
        <v>38.619998931884766</v>
      </c>
    </row>
    <row r="1569" spans="1:2" x14ac:dyDescent="0.3">
      <c r="A1569" s="7" t="s">
        <v>1581</v>
      </c>
      <c r="B1569" s="8">
        <v>38.619998931884766</v>
      </c>
    </row>
    <row r="1570" spans="1:2" x14ac:dyDescent="0.3">
      <c r="A1570" s="7" t="s">
        <v>1582</v>
      </c>
      <c r="B1570" s="8">
        <v>38.619998931884766</v>
      </c>
    </row>
    <row r="1571" spans="1:2" x14ac:dyDescent="0.3">
      <c r="A1571" s="7" t="s">
        <v>1583</v>
      </c>
      <c r="B1571" s="8">
        <v>39.270000457763672</v>
      </c>
    </row>
    <row r="1572" spans="1:2" x14ac:dyDescent="0.3">
      <c r="A1572" s="7" t="s">
        <v>1584</v>
      </c>
      <c r="B1572" s="8">
        <v>39.669998168945313</v>
      </c>
    </row>
    <row r="1573" spans="1:2" x14ac:dyDescent="0.3">
      <c r="A1573" s="7" t="s">
        <v>1585</v>
      </c>
      <c r="B1573" s="8">
        <v>39.529998779296875</v>
      </c>
    </row>
    <row r="1574" spans="1:2" x14ac:dyDescent="0.3">
      <c r="A1574" s="7" t="s">
        <v>1586</v>
      </c>
      <c r="B1574" s="8">
        <v>39.220001220703125</v>
      </c>
    </row>
    <row r="1575" spans="1:2" x14ac:dyDescent="0.3">
      <c r="A1575" s="7" t="s">
        <v>1587</v>
      </c>
      <c r="B1575" s="8">
        <v>39.220001220703125</v>
      </c>
    </row>
    <row r="1576" spans="1:2" x14ac:dyDescent="0.3">
      <c r="A1576" s="7" t="s">
        <v>1588</v>
      </c>
      <c r="B1576" s="8">
        <v>39.220001220703125</v>
      </c>
    </row>
    <row r="1577" spans="1:2" x14ac:dyDescent="0.3">
      <c r="A1577" s="7" t="s">
        <v>1589</v>
      </c>
      <c r="B1577" s="8">
        <v>39.048999786376953</v>
      </c>
    </row>
    <row r="1578" spans="1:2" x14ac:dyDescent="0.3">
      <c r="A1578" s="7" t="s">
        <v>1590</v>
      </c>
      <c r="B1578" s="8">
        <v>38.869998931884766</v>
      </c>
    </row>
    <row r="1579" spans="1:2" x14ac:dyDescent="0.3">
      <c r="A1579" s="7" t="s">
        <v>1591</v>
      </c>
      <c r="B1579" s="8">
        <v>38.819999694824219</v>
      </c>
    </row>
    <row r="1580" spans="1:2" x14ac:dyDescent="0.3">
      <c r="A1580" s="7" t="s">
        <v>1592</v>
      </c>
      <c r="B1580" s="8">
        <v>39.150001525878906</v>
      </c>
    </row>
    <row r="1581" spans="1:2" x14ac:dyDescent="0.3">
      <c r="A1581" s="7" t="s">
        <v>1593</v>
      </c>
      <c r="B1581" s="8">
        <v>39.810001373291016</v>
      </c>
    </row>
    <row r="1582" spans="1:2" x14ac:dyDescent="0.3">
      <c r="A1582" s="7" t="s">
        <v>1594</v>
      </c>
      <c r="B1582" s="8">
        <v>39.810001373291016</v>
      </c>
    </row>
    <row r="1583" spans="1:2" x14ac:dyDescent="0.3">
      <c r="A1583" s="7" t="s">
        <v>1595</v>
      </c>
      <c r="B1583" s="8">
        <v>39.810001373291016</v>
      </c>
    </row>
    <row r="1584" spans="1:2" x14ac:dyDescent="0.3">
      <c r="A1584" s="7" t="s">
        <v>1596</v>
      </c>
      <c r="B1584" s="8">
        <v>39.810001373291016</v>
      </c>
    </row>
    <row r="1585" spans="1:2" x14ac:dyDescent="0.3">
      <c r="A1585" s="7" t="s">
        <v>1597</v>
      </c>
      <c r="B1585" s="8">
        <v>39.810001373291016</v>
      </c>
    </row>
    <row r="1586" spans="1:2" x14ac:dyDescent="0.3">
      <c r="A1586" s="7" t="s">
        <v>1598</v>
      </c>
      <c r="B1586" s="8">
        <v>40.75</v>
      </c>
    </row>
    <row r="1587" spans="1:2" x14ac:dyDescent="0.3">
      <c r="A1587" s="7" t="s">
        <v>1599</v>
      </c>
      <c r="B1587" s="8">
        <v>42.5</v>
      </c>
    </row>
    <row r="1588" spans="1:2" x14ac:dyDescent="0.3">
      <c r="A1588" s="7" t="s">
        <v>1600</v>
      </c>
      <c r="B1588" s="8">
        <v>41.200000762939453</v>
      </c>
    </row>
    <row r="1589" spans="1:2" x14ac:dyDescent="0.3">
      <c r="A1589" s="7" t="s">
        <v>1601</v>
      </c>
      <c r="B1589" s="8">
        <v>41.200000762939453</v>
      </c>
    </row>
    <row r="1590" spans="1:2" x14ac:dyDescent="0.3">
      <c r="A1590" s="7" t="s">
        <v>1602</v>
      </c>
      <c r="B1590" s="8">
        <v>41.200000762939453</v>
      </c>
    </row>
    <row r="1591" spans="1:2" x14ac:dyDescent="0.3">
      <c r="A1591" s="7" t="s">
        <v>1603</v>
      </c>
      <c r="B1591" s="8">
        <v>41.299999237060547</v>
      </c>
    </row>
    <row r="1592" spans="1:2" x14ac:dyDescent="0.3">
      <c r="A1592" s="7" t="s">
        <v>1604</v>
      </c>
      <c r="B1592" s="8">
        <v>41.5</v>
      </c>
    </row>
    <row r="1593" spans="1:2" x14ac:dyDescent="0.3">
      <c r="A1593" s="7" t="s">
        <v>1605</v>
      </c>
      <c r="B1593" s="8">
        <v>41.200000762939453</v>
      </c>
    </row>
    <row r="1594" spans="1:2" x14ac:dyDescent="0.3">
      <c r="A1594" s="7" t="s">
        <v>1606</v>
      </c>
      <c r="B1594" s="8">
        <v>40.770000457763672</v>
      </c>
    </row>
    <row r="1595" spans="1:2" x14ac:dyDescent="0.3">
      <c r="A1595" s="7" t="s">
        <v>1607</v>
      </c>
      <c r="B1595" s="8">
        <v>40</v>
      </c>
    </row>
    <row r="1596" spans="1:2" x14ac:dyDescent="0.3">
      <c r="A1596" s="7" t="s">
        <v>1608</v>
      </c>
      <c r="B1596" s="8">
        <v>40</v>
      </c>
    </row>
    <row r="1597" spans="1:2" x14ac:dyDescent="0.3">
      <c r="A1597" s="7" t="s">
        <v>1609</v>
      </c>
      <c r="B1597" s="8">
        <v>40</v>
      </c>
    </row>
    <row r="1598" spans="1:2" x14ac:dyDescent="0.3">
      <c r="A1598" s="7" t="s">
        <v>1610</v>
      </c>
      <c r="B1598" s="8">
        <v>40.049999237060547</v>
      </c>
    </row>
    <row r="1599" spans="1:2" x14ac:dyDescent="0.3">
      <c r="A1599" s="7" t="s">
        <v>1611</v>
      </c>
      <c r="B1599" s="8">
        <v>40.5</v>
      </c>
    </row>
    <row r="1600" spans="1:2" x14ac:dyDescent="0.3">
      <c r="A1600" s="7" t="s">
        <v>1612</v>
      </c>
      <c r="B1600" s="8">
        <v>40.849998474121094</v>
      </c>
    </row>
    <row r="1601" spans="1:2" x14ac:dyDescent="0.3">
      <c r="A1601" s="7" t="s">
        <v>1613</v>
      </c>
      <c r="B1601" s="8">
        <v>41.075000762939453</v>
      </c>
    </row>
    <row r="1602" spans="1:2" x14ac:dyDescent="0.3">
      <c r="A1602" s="7" t="s">
        <v>1614</v>
      </c>
      <c r="B1602" s="8">
        <v>41.799999237060547</v>
      </c>
    </row>
    <row r="1603" spans="1:2" x14ac:dyDescent="0.3">
      <c r="A1603" s="7" t="s">
        <v>1615</v>
      </c>
      <c r="B1603" s="8">
        <v>41.799999237060547</v>
      </c>
    </row>
    <row r="1604" spans="1:2" x14ac:dyDescent="0.3">
      <c r="A1604" s="7" t="s">
        <v>1616</v>
      </c>
      <c r="B1604" s="8">
        <v>41.799999237060547</v>
      </c>
    </row>
    <row r="1605" spans="1:2" x14ac:dyDescent="0.3">
      <c r="A1605" s="7" t="s">
        <v>1617</v>
      </c>
      <c r="B1605" s="8">
        <v>42.080001831054688</v>
      </c>
    </row>
    <row r="1606" spans="1:2" x14ac:dyDescent="0.3">
      <c r="A1606" s="7" t="s">
        <v>1618</v>
      </c>
      <c r="B1606" s="8">
        <v>42.639999389648438</v>
      </c>
    </row>
    <row r="1607" spans="1:2" x14ac:dyDescent="0.3">
      <c r="A1607" s="7" t="s">
        <v>1619</v>
      </c>
      <c r="B1607" s="8">
        <v>43.869998931884766</v>
      </c>
    </row>
    <row r="1608" spans="1:2" x14ac:dyDescent="0.3">
      <c r="A1608" s="7" t="s">
        <v>1620</v>
      </c>
      <c r="B1608" s="8">
        <v>43.630001068115234</v>
      </c>
    </row>
    <row r="1609" spans="1:2" x14ac:dyDescent="0.3">
      <c r="A1609" s="7" t="s">
        <v>1621</v>
      </c>
      <c r="B1609" s="8">
        <v>43.345001220703125</v>
      </c>
    </row>
    <row r="1610" spans="1:2" x14ac:dyDescent="0.3">
      <c r="A1610" s="7" t="s">
        <v>1622</v>
      </c>
      <c r="B1610" s="8">
        <v>43.345001220703125</v>
      </c>
    </row>
    <row r="1611" spans="1:2" x14ac:dyDescent="0.3">
      <c r="A1611" s="7" t="s">
        <v>1623</v>
      </c>
      <c r="B1611" s="8">
        <v>43.345001220703125</v>
      </c>
    </row>
    <row r="1612" spans="1:2" x14ac:dyDescent="0.3">
      <c r="A1612" s="7" t="s">
        <v>1624</v>
      </c>
      <c r="B1612" s="8">
        <v>42.715000152587891</v>
      </c>
    </row>
    <row r="1613" spans="1:2" x14ac:dyDescent="0.3">
      <c r="A1613" s="7" t="s">
        <v>1625</v>
      </c>
      <c r="B1613" s="8">
        <v>42.715000152587891</v>
      </c>
    </row>
    <row r="1614" spans="1:2" x14ac:dyDescent="0.3">
      <c r="A1614" s="7" t="s">
        <v>1626</v>
      </c>
      <c r="B1614" s="8">
        <v>42.869998931884766</v>
      </c>
    </row>
    <row r="1615" spans="1:2" x14ac:dyDescent="0.3">
      <c r="A1615" s="7" t="s">
        <v>1627</v>
      </c>
      <c r="B1615" s="8">
        <v>43.409999847412109</v>
      </c>
    </row>
    <row r="1616" spans="1:2" x14ac:dyDescent="0.3">
      <c r="A1616" s="7" t="s">
        <v>1628</v>
      </c>
      <c r="B1616" s="8">
        <v>43.930000305175781</v>
      </c>
    </row>
    <row r="1617" spans="1:2" x14ac:dyDescent="0.3">
      <c r="A1617" s="7" t="s">
        <v>1629</v>
      </c>
      <c r="B1617" s="8">
        <v>43.930000305175781</v>
      </c>
    </row>
    <row r="1618" spans="1:2" x14ac:dyDescent="0.3">
      <c r="A1618" s="7" t="s">
        <v>1630</v>
      </c>
      <c r="B1618" s="8">
        <v>43.930000305175781</v>
      </c>
    </row>
    <row r="1619" spans="1:2" x14ac:dyDescent="0.3">
      <c r="A1619" s="7" t="s">
        <v>1631</v>
      </c>
      <c r="B1619" s="8">
        <v>43.650001525878906</v>
      </c>
    </row>
    <row r="1620" spans="1:2" x14ac:dyDescent="0.3">
      <c r="A1620" s="7" t="s">
        <v>1632</v>
      </c>
      <c r="B1620" s="8">
        <v>43.349998474121094</v>
      </c>
    </row>
    <row r="1621" spans="1:2" x14ac:dyDescent="0.3">
      <c r="A1621" s="7" t="s">
        <v>1633</v>
      </c>
      <c r="B1621" s="8">
        <v>43.009998321533203</v>
      </c>
    </row>
    <row r="1622" spans="1:2" x14ac:dyDescent="0.3">
      <c r="A1622" s="7" t="s">
        <v>1634</v>
      </c>
      <c r="B1622" s="8">
        <v>42.75</v>
      </c>
    </row>
    <row r="1623" spans="1:2" x14ac:dyDescent="0.3">
      <c r="A1623" s="7" t="s">
        <v>1635</v>
      </c>
      <c r="B1623" s="8">
        <v>42.180000305175781</v>
      </c>
    </row>
    <row r="1624" spans="1:2" x14ac:dyDescent="0.3">
      <c r="A1624" s="7" t="s">
        <v>1636</v>
      </c>
      <c r="B1624" s="8">
        <v>42.180000305175781</v>
      </c>
    </row>
    <row r="1625" spans="1:2" x14ac:dyDescent="0.3">
      <c r="A1625" s="7" t="s">
        <v>1637</v>
      </c>
      <c r="B1625" s="8">
        <v>42.180000305175781</v>
      </c>
    </row>
    <row r="1626" spans="1:2" x14ac:dyDescent="0.3">
      <c r="A1626" s="7" t="s">
        <v>1638</v>
      </c>
      <c r="B1626" s="8">
        <v>41.619998931884766</v>
      </c>
    </row>
    <row r="1627" spans="1:2" x14ac:dyDescent="0.3">
      <c r="A1627" s="7" t="s">
        <v>1639</v>
      </c>
      <c r="B1627" s="8">
        <v>42.389999389648438</v>
      </c>
    </row>
    <row r="1628" spans="1:2" x14ac:dyDescent="0.3">
      <c r="A1628" s="7" t="s">
        <v>1640</v>
      </c>
      <c r="B1628" s="8">
        <v>41.900001525878906</v>
      </c>
    </row>
    <row r="1629" spans="1:2" x14ac:dyDescent="0.3">
      <c r="A1629" s="7" t="s">
        <v>1641</v>
      </c>
      <c r="B1629" s="8">
        <v>41.900001525878906</v>
      </c>
    </row>
    <row r="1630" spans="1:2" x14ac:dyDescent="0.3">
      <c r="A1630" s="7" t="s">
        <v>1642</v>
      </c>
      <c r="B1630" s="8">
        <v>41.900001525878906</v>
      </c>
    </row>
    <row r="1631" spans="1:2" x14ac:dyDescent="0.3">
      <c r="A1631" s="7" t="s">
        <v>1643</v>
      </c>
      <c r="B1631" s="8">
        <v>41.900001525878906</v>
      </c>
    </row>
    <row r="1632" spans="1:2" x14ac:dyDescent="0.3">
      <c r="A1632" s="7" t="s">
        <v>1644</v>
      </c>
      <c r="B1632" s="8">
        <v>41.900001525878906</v>
      </c>
    </row>
    <row r="1633" spans="1:2" x14ac:dyDescent="0.3">
      <c r="A1633" s="7" t="s">
        <v>1645</v>
      </c>
      <c r="B1633" s="8">
        <v>42.479999542236328</v>
      </c>
    </row>
    <row r="1634" spans="1:2" x14ac:dyDescent="0.3">
      <c r="A1634" s="7" t="s">
        <v>1646</v>
      </c>
      <c r="B1634" s="8">
        <v>42.400001525878906</v>
      </c>
    </row>
    <row r="1635" spans="1:2" x14ac:dyDescent="0.3">
      <c r="A1635" s="7" t="s">
        <v>1647</v>
      </c>
      <c r="B1635" s="8">
        <v>43.950000762939453</v>
      </c>
    </row>
    <row r="1636" spans="1:2" x14ac:dyDescent="0.3">
      <c r="A1636" s="7" t="s">
        <v>1648</v>
      </c>
      <c r="B1636" s="8">
        <v>44.904998779296875</v>
      </c>
    </row>
    <row r="1637" spans="1:2" x14ac:dyDescent="0.3">
      <c r="A1637" s="7" t="s">
        <v>1649</v>
      </c>
      <c r="B1637" s="8">
        <v>45.970001220703125</v>
      </c>
    </row>
    <row r="1638" spans="1:2" x14ac:dyDescent="0.3">
      <c r="A1638" s="7" t="s">
        <v>1650</v>
      </c>
      <c r="B1638" s="8">
        <v>45.970001220703125</v>
      </c>
    </row>
    <row r="1639" spans="1:2" x14ac:dyDescent="0.3">
      <c r="A1639" s="7" t="s">
        <v>1651</v>
      </c>
      <c r="B1639" s="8">
        <v>45.970001220703125</v>
      </c>
    </row>
    <row r="1640" spans="1:2" x14ac:dyDescent="0.3">
      <c r="A1640" s="7" t="s">
        <v>1652</v>
      </c>
      <c r="B1640" s="8">
        <v>44.325000762939453</v>
      </c>
    </row>
    <row r="1641" spans="1:2" x14ac:dyDescent="0.3">
      <c r="A1641" s="7" t="s">
        <v>1653</v>
      </c>
      <c r="B1641" s="8">
        <v>44.150001525878906</v>
      </c>
    </row>
    <row r="1642" spans="1:2" x14ac:dyDescent="0.3">
      <c r="A1642" s="7" t="s">
        <v>1654</v>
      </c>
      <c r="B1642" s="8">
        <v>44.150001525878906</v>
      </c>
    </row>
    <row r="1643" spans="1:2" x14ac:dyDescent="0.3">
      <c r="A1643" s="7" t="s">
        <v>1655</v>
      </c>
      <c r="B1643" s="8">
        <v>44.799999237060547</v>
      </c>
    </row>
    <row r="1644" spans="1:2" x14ac:dyDescent="0.3">
      <c r="A1644" s="7" t="s">
        <v>1656</v>
      </c>
      <c r="B1644" s="8">
        <v>44.439998626708984</v>
      </c>
    </row>
    <row r="1645" spans="1:2" x14ac:dyDescent="0.3">
      <c r="A1645" s="7" t="s">
        <v>1657</v>
      </c>
      <c r="B1645" s="8">
        <v>44.439998626708984</v>
      </c>
    </row>
    <row r="1646" spans="1:2" x14ac:dyDescent="0.3">
      <c r="A1646" s="7" t="s">
        <v>1658</v>
      </c>
      <c r="B1646" s="8">
        <v>44.439998626708984</v>
      </c>
    </row>
    <row r="1647" spans="1:2" x14ac:dyDescent="0.3">
      <c r="A1647" s="7" t="s">
        <v>1659</v>
      </c>
      <c r="B1647" s="8">
        <v>44.650001525878906</v>
      </c>
    </row>
    <row r="1648" spans="1:2" x14ac:dyDescent="0.3">
      <c r="A1648" s="7" t="s">
        <v>1660</v>
      </c>
      <c r="B1648" s="8">
        <v>45.330001831054688</v>
      </c>
    </row>
    <row r="1649" spans="1:2" x14ac:dyDescent="0.3">
      <c r="A1649" s="7" t="s">
        <v>1661</v>
      </c>
      <c r="B1649" s="8">
        <v>45.099998474121094</v>
      </c>
    </row>
    <row r="1650" spans="1:2" x14ac:dyDescent="0.3">
      <c r="A1650" s="7" t="s">
        <v>1662</v>
      </c>
      <c r="B1650" s="8">
        <v>45.25</v>
      </c>
    </row>
    <row r="1651" spans="1:2" x14ac:dyDescent="0.3">
      <c r="A1651" s="7" t="s">
        <v>1663</v>
      </c>
      <c r="B1651" s="8">
        <v>44.799999237060547</v>
      </c>
    </row>
    <row r="1652" spans="1:2" x14ac:dyDescent="0.3">
      <c r="A1652" s="7" t="s">
        <v>1664</v>
      </c>
      <c r="B1652" s="8">
        <v>44.799999237060547</v>
      </c>
    </row>
    <row r="1653" spans="1:2" x14ac:dyDescent="0.3">
      <c r="A1653" s="7" t="s">
        <v>1665</v>
      </c>
      <c r="B1653" s="8">
        <v>44.799999237060547</v>
      </c>
    </row>
    <row r="1654" spans="1:2" x14ac:dyDescent="0.3">
      <c r="A1654" s="7" t="s">
        <v>1666</v>
      </c>
      <c r="B1654" s="8">
        <v>45.099998474121094</v>
      </c>
    </row>
    <row r="1655" spans="1:2" x14ac:dyDescent="0.3">
      <c r="A1655" s="7" t="s">
        <v>1667</v>
      </c>
      <c r="B1655" s="8">
        <v>44.970001220703125</v>
      </c>
    </row>
    <row r="1656" spans="1:2" x14ac:dyDescent="0.3">
      <c r="A1656" s="7" t="s">
        <v>1668</v>
      </c>
      <c r="B1656" s="8">
        <v>45</v>
      </c>
    </row>
    <row r="1657" spans="1:2" x14ac:dyDescent="0.3">
      <c r="A1657" s="7" t="s">
        <v>1669</v>
      </c>
      <c r="B1657" s="8">
        <v>44.790000915527344</v>
      </c>
    </row>
    <row r="1658" spans="1:2" x14ac:dyDescent="0.3">
      <c r="A1658" s="7" t="s">
        <v>1670</v>
      </c>
      <c r="B1658" s="8">
        <v>45</v>
      </c>
    </row>
    <row r="1659" spans="1:2" x14ac:dyDescent="0.3">
      <c r="A1659" s="7" t="s">
        <v>1671</v>
      </c>
      <c r="B1659" s="8">
        <v>45</v>
      </c>
    </row>
    <row r="1660" spans="1:2" x14ac:dyDescent="0.3">
      <c r="A1660" s="7" t="s">
        <v>1672</v>
      </c>
      <c r="B1660" s="8">
        <v>45</v>
      </c>
    </row>
    <row r="1661" spans="1:2" x14ac:dyDescent="0.3">
      <c r="A1661" s="7" t="s">
        <v>1673</v>
      </c>
      <c r="B1661" s="8">
        <v>45.189998626708984</v>
      </c>
    </row>
    <row r="1662" spans="1:2" x14ac:dyDescent="0.3">
      <c r="A1662" s="7" t="s">
        <v>1674</v>
      </c>
      <c r="B1662" s="8">
        <v>44.770000457763672</v>
      </c>
    </row>
    <row r="1663" spans="1:2" x14ac:dyDescent="0.3">
      <c r="A1663" s="7" t="s">
        <v>1675</v>
      </c>
      <c r="B1663" s="8">
        <v>44.900001525878906</v>
      </c>
    </row>
    <row r="1664" spans="1:2" x14ac:dyDescent="0.3">
      <c r="A1664" s="7" t="s">
        <v>1676</v>
      </c>
      <c r="B1664" s="8">
        <v>45.090000152587891</v>
      </c>
    </row>
    <row r="1665" spans="1:2" x14ac:dyDescent="0.3">
      <c r="A1665" s="7" t="s">
        <v>1677</v>
      </c>
      <c r="B1665" s="8">
        <v>44.819999694824219</v>
      </c>
    </row>
    <row r="1666" spans="1:2" x14ac:dyDescent="0.3">
      <c r="A1666" s="7" t="s">
        <v>1678</v>
      </c>
      <c r="B1666" s="8">
        <v>44.819999694824219</v>
      </c>
    </row>
    <row r="1667" spans="1:2" x14ac:dyDescent="0.3">
      <c r="A1667" s="7" t="s">
        <v>1679</v>
      </c>
      <c r="B1667" s="8">
        <v>44.819999694824219</v>
      </c>
    </row>
    <row r="1668" spans="1:2" x14ac:dyDescent="0.3">
      <c r="A1668" s="7" t="s">
        <v>1680</v>
      </c>
      <c r="B1668" s="8">
        <v>44.819999694824219</v>
      </c>
    </row>
    <row r="1669" spans="1:2" x14ac:dyDescent="0.3">
      <c r="A1669" s="7" t="s">
        <v>1681</v>
      </c>
      <c r="B1669" s="8">
        <v>44.689998626708984</v>
      </c>
    </row>
    <row r="1670" spans="1:2" x14ac:dyDescent="0.3">
      <c r="A1670" s="7" t="s">
        <v>1682</v>
      </c>
      <c r="B1670" s="8">
        <v>44.450000762939453</v>
      </c>
    </row>
    <row r="1671" spans="1:2" x14ac:dyDescent="0.3">
      <c r="A1671" s="7" t="s">
        <v>1683</v>
      </c>
      <c r="B1671" s="8">
        <v>44.549999237060547</v>
      </c>
    </row>
    <row r="1672" spans="1:2" x14ac:dyDescent="0.3">
      <c r="A1672" s="7" t="s">
        <v>1684</v>
      </c>
      <c r="B1672" s="8">
        <v>44.759998321533203</v>
      </c>
    </row>
    <row r="1673" spans="1:2" x14ac:dyDescent="0.3">
      <c r="A1673" s="7" t="s">
        <v>1685</v>
      </c>
      <c r="B1673" s="8">
        <v>44.759998321533203</v>
      </c>
    </row>
    <row r="1674" spans="1:2" x14ac:dyDescent="0.3">
      <c r="A1674" s="7" t="s">
        <v>1686</v>
      </c>
      <c r="B1674" s="8">
        <v>44.759998321533203</v>
      </c>
    </row>
    <row r="1675" spans="1:2" x14ac:dyDescent="0.3">
      <c r="A1675" s="7" t="s">
        <v>1687</v>
      </c>
      <c r="B1675" s="8">
        <v>44.869998931884766</v>
      </c>
    </row>
    <row r="1676" spans="1:2" x14ac:dyDescent="0.3">
      <c r="A1676" s="7" t="s">
        <v>1688</v>
      </c>
      <c r="B1676" s="8">
        <v>44.709999084472656</v>
      </c>
    </row>
    <row r="1677" spans="1:2" x14ac:dyDescent="0.3">
      <c r="A1677" s="7" t="s">
        <v>1689</v>
      </c>
      <c r="B1677" s="8">
        <v>44.900001525878906</v>
      </c>
    </row>
    <row r="1678" spans="1:2" x14ac:dyDescent="0.3">
      <c r="A1678" s="7" t="s">
        <v>1690</v>
      </c>
      <c r="B1678" s="8">
        <v>44.930000305175781</v>
      </c>
    </row>
    <row r="1679" spans="1:2" x14ac:dyDescent="0.3">
      <c r="A1679" s="7" t="s">
        <v>1691</v>
      </c>
      <c r="B1679" s="8">
        <v>44.849998474121094</v>
      </c>
    </row>
    <row r="1680" spans="1:2" x14ac:dyDescent="0.3">
      <c r="A1680" s="7" t="s">
        <v>1692</v>
      </c>
      <c r="B1680" s="8">
        <v>44.849998474121094</v>
      </c>
    </row>
    <row r="1681" spans="1:2" x14ac:dyDescent="0.3">
      <c r="A1681" s="7" t="s">
        <v>1693</v>
      </c>
      <c r="B1681" s="8">
        <v>44.849998474121094</v>
      </c>
    </row>
    <row r="1682" spans="1:2" x14ac:dyDescent="0.3">
      <c r="A1682" s="7" t="s">
        <v>1694</v>
      </c>
      <c r="B1682" s="8">
        <v>44.900001525878906</v>
      </c>
    </row>
    <row r="1683" spans="1:2" x14ac:dyDescent="0.3">
      <c r="A1683" s="7" t="s">
        <v>1695</v>
      </c>
      <c r="B1683" s="8">
        <v>44.700000762939453</v>
      </c>
    </row>
    <row r="1684" spans="1:2" x14ac:dyDescent="0.3">
      <c r="A1684" s="7" t="s">
        <v>1696</v>
      </c>
      <c r="B1684" s="8">
        <v>43.669998168945313</v>
      </c>
    </row>
    <row r="1685" spans="1:2" x14ac:dyDescent="0.3">
      <c r="A1685" s="7" t="s">
        <v>1697</v>
      </c>
      <c r="B1685" s="8">
        <v>43.369998931884766</v>
      </c>
    </row>
    <row r="1686" spans="1:2" x14ac:dyDescent="0.3">
      <c r="A1686" s="7" t="s">
        <v>1698</v>
      </c>
      <c r="B1686" s="8">
        <v>43.970001220703125</v>
      </c>
    </row>
    <row r="1687" spans="1:2" x14ac:dyDescent="0.3">
      <c r="A1687" s="7" t="s">
        <v>1699</v>
      </c>
      <c r="B1687" s="8">
        <v>43.970001220703125</v>
      </c>
    </row>
    <row r="1688" spans="1:2" x14ac:dyDescent="0.3">
      <c r="A1688" s="7" t="s">
        <v>1700</v>
      </c>
      <c r="B1688" s="8">
        <v>43.970001220703125</v>
      </c>
    </row>
    <row r="1689" spans="1:2" x14ac:dyDescent="0.3">
      <c r="A1689" s="7" t="s">
        <v>1701</v>
      </c>
      <c r="B1689" s="8">
        <v>43.970001220703125</v>
      </c>
    </row>
    <row r="1690" spans="1:2" x14ac:dyDescent="0.3">
      <c r="A1690" s="7" t="s">
        <v>1702</v>
      </c>
      <c r="B1690" s="8">
        <v>43.479999542236328</v>
      </c>
    </row>
    <row r="1691" spans="1:2" x14ac:dyDescent="0.3">
      <c r="A1691" s="7" t="s">
        <v>1703</v>
      </c>
      <c r="B1691" s="8">
        <v>43.299999237060547</v>
      </c>
    </row>
    <row r="1692" spans="1:2" x14ac:dyDescent="0.3">
      <c r="A1692" s="7" t="s">
        <v>1704</v>
      </c>
      <c r="B1692" s="8">
        <v>43.299999237060547</v>
      </c>
    </row>
    <row r="1693" spans="1:2" x14ac:dyDescent="0.3">
      <c r="A1693" s="7" t="s">
        <v>1705</v>
      </c>
      <c r="B1693" s="8">
        <v>42.790000915527344</v>
      </c>
    </row>
    <row r="1694" spans="1:2" x14ac:dyDescent="0.3">
      <c r="A1694" s="7" t="s">
        <v>1706</v>
      </c>
      <c r="B1694" s="8">
        <v>42.790000915527344</v>
      </c>
    </row>
    <row r="1695" spans="1:2" x14ac:dyDescent="0.3">
      <c r="A1695" s="7" t="s">
        <v>1707</v>
      </c>
      <c r="B1695" s="8">
        <v>42.790000915527344</v>
      </c>
    </row>
    <row r="1696" spans="1:2" x14ac:dyDescent="0.3">
      <c r="A1696" s="7" t="s">
        <v>1708</v>
      </c>
      <c r="B1696" s="8">
        <v>42.439998626708984</v>
      </c>
    </row>
    <row r="1697" spans="1:2" x14ac:dyDescent="0.3">
      <c r="A1697" s="7" t="s">
        <v>1709</v>
      </c>
      <c r="B1697" s="8">
        <v>42.380001068115234</v>
      </c>
    </row>
    <row r="1698" spans="1:2" x14ac:dyDescent="0.3">
      <c r="A1698" s="7" t="s">
        <v>1710</v>
      </c>
      <c r="B1698" s="8">
        <v>42.729999542236328</v>
      </c>
    </row>
    <row r="1699" spans="1:2" x14ac:dyDescent="0.3">
      <c r="A1699" s="7" t="s">
        <v>1711</v>
      </c>
      <c r="B1699" s="8">
        <v>42.700000762939453</v>
      </c>
    </row>
    <row r="1700" spans="1:2" x14ac:dyDescent="0.3">
      <c r="A1700" s="7" t="s">
        <v>1712</v>
      </c>
      <c r="B1700" s="8">
        <v>42.450000762939453</v>
      </c>
    </row>
    <row r="1701" spans="1:2" x14ac:dyDescent="0.3">
      <c r="A1701" s="7" t="s">
        <v>1713</v>
      </c>
      <c r="B1701" s="8">
        <v>42.450000762939453</v>
      </c>
    </row>
    <row r="1702" spans="1:2" x14ac:dyDescent="0.3">
      <c r="A1702" s="7" t="s">
        <v>1714</v>
      </c>
      <c r="B1702" s="8">
        <v>42.450000762939453</v>
      </c>
    </row>
    <row r="1703" spans="1:2" x14ac:dyDescent="0.3">
      <c r="A1703" s="7" t="s">
        <v>1715</v>
      </c>
      <c r="B1703" s="8">
        <v>42.369998931884766</v>
      </c>
    </row>
    <row r="1704" spans="1:2" x14ac:dyDescent="0.3">
      <c r="A1704" s="7" t="s">
        <v>1716</v>
      </c>
      <c r="B1704" s="8">
        <v>42.200000762939453</v>
      </c>
    </row>
    <row r="1705" spans="1:2" x14ac:dyDescent="0.3">
      <c r="A1705" s="7" t="s">
        <v>1717</v>
      </c>
      <c r="B1705" s="8">
        <v>42.029998779296875</v>
      </c>
    </row>
    <row r="1706" spans="1:2" x14ac:dyDescent="0.3">
      <c r="A1706" s="7" t="s">
        <v>1718</v>
      </c>
      <c r="B1706" s="8">
        <v>42.029998779296875</v>
      </c>
    </row>
    <row r="1707" spans="1:2" x14ac:dyDescent="0.3">
      <c r="A1707" s="7" t="s">
        <v>1719</v>
      </c>
      <c r="B1707" s="8">
        <v>41.849998474121094</v>
      </c>
    </row>
    <row r="1708" spans="1:2" x14ac:dyDescent="0.3">
      <c r="A1708" s="7" t="s">
        <v>1720</v>
      </c>
      <c r="B1708" s="8">
        <v>41.849998474121094</v>
      </c>
    </row>
    <row r="1709" spans="1:2" x14ac:dyDescent="0.3">
      <c r="A1709" s="7" t="s">
        <v>1721</v>
      </c>
      <c r="B1709" s="8">
        <v>41.849998474121094</v>
      </c>
    </row>
    <row r="1710" spans="1:2" x14ac:dyDescent="0.3">
      <c r="A1710" s="7" t="s">
        <v>1722</v>
      </c>
      <c r="B1710" s="8">
        <v>41.849998474121094</v>
      </c>
    </row>
    <row r="1711" spans="1:2" x14ac:dyDescent="0.3">
      <c r="A1711" s="7" t="s">
        <v>1723</v>
      </c>
      <c r="B1711" s="8">
        <v>41.849998474121094</v>
      </c>
    </row>
    <row r="1712" spans="1:2" x14ac:dyDescent="0.3">
      <c r="A1712" s="7" t="s">
        <v>1724</v>
      </c>
      <c r="B1712" s="8">
        <v>41.819999694824219</v>
      </c>
    </row>
    <row r="1713" spans="1:2" x14ac:dyDescent="0.3">
      <c r="A1713" s="7" t="s">
        <v>1725</v>
      </c>
      <c r="B1713" s="8">
        <v>41.700000762939453</v>
      </c>
    </row>
    <row r="1714" spans="1:2" x14ac:dyDescent="0.3">
      <c r="A1714" s="7" t="s">
        <v>1726</v>
      </c>
      <c r="B1714" s="8">
        <v>41.599998474121094</v>
      </c>
    </row>
    <row r="1715" spans="1:2" x14ac:dyDescent="0.3">
      <c r="A1715" s="7" t="s">
        <v>1727</v>
      </c>
      <c r="B1715" s="8">
        <v>41.599998474121094</v>
      </c>
    </row>
    <row r="1716" spans="1:2" x14ac:dyDescent="0.3">
      <c r="A1716" s="7" t="s">
        <v>1728</v>
      </c>
      <c r="B1716" s="8">
        <v>41.599998474121094</v>
      </c>
    </row>
    <row r="1717" spans="1:2" x14ac:dyDescent="0.3">
      <c r="A1717" s="7" t="s">
        <v>1729</v>
      </c>
      <c r="B1717" s="8">
        <v>42.400001525878906</v>
      </c>
    </row>
    <row r="1718" spans="1:2" x14ac:dyDescent="0.3">
      <c r="A1718" s="7" t="s">
        <v>1730</v>
      </c>
      <c r="B1718" s="8">
        <v>42.660999298095703</v>
      </c>
    </row>
    <row r="1719" spans="1:2" x14ac:dyDescent="0.3">
      <c r="A1719" s="7" t="s">
        <v>1731</v>
      </c>
      <c r="B1719" s="8">
        <v>42.5</v>
      </c>
    </row>
    <row r="1720" spans="1:2" x14ac:dyDescent="0.3">
      <c r="A1720" s="7" t="s">
        <v>1732</v>
      </c>
      <c r="B1720" s="8">
        <v>42.455001831054688</v>
      </c>
    </row>
    <row r="1721" spans="1:2" x14ac:dyDescent="0.3">
      <c r="A1721" s="7" t="s">
        <v>1733</v>
      </c>
      <c r="B1721" s="8">
        <v>42.419998168945313</v>
      </c>
    </row>
    <row r="1722" spans="1:2" x14ac:dyDescent="0.3">
      <c r="A1722" s="7" t="s">
        <v>1734</v>
      </c>
      <c r="B1722" s="8">
        <v>42.419998168945313</v>
      </c>
    </row>
    <row r="1723" spans="1:2" x14ac:dyDescent="0.3">
      <c r="A1723" s="7" t="s">
        <v>1735</v>
      </c>
      <c r="B1723" s="8">
        <v>42.419998168945313</v>
      </c>
    </row>
    <row r="1724" spans="1:2" x14ac:dyDescent="0.3">
      <c r="A1724" s="7" t="s">
        <v>1736</v>
      </c>
      <c r="B1724" s="8">
        <v>42.450000762939453</v>
      </c>
    </row>
    <row r="1725" spans="1:2" x14ac:dyDescent="0.3">
      <c r="A1725" s="7" t="s">
        <v>1737</v>
      </c>
      <c r="B1725" s="8">
        <v>42.659999847412109</v>
      </c>
    </row>
    <row r="1726" spans="1:2" x14ac:dyDescent="0.3">
      <c r="A1726" s="7" t="s">
        <v>1738</v>
      </c>
      <c r="B1726" s="8">
        <v>42.870998382568359</v>
      </c>
    </row>
    <row r="1727" spans="1:2" x14ac:dyDescent="0.3">
      <c r="A1727" s="7" t="s">
        <v>1739</v>
      </c>
      <c r="B1727" s="8">
        <v>43.369998931884766</v>
      </c>
    </row>
    <row r="1728" spans="1:2" x14ac:dyDescent="0.3">
      <c r="A1728" s="7" t="s">
        <v>1740</v>
      </c>
      <c r="B1728" s="8">
        <v>43.349998474121094</v>
      </c>
    </row>
    <row r="1729" spans="1:2" x14ac:dyDescent="0.3">
      <c r="A1729" s="7" t="s">
        <v>1741</v>
      </c>
      <c r="B1729" s="8">
        <v>43.349998474121094</v>
      </c>
    </row>
    <row r="1730" spans="1:2" x14ac:dyDescent="0.3">
      <c r="A1730" s="7" t="s">
        <v>1742</v>
      </c>
      <c r="B1730" s="8">
        <v>43.349998474121094</v>
      </c>
    </row>
    <row r="1731" spans="1:2" x14ac:dyDescent="0.3">
      <c r="A1731" s="7" t="s">
        <v>1743</v>
      </c>
      <c r="B1731" s="8">
        <v>43.830001831054688</v>
      </c>
    </row>
    <row r="1732" spans="1:2" x14ac:dyDescent="0.3">
      <c r="A1732" s="7" t="s">
        <v>1744</v>
      </c>
      <c r="B1732" s="8">
        <v>43.930999755859375</v>
      </c>
    </row>
    <row r="1733" spans="1:2" x14ac:dyDescent="0.3">
      <c r="A1733" s="7" t="s">
        <v>1745</v>
      </c>
      <c r="B1733" s="8">
        <v>43.869998931884766</v>
      </c>
    </row>
    <row r="1734" spans="1:2" x14ac:dyDescent="0.3">
      <c r="A1734" s="7" t="s">
        <v>1746</v>
      </c>
      <c r="B1734" s="8">
        <v>44.360000610351563</v>
      </c>
    </row>
    <row r="1735" spans="1:2" x14ac:dyDescent="0.3">
      <c r="A1735" s="7" t="s">
        <v>1747</v>
      </c>
      <c r="B1735" s="8">
        <v>44.650001525878906</v>
      </c>
    </row>
    <row r="1736" spans="1:2" x14ac:dyDescent="0.3">
      <c r="A1736" s="7" t="s">
        <v>1748</v>
      </c>
      <c r="B1736" s="8">
        <v>44.650001525878906</v>
      </c>
    </row>
    <row r="1737" spans="1:2" x14ac:dyDescent="0.3">
      <c r="A1737" s="7" t="s">
        <v>1749</v>
      </c>
      <c r="B1737" s="8">
        <v>44.650001525878906</v>
      </c>
    </row>
    <row r="1738" spans="1:2" x14ac:dyDescent="0.3">
      <c r="A1738" s="7" t="s">
        <v>1750</v>
      </c>
      <c r="B1738" s="8">
        <v>45.490001678466797</v>
      </c>
    </row>
    <row r="1739" spans="1:2" x14ac:dyDescent="0.3">
      <c r="A1739" s="7" t="s">
        <v>1751</v>
      </c>
      <c r="B1739" s="8">
        <v>45.298999786376953</v>
      </c>
    </row>
    <row r="1740" spans="1:2" x14ac:dyDescent="0.3">
      <c r="A1740" s="7" t="s">
        <v>1752</v>
      </c>
      <c r="B1740" s="8">
        <v>45.590000152587891</v>
      </c>
    </row>
    <row r="1741" spans="1:2" x14ac:dyDescent="0.3">
      <c r="A1741" s="7" t="s">
        <v>1753</v>
      </c>
      <c r="B1741" s="8">
        <v>45.220001220703125</v>
      </c>
    </row>
    <row r="1742" spans="1:2" x14ac:dyDescent="0.3">
      <c r="A1742" s="7" t="s">
        <v>1754</v>
      </c>
      <c r="B1742" s="8">
        <v>45.25</v>
      </c>
    </row>
    <row r="1743" spans="1:2" x14ac:dyDescent="0.3">
      <c r="A1743" s="7" t="s">
        <v>1755</v>
      </c>
      <c r="B1743" s="8">
        <v>45.25</v>
      </c>
    </row>
    <row r="1744" spans="1:2" x14ac:dyDescent="0.3">
      <c r="A1744" s="7" t="s">
        <v>1756</v>
      </c>
      <c r="B1744" s="8">
        <v>45.25</v>
      </c>
    </row>
    <row r="1745" spans="1:2" x14ac:dyDescent="0.3">
      <c r="A1745" s="7" t="s">
        <v>1757</v>
      </c>
      <c r="B1745" s="8">
        <v>53.5</v>
      </c>
    </row>
    <row r="1746" spans="1:2" x14ac:dyDescent="0.3">
      <c r="A1746" s="7" t="s">
        <v>1758</v>
      </c>
      <c r="B1746" s="8">
        <v>55.799999237060547</v>
      </c>
    </row>
    <row r="1747" spans="1:2" x14ac:dyDescent="0.3">
      <c r="A1747" s="7" t="s">
        <v>1759</v>
      </c>
      <c r="B1747" s="8">
        <v>60.400001525878906</v>
      </c>
    </row>
    <row r="1748" spans="1:2" x14ac:dyDescent="0.3">
      <c r="A1748" s="7" t="s">
        <v>1760</v>
      </c>
      <c r="B1748" s="8">
        <v>57.25</v>
      </c>
    </row>
    <row r="1749" spans="1:2" x14ac:dyDescent="0.3">
      <c r="A1749" s="7" t="s">
        <v>1761</v>
      </c>
      <c r="B1749" s="8">
        <v>55</v>
      </c>
    </row>
    <row r="1750" spans="1:2" x14ac:dyDescent="0.3">
      <c r="A1750" s="7" t="s">
        <v>1762</v>
      </c>
      <c r="B1750" s="8">
        <v>55</v>
      </c>
    </row>
    <row r="1751" spans="1:2" x14ac:dyDescent="0.3">
      <c r="A1751" s="7" t="s">
        <v>1763</v>
      </c>
      <c r="B1751" s="8">
        <v>55</v>
      </c>
    </row>
    <row r="1752" spans="1:2" x14ac:dyDescent="0.3">
      <c r="A1752" s="7" t="s">
        <v>1764</v>
      </c>
      <c r="B1752" s="8">
        <v>55</v>
      </c>
    </row>
    <row r="1753" spans="1:2" x14ac:dyDescent="0.3">
      <c r="A1753" s="7" t="s">
        <v>1765</v>
      </c>
      <c r="B1753" s="8">
        <v>54.75</v>
      </c>
    </row>
    <row r="1754" spans="1:2" x14ac:dyDescent="0.3">
      <c r="A1754" s="7" t="s">
        <v>1766</v>
      </c>
      <c r="B1754" s="8">
        <v>55.020000457763672</v>
      </c>
    </row>
    <row r="1755" spans="1:2" x14ac:dyDescent="0.3">
      <c r="A1755" s="7" t="s">
        <v>1767</v>
      </c>
      <c r="B1755" s="8">
        <v>55.090000152587891</v>
      </c>
    </row>
    <row r="1756" spans="1:2" x14ac:dyDescent="0.3">
      <c r="A1756" s="7" t="s">
        <v>1768</v>
      </c>
      <c r="B1756" s="8">
        <v>55.150001525878906</v>
      </c>
    </row>
    <row r="1757" spans="1:2" x14ac:dyDescent="0.3">
      <c r="A1757" s="7" t="s">
        <v>1769</v>
      </c>
      <c r="B1757" s="8">
        <v>55.150001525878906</v>
      </c>
    </row>
    <row r="1758" spans="1:2" x14ac:dyDescent="0.3">
      <c r="A1758" s="7" t="s">
        <v>1770</v>
      </c>
      <c r="B1758" s="8">
        <v>55.150001525878906</v>
      </c>
    </row>
    <row r="1759" spans="1:2" x14ac:dyDescent="0.3">
      <c r="A1759" s="7" t="s">
        <v>1771</v>
      </c>
      <c r="B1759" s="8">
        <v>55.290000915527344</v>
      </c>
    </row>
    <row r="1760" spans="1:2" x14ac:dyDescent="0.3">
      <c r="A1760" s="7" t="s">
        <v>1772</v>
      </c>
      <c r="B1760" s="8">
        <v>56.299999237060547</v>
      </c>
    </row>
    <row r="1761" spans="1:2" x14ac:dyDescent="0.3">
      <c r="A1761" s="7" t="s">
        <v>1773</v>
      </c>
      <c r="B1761" s="8">
        <v>58.099998474121094</v>
      </c>
    </row>
    <row r="1762" spans="1:2" x14ac:dyDescent="0.3">
      <c r="A1762" s="7" t="s">
        <v>1774</v>
      </c>
      <c r="B1762" s="8">
        <v>57.900001525878906</v>
      </c>
    </row>
    <row r="1763" spans="1:2" x14ac:dyDescent="0.3">
      <c r="A1763" s="7" t="s">
        <v>1775</v>
      </c>
      <c r="B1763" s="8">
        <v>59.509998321533203</v>
      </c>
    </row>
    <row r="1764" spans="1:2" x14ac:dyDescent="0.3">
      <c r="A1764" s="7" t="s">
        <v>1776</v>
      </c>
      <c r="B1764" s="8">
        <v>59.509998321533203</v>
      </c>
    </row>
    <row r="1765" spans="1:2" x14ac:dyDescent="0.3">
      <c r="A1765" s="7" t="s">
        <v>1777</v>
      </c>
      <c r="B1765" s="8">
        <v>59.509998321533203</v>
      </c>
    </row>
    <row r="1766" spans="1:2" x14ac:dyDescent="0.3">
      <c r="A1766" s="7" t="s">
        <v>1778</v>
      </c>
      <c r="B1766" s="8">
        <v>59.509998321533203</v>
      </c>
    </row>
    <row r="1767" spans="1:2" x14ac:dyDescent="0.3">
      <c r="A1767" s="7" t="s">
        <v>1779</v>
      </c>
      <c r="B1767" s="8">
        <v>55.979999542236328</v>
      </c>
    </row>
    <row r="1768" spans="1:2" x14ac:dyDescent="0.3">
      <c r="A1768" s="7" t="s">
        <v>1780</v>
      </c>
      <c r="B1768" s="8">
        <v>56</v>
      </c>
    </row>
    <row r="1769" spans="1:2" x14ac:dyDescent="0.3">
      <c r="A1769" s="7" t="s">
        <v>1781</v>
      </c>
      <c r="B1769" s="8">
        <v>56.009998321533203</v>
      </c>
    </row>
    <row r="1770" spans="1:2" x14ac:dyDescent="0.3">
      <c r="A1770" s="7" t="s">
        <v>1782</v>
      </c>
      <c r="B1770" s="8">
        <v>55.819999694824219</v>
      </c>
    </row>
    <row r="1771" spans="1:2" x14ac:dyDescent="0.3">
      <c r="A1771" s="7" t="s">
        <v>1783</v>
      </c>
      <c r="B1771" s="8">
        <v>55.819999694824219</v>
      </c>
    </row>
    <row r="1772" spans="1:2" x14ac:dyDescent="0.3">
      <c r="A1772" s="7" t="s">
        <v>1784</v>
      </c>
      <c r="B1772" s="8">
        <v>55.819999694824219</v>
      </c>
    </row>
    <row r="1773" spans="1:2" x14ac:dyDescent="0.3">
      <c r="A1773" s="7" t="s">
        <v>1785</v>
      </c>
      <c r="B1773" s="8">
        <v>56.020000457763672</v>
      </c>
    </row>
    <row r="1774" spans="1:2" x14ac:dyDescent="0.3">
      <c r="A1774" s="7" t="s">
        <v>1786</v>
      </c>
      <c r="B1774" s="8">
        <v>56.009998321533203</v>
      </c>
    </row>
    <row r="1775" spans="1:2" x14ac:dyDescent="0.3">
      <c r="A1775" s="7" t="s">
        <v>1787</v>
      </c>
      <c r="B1775" s="8">
        <v>56.180000305175781</v>
      </c>
    </row>
    <row r="1776" spans="1:2" x14ac:dyDescent="0.3">
      <c r="A1776" s="7" t="s">
        <v>1788</v>
      </c>
      <c r="B1776" s="8">
        <v>56.119998931884766</v>
      </c>
    </row>
    <row r="1777" spans="1:2" x14ac:dyDescent="0.3">
      <c r="A1777" s="7" t="s">
        <v>1789</v>
      </c>
      <c r="B1777" s="8">
        <v>56.110000610351563</v>
      </c>
    </row>
    <row r="1778" spans="1:2" x14ac:dyDescent="0.3">
      <c r="A1778" s="7" t="s">
        <v>1790</v>
      </c>
      <c r="B1778" s="8">
        <v>56.110000610351563</v>
      </c>
    </row>
    <row r="1779" spans="1:2" x14ac:dyDescent="0.3">
      <c r="A1779" s="7" t="s">
        <v>1791</v>
      </c>
      <c r="B1779" s="8">
        <v>56.110000610351563</v>
      </c>
    </row>
    <row r="1780" spans="1:2" x14ac:dyDescent="0.3">
      <c r="A1780" s="7" t="s">
        <v>1792</v>
      </c>
      <c r="B1780" s="8">
        <v>56.279998779296875</v>
      </c>
    </row>
    <row r="1781" spans="1:2" x14ac:dyDescent="0.3">
      <c r="A1781" s="7" t="s">
        <v>1793</v>
      </c>
      <c r="B1781" s="8">
        <v>56.509998321533203</v>
      </c>
    </row>
    <row r="1782" spans="1:2" x14ac:dyDescent="0.3">
      <c r="A1782" s="7" t="s">
        <v>1794</v>
      </c>
      <c r="B1782" s="8">
        <v>56.520000457763672</v>
      </c>
    </row>
    <row r="1783" spans="1:2" x14ac:dyDescent="0.3">
      <c r="A1783" s="7" t="s">
        <v>1795</v>
      </c>
      <c r="B1783" s="8">
        <v>56.569999694824219</v>
      </c>
    </row>
    <row r="1784" spans="1:2" x14ac:dyDescent="0.3">
      <c r="A1784" s="7" t="s">
        <v>1796</v>
      </c>
      <c r="B1784" s="8">
        <v>56.669998168945313</v>
      </c>
    </row>
    <row r="1785" spans="1:2" x14ac:dyDescent="0.3">
      <c r="A1785" s="7" t="s">
        <v>1797</v>
      </c>
      <c r="B1785" s="8">
        <v>56.669998168945313</v>
      </c>
    </row>
    <row r="1786" spans="1:2" x14ac:dyDescent="0.3">
      <c r="A1786" s="7" t="s">
        <v>1798</v>
      </c>
      <c r="B1786" s="8">
        <v>56.669998168945313</v>
      </c>
    </row>
    <row r="1787" spans="1:2" x14ac:dyDescent="0.3">
      <c r="A1787" s="7" t="s">
        <v>1799</v>
      </c>
      <c r="B1787" s="8">
        <v>56.921001434326172</v>
      </c>
    </row>
    <row r="1788" spans="1:2" x14ac:dyDescent="0.3">
      <c r="A1788" s="7" t="s">
        <v>1800</v>
      </c>
      <c r="B1788" s="8">
        <v>56.869998931884766</v>
      </c>
    </row>
    <row r="1789" spans="1:2" x14ac:dyDescent="0.3">
      <c r="A1789" s="7" t="s">
        <v>1801</v>
      </c>
      <c r="B1789" s="8">
        <v>57.040000915527344</v>
      </c>
    </row>
    <row r="1790" spans="1:2" x14ac:dyDescent="0.3">
      <c r="A1790" s="7" t="s">
        <v>1802</v>
      </c>
      <c r="B1790" s="8">
        <v>57.209999084472656</v>
      </c>
    </row>
    <row r="1791" spans="1:2" x14ac:dyDescent="0.3">
      <c r="A1791" s="7" t="s">
        <v>1803</v>
      </c>
      <c r="B1791" s="8">
        <v>57.319999694824219</v>
      </c>
    </row>
    <row r="1792" spans="1:2" x14ac:dyDescent="0.3">
      <c r="A1792" s="7" t="s">
        <v>1804</v>
      </c>
      <c r="B1792" s="8">
        <v>57.319999694824219</v>
      </c>
    </row>
    <row r="1793" spans="1:2" x14ac:dyDescent="0.3">
      <c r="A1793" s="7" t="s">
        <v>1805</v>
      </c>
      <c r="B1793" s="8">
        <v>57.319999694824219</v>
      </c>
    </row>
    <row r="1794" spans="1:2" x14ac:dyDescent="0.3">
      <c r="A1794" s="7" t="s">
        <v>1806</v>
      </c>
      <c r="B1794" s="8">
        <v>57.595001220703125</v>
      </c>
    </row>
    <row r="1795" spans="1:2" x14ac:dyDescent="0.3">
      <c r="A1795" s="7" t="s">
        <v>1807</v>
      </c>
      <c r="B1795" s="8">
        <v>57.639999389648438</v>
      </c>
    </row>
    <row r="1796" spans="1:2" x14ac:dyDescent="0.3">
      <c r="A1796" s="7" t="s">
        <v>1808</v>
      </c>
      <c r="B1796" s="8">
        <v>57.819999694824219</v>
      </c>
    </row>
    <row r="1797" spans="1:2" x14ac:dyDescent="0.3">
      <c r="A1797" s="7" t="s">
        <v>1809</v>
      </c>
      <c r="B1797" s="8">
        <v>57.735000610351563</v>
      </c>
    </row>
    <row r="1798" spans="1:2" x14ac:dyDescent="0.3">
      <c r="A1798" s="7" t="s">
        <v>1810</v>
      </c>
      <c r="B1798" s="8">
        <v>57.729999542236328</v>
      </c>
    </row>
    <row r="1799" spans="1:2" x14ac:dyDescent="0.3">
      <c r="A1799" s="7" t="s">
        <v>1811</v>
      </c>
      <c r="B1799" s="8">
        <v>57.729999542236328</v>
      </c>
    </row>
    <row r="1800" spans="1:2" x14ac:dyDescent="0.3">
      <c r="A1800" s="7" t="s">
        <v>1812</v>
      </c>
      <c r="B1800" s="8">
        <v>57.729999542236328</v>
      </c>
    </row>
    <row r="1801" spans="1:2" x14ac:dyDescent="0.3">
      <c r="A1801" s="7" t="s">
        <v>1813</v>
      </c>
      <c r="B1801" s="8">
        <v>57.840000152587891</v>
      </c>
    </row>
    <row r="1802" spans="1:2" x14ac:dyDescent="0.3">
      <c r="A1802" s="7" t="s">
        <v>1814</v>
      </c>
      <c r="B1802" s="8">
        <v>57.849998474121094</v>
      </c>
    </row>
    <row r="1803" spans="1:2" x14ac:dyDescent="0.3">
      <c r="A1803" s="7" t="s">
        <v>1815</v>
      </c>
      <c r="B1803" s="8">
        <v>57.990001678466797</v>
      </c>
    </row>
    <row r="1804" spans="1:2" x14ac:dyDescent="0.3">
      <c r="A1804" s="7" t="s">
        <v>1816</v>
      </c>
      <c r="B1804" s="8">
        <v>57.985000610351563</v>
      </c>
    </row>
    <row r="1805" spans="1:2" x14ac:dyDescent="0.3">
      <c r="A1805" s="7" t="s">
        <v>1817</v>
      </c>
      <c r="B1805" s="8">
        <v>58.049999237060547</v>
      </c>
    </row>
    <row r="1806" spans="1:2" x14ac:dyDescent="0.3">
      <c r="A1806" s="7" t="s">
        <v>1818</v>
      </c>
      <c r="B1806" s="8">
        <v>58.049999237060547</v>
      </c>
    </row>
    <row r="1807" spans="1:2" x14ac:dyDescent="0.3">
      <c r="A1807" s="7" t="s">
        <v>1819</v>
      </c>
      <c r="B1807" s="8">
        <v>58.049999237060547</v>
      </c>
    </row>
    <row r="1808" spans="1:2" x14ac:dyDescent="0.3">
      <c r="A1808" s="7" t="s">
        <v>1820</v>
      </c>
      <c r="B1808" s="8">
        <v>58.049999237060547</v>
      </c>
    </row>
    <row r="1809" spans="1:2" x14ac:dyDescent="0.3">
      <c r="A1809" s="7" t="s">
        <v>1821</v>
      </c>
      <c r="B1809" s="8">
        <v>58.270000457763672</v>
      </c>
    </row>
    <row r="1810" spans="1:2" x14ac:dyDescent="0.3">
      <c r="A1810" s="7" t="s">
        <v>1822</v>
      </c>
      <c r="B1810" s="8">
        <v>58.347999572753906</v>
      </c>
    </row>
    <row r="1811" spans="1:2" x14ac:dyDescent="0.3">
      <c r="A1811" s="7" t="s">
        <v>1823</v>
      </c>
      <c r="B1811" s="8">
        <v>58.319000244140625</v>
      </c>
    </row>
    <row r="1812" spans="1:2" x14ac:dyDescent="0.3">
      <c r="A1812" s="7" t="s">
        <v>1824</v>
      </c>
      <c r="B1812" s="8">
        <v>58.349998474121094</v>
      </c>
    </row>
    <row r="1813" spans="1:2" x14ac:dyDescent="0.3">
      <c r="A1813" s="7" t="s">
        <v>1825</v>
      </c>
      <c r="B1813" s="8">
        <v>58.349998474121094</v>
      </c>
    </row>
    <row r="1814" spans="1:2" x14ac:dyDescent="0.3">
      <c r="A1814" s="7" t="s">
        <v>1826</v>
      </c>
      <c r="B1814" s="8">
        <v>58.349998474121094</v>
      </c>
    </row>
    <row r="1815" spans="1:2" x14ac:dyDescent="0.3">
      <c r="A1815" s="7" t="s">
        <v>1827</v>
      </c>
      <c r="B1815" s="8">
        <v>58.509998321533203</v>
      </c>
    </row>
    <row r="1816" spans="1:2" x14ac:dyDescent="0.3">
      <c r="A1816" s="7" t="s">
        <v>1828</v>
      </c>
      <c r="B1816" s="8">
        <v>58.650001525878906</v>
      </c>
    </row>
    <row r="1817" spans="1:2" x14ac:dyDescent="0.3">
      <c r="A1817" s="7" t="s">
        <v>1829</v>
      </c>
      <c r="B1817" s="8">
        <v>59</v>
      </c>
    </row>
    <row r="1818" spans="1:2" x14ac:dyDescent="0.3">
      <c r="A1818" s="7" t="s">
        <v>1830</v>
      </c>
      <c r="B1818" s="8">
        <v>59.450000762939453</v>
      </c>
    </row>
    <row r="1819" spans="1:2" x14ac:dyDescent="0.3">
      <c r="A1819" s="7" t="s">
        <v>1831</v>
      </c>
      <c r="B1819" s="8">
        <v>59.990001678466797</v>
      </c>
    </row>
    <row r="1820" spans="1:2" x14ac:dyDescent="0.3">
      <c r="A1820" s="7" t="s">
        <v>1832</v>
      </c>
      <c r="B1820" s="8">
        <v>59.990001678466797</v>
      </c>
    </row>
    <row r="1821" spans="1:2" x14ac:dyDescent="0.3">
      <c r="A1821" s="7" t="s">
        <v>1833</v>
      </c>
      <c r="B1821" s="8">
        <v>59.990001678466797</v>
      </c>
    </row>
    <row r="1822" spans="1:2" x14ac:dyDescent="0.3">
      <c r="A1822" s="7" t="s">
        <v>1834</v>
      </c>
      <c r="B1822" s="8">
        <v>59.5</v>
      </c>
    </row>
    <row r="1823" spans="1:2" x14ac:dyDescent="0.3">
      <c r="A1823" s="7" t="s">
        <v>1835</v>
      </c>
      <c r="B1823" s="8">
        <v>59.470001220703125</v>
      </c>
    </row>
    <row r="1824" spans="1:2" x14ac:dyDescent="0.3">
      <c r="A1824" s="7" t="s">
        <v>1836</v>
      </c>
      <c r="B1824" s="8">
        <v>59.720001220703125</v>
      </c>
    </row>
    <row r="1825" spans="1:2" x14ac:dyDescent="0.3">
      <c r="A1825" s="7" t="s">
        <v>1837</v>
      </c>
      <c r="B1825" s="8">
        <v>59.669998168945313</v>
      </c>
    </row>
    <row r="1826" spans="1:2" x14ac:dyDescent="0.3">
      <c r="A1826" s="7" t="s">
        <v>1838</v>
      </c>
      <c r="B1826" s="8">
        <v>59.75</v>
      </c>
    </row>
    <row r="1827" spans="1:2" x14ac:dyDescent="0.3">
      <c r="A1827" s="7" t="s">
        <v>1839</v>
      </c>
      <c r="B1827" s="8">
        <v>59.75</v>
      </c>
    </row>
    <row r="1828" spans="1:2" x14ac:dyDescent="0.3">
      <c r="A1828" s="7" t="s">
        <v>1840</v>
      </c>
      <c r="B1828" s="8">
        <v>59.75</v>
      </c>
    </row>
    <row r="1829" spans="1:2" x14ac:dyDescent="0.3">
      <c r="A1829" s="7" t="s">
        <v>1841</v>
      </c>
      <c r="B1829" s="8">
        <v>59.700000762939453</v>
      </c>
    </row>
    <row r="1830" spans="1:2" x14ac:dyDescent="0.3">
      <c r="A1830" s="7" t="s">
        <v>1842</v>
      </c>
      <c r="B1830" s="8">
        <v>59.650001525878906</v>
      </c>
    </row>
    <row r="1831" spans="1:2" x14ac:dyDescent="0.3">
      <c r="A1831" s="7" t="s">
        <v>1843</v>
      </c>
      <c r="B1831" s="8">
        <v>59.650001525878906</v>
      </c>
    </row>
    <row r="1832" spans="1:2" x14ac:dyDescent="0.3">
      <c r="A1832" s="7" t="s">
        <v>1844</v>
      </c>
      <c r="B1832" s="8">
        <v>59.599998474121094</v>
      </c>
    </row>
    <row r="1833" spans="1:2" x14ac:dyDescent="0.3">
      <c r="A1833" s="7" t="s">
        <v>1845</v>
      </c>
      <c r="B1833" s="8">
        <v>59.504001617431641</v>
      </c>
    </row>
    <row r="1834" spans="1:2" x14ac:dyDescent="0.3">
      <c r="A1834" s="7" t="s">
        <v>1846</v>
      </c>
      <c r="B1834" s="8">
        <v>59.504001617431641</v>
      </c>
    </row>
    <row r="1835" spans="1:2" x14ac:dyDescent="0.3">
      <c r="A1835" s="7" t="s">
        <v>1847</v>
      </c>
      <c r="B1835" s="8">
        <v>59.504001617431641</v>
      </c>
    </row>
    <row r="1836" spans="1:2" x14ac:dyDescent="0.3">
      <c r="A1836" s="7" t="s">
        <v>1848</v>
      </c>
      <c r="B1836" s="8">
        <v>59.504001617431641</v>
      </c>
    </row>
    <row r="1837" spans="1:2" x14ac:dyDescent="0.3">
      <c r="A1837" s="7" t="s">
        <v>1849</v>
      </c>
      <c r="B1837" s="8">
        <v>59.700000762939453</v>
      </c>
    </row>
    <row r="1838" spans="1:2" x14ac:dyDescent="0.3">
      <c r="A1838" s="7" t="s">
        <v>1850</v>
      </c>
      <c r="B1838" s="8">
        <v>59.720001220703125</v>
      </c>
    </row>
    <row r="1839" spans="1:2" x14ac:dyDescent="0.3">
      <c r="A1839" s="7" t="s">
        <v>1851</v>
      </c>
      <c r="B1839" s="8">
        <v>59.720001220703125</v>
      </c>
    </row>
    <row r="1840" spans="1:2" x14ac:dyDescent="0.3">
      <c r="A1840" s="7" t="s">
        <v>1852</v>
      </c>
      <c r="B1840" s="8">
        <v>59.669998168945313</v>
      </c>
    </row>
    <row r="1841" spans="1:2" x14ac:dyDescent="0.3">
      <c r="A1841" s="7" t="s">
        <v>1853</v>
      </c>
      <c r="B1841" s="8">
        <v>59.669998168945313</v>
      </c>
    </row>
    <row r="1842" spans="1:2" x14ac:dyDescent="0.3">
      <c r="A1842" s="7" t="s">
        <v>1854</v>
      </c>
      <c r="B1842" s="8">
        <v>59.669998168945313</v>
      </c>
    </row>
    <row r="1843" spans="1:2" x14ac:dyDescent="0.3">
      <c r="A1843" s="7" t="s">
        <v>1855</v>
      </c>
      <c r="B1843" s="8">
        <v>59.669998168945313</v>
      </c>
    </row>
    <row r="1844" spans="1:2" x14ac:dyDescent="0.3">
      <c r="A1844" s="7" t="s">
        <v>1856</v>
      </c>
      <c r="B1844" s="8">
        <v>59.689998626708984</v>
      </c>
    </row>
    <row r="1845" spans="1:2" x14ac:dyDescent="0.3">
      <c r="A1845" s="7" t="s">
        <v>1857</v>
      </c>
      <c r="B1845" s="8">
        <v>59.729999542236328</v>
      </c>
    </row>
    <row r="1846" spans="1:2" x14ac:dyDescent="0.3">
      <c r="A1846" s="7" t="s">
        <v>1858</v>
      </c>
      <c r="B1846" s="8">
        <v>59.799999237060547</v>
      </c>
    </row>
    <row r="1847" spans="1:2" x14ac:dyDescent="0.3">
      <c r="A1847" s="7" t="s">
        <v>1859</v>
      </c>
      <c r="B1847" s="8">
        <v>59.770000457763672</v>
      </c>
    </row>
    <row r="1848" spans="1:2" x14ac:dyDescent="0.3">
      <c r="A1848" s="7" t="s">
        <v>1860</v>
      </c>
      <c r="B1848" s="8">
        <v>59.770000457763672</v>
      </c>
    </row>
    <row r="1849" spans="1:2" x14ac:dyDescent="0.3">
      <c r="A1849" s="7" t="s">
        <v>1861</v>
      </c>
      <c r="B1849" s="8">
        <v>59.770000457763672</v>
      </c>
    </row>
    <row r="1850" spans="1:2" x14ac:dyDescent="0.3">
      <c r="A1850" s="7" t="s">
        <v>1862</v>
      </c>
      <c r="B1850" s="8">
        <v>59.709999084472656</v>
      </c>
    </row>
    <row r="1851" spans="1:2" x14ac:dyDescent="0.3">
      <c r="A1851" s="7" t="s">
        <v>1863</v>
      </c>
      <c r="B1851" s="8">
        <v>59.939998626708984</v>
      </c>
    </row>
    <row r="1852" spans="1:2" x14ac:dyDescent="0.3">
      <c r="A1852" s="7" t="s">
        <v>1864</v>
      </c>
      <c r="B1852" s="8">
        <v>59.770000457763672</v>
      </c>
    </row>
    <row r="1853" spans="1:2" x14ac:dyDescent="0.3">
      <c r="A1853" s="7" t="s">
        <v>1865</v>
      </c>
      <c r="B1853" s="8">
        <v>59.770000457763672</v>
      </c>
    </row>
    <row r="1854" spans="1:2" x14ac:dyDescent="0.3">
      <c r="A1854" s="7" t="s">
        <v>1866</v>
      </c>
      <c r="B1854" s="8">
        <v>59.939998626708984</v>
      </c>
    </row>
    <row r="1855" spans="1:2" x14ac:dyDescent="0.3">
      <c r="A1855" s="7" t="s">
        <v>1867</v>
      </c>
      <c r="B1855" s="8">
        <v>59.939998626708984</v>
      </c>
    </row>
    <row r="1856" spans="1:2" x14ac:dyDescent="0.3">
      <c r="A1856" s="7" t="s">
        <v>1868</v>
      </c>
      <c r="B1856" s="8">
        <v>59.939998626708984</v>
      </c>
    </row>
    <row r="1857" spans="1:2" x14ac:dyDescent="0.3">
      <c r="A1857" s="7" t="s">
        <v>1869</v>
      </c>
      <c r="B1857" s="8">
        <v>59.974998474121094</v>
      </c>
    </row>
    <row r="1858" spans="1:2" x14ac:dyDescent="0.3">
      <c r="A1858" s="7" t="s">
        <v>1870</v>
      </c>
      <c r="B1858" s="8">
        <v>59.924999237060547</v>
      </c>
    </row>
    <row r="1859" spans="1:2" x14ac:dyDescent="0.3">
      <c r="A1859" s="7" t="s">
        <v>1871</v>
      </c>
      <c r="B1859" s="8">
        <v>59.880001068115234</v>
      </c>
    </row>
    <row r="1860" spans="1:2" x14ac:dyDescent="0.3">
      <c r="A1860" s="7" t="s">
        <v>1872</v>
      </c>
      <c r="B1860" s="8">
        <v>59.985000610351563</v>
      </c>
    </row>
    <row r="1861" spans="1:2" x14ac:dyDescent="0.3">
      <c r="A1861" s="7" t="s">
        <v>1873</v>
      </c>
      <c r="B1861" s="8">
        <v>59.939998626708984</v>
      </c>
    </row>
    <row r="1862" spans="1:2" x14ac:dyDescent="0.3">
      <c r="A1862" s="7" t="s">
        <v>1874</v>
      </c>
      <c r="B1862" s="8">
        <v>59.939998626708984</v>
      </c>
    </row>
    <row r="1863" spans="1:2" x14ac:dyDescent="0.3">
      <c r="A1863" s="7" t="s">
        <v>1875</v>
      </c>
      <c r="B1863" s="8">
        <v>59.939998626708984</v>
      </c>
    </row>
    <row r="1864" spans="1:2" x14ac:dyDescent="0.3">
      <c r="A1864" s="7" t="s">
        <v>1876</v>
      </c>
      <c r="B1864" s="8">
        <v>59.944999694824219</v>
      </c>
    </row>
    <row r="1865" spans="1:2" x14ac:dyDescent="0.3">
      <c r="A1865" s="7" t="s">
        <v>1877</v>
      </c>
      <c r="B1865" s="8">
        <v>59.849998474121094</v>
      </c>
    </row>
    <row r="1866" spans="1:2" x14ac:dyDescent="0.3">
      <c r="A1866" s="7" t="s">
        <v>1878</v>
      </c>
      <c r="B1866" s="8">
        <v>59.814998626708984</v>
      </c>
    </row>
    <row r="1867" spans="1:2" x14ac:dyDescent="0.3">
      <c r="A1867" s="7" t="s">
        <v>1879</v>
      </c>
      <c r="B1867" s="8">
        <v>59.814998626708984</v>
      </c>
    </row>
    <row r="1868" spans="1:2" x14ac:dyDescent="0.3">
      <c r="A1868" s="7" t="s">
        <v>1880</v>
      </c>
      <c r="B1868" s="8">
        <v>59.816001892089844</v>
      </c>
    </row>
    <row r="1869" spans="1:2" x14ac:dyDescent="0.3">
      <c r="A1869" s="7" t="s">
        <v>1881</v>
      </c>
      <c r="B1869" s="8">
        <v>59.816001892089844</v>
      </c>
    </row>
    <row r="1870" spans="1:2" x14ac:dyDescent="0.3">
      <c r="A1870" s="7" t="s">
        <v>1882</v>
      </c>
      <c r="B1870" s="8">
        <v>59.816001892089844</v>
      </c>
    </row>
    <row r="1871" spans="1:2" x14ac:dyDescent="0.3">
      <c r="A1871" s="7" t="s">
        <v>1883</v>
      </c>
      <c r="B1871" s="8">
        <v>59.814998626708984</v>
      </c>
    </row>
    <row r="1872" spans="1:2" x14ac:dyDescent="0.3">
      <c r="A1872" s="7" t="s">
        <v>1884</v>
      </c>
      <c r="B1872" s="8">
        <v>59.814998626708984</v>
      </c>
    </row>
    <row r="1873" spans="1:2" x14ac:dyDescent="0.3">
      <c r="A1873" s="7" t="s">
        <v>1885</v>
      </c>
      <c r="B1873" s="8">
        <v>59.814998626708984</v>
      </c>
    </row>
    <row r="1874" spans="1:2" x14ac:dyDescent="0.3">
      <c r="A1874" s="7" t="s">
        <v>1886</v>
      </c>
      <c r="B1874" s="8">
        <v>59.814998626708984</v>
      </c>
    </row>
    <row r="1875" spans="1:2" x14ac:dyDescent="0.3">
      <c r="A1875" s="7" t="s">
        <v>1887</v>
      </c>
      <c r="B1875" s="8">
        <v>59.814998626708984</v>
      </c>
    </row>
    <row r="1876" spans="1:2" x14ac:dyDescent="0.3">
      <c r="A1876" s="7" t="s">
        <v>1888</v>
      </c>
      <c r="B1876" s="8">
        <v>59.814998626708984</v>
      </c>
    </row>
    <row r="1877" spans="1:2" x14ac:dyDescent="0.3">
      <c r="A1877" s="7" t="s">
        <v>1889</v>
      </c>
      <c r="B1877" s="8">
        <v>59.814998626708984</v>
      </c>
    </row>
    <row r="1878" spans="1:2" x14ac:dyDescent="0.3">
      <c r="A1878" s="7" t="s">
        <v>1890</v>
      </c>
      <c r="B1878" s="8">
        <v>59.990001678466797</v>
      </c>
    </row>
    <row r="1879" spans="1:2" x14ac:dyDescent="0.3">
      <c r="A1879" s="7" t="s">
        <v>1891</v>
      </c>
      <c r="B1879" s="8">
        <v>59.990001678466797</v>
      </c>
    </row>
    <row r="1880" spans="1:2" x14ac:dyDescent="0.3">
      <c r="A1880" s="7" t="s">
        <v>1892</v>
      </c>
      <c r="B1880" s="8">
        <v>59.990001678466797</v>
      </c>
    </row>
    <row r="1881" spans="1:2" x14ac:dyDescent="0.3">
      <c r="A1881" s="7" t="s">
        <v>1893</v>
      </c>
      <c r="B1881" s="8">
        <v>59.889999389648438</v>
      </c>
    </row>
    <row r="1882" spans="1:2" x14ac:dyDescent="0.3">
      <c r="A1882" s="7" t="s">
        <v>1894</v>
      </c>
      <c r="B1882" s="8">
        <v>59.830001831054688</v>
      </c>
    </row>
    <row r="1883" spans="1:2" x14ac:dyDescent="0.3">
      <c r="A1883" s="7" t="s">
        <v>1895</v>
      </c>
      <c r="B1883" s="8">
        <v>59.830001831054688</v>
      </c>
    </row>
    <row r="1884" spans="1:2" x14ac:dyDescent="0.3">
      <c r="A1884" s="7" t="s">
        <v>1896</v>
      </c>
      <c r="B1884" s="8">
        <v>59.830001831054688</v>
      </c>
    </row>
    <row r="1885" spans="1:2" x14ac:dyDescent="0.3">
      <c r="A1885" s="7" t="s">
        <v>1897</v>
      </c>
      <c r="B1885" s="8">
        <v>59.889999389648438</v>
      </c>
    </row>
    <row r="1886" spans="1:2" x14ac:dyDescent="0.3">
      <c r="A1886" s="7" t="s">
        <v>1898</v>
      </c>
      <c r="B1886" s="8">
        <v>59.889999389648438</v>
      </c>
    </row>
    <row r="1887" spans="1:2" x14ac:dyDescent="0.3">
      <c r="A1887" s="7" t="s">
        <v>1899</v>
      </c>
      <c r="B1887" s="8">
        <v>59.889999389648438</v>
      </c>
    </row>
    <row r="1888" spans="1:2" x14ac:dyDescent="0.3">
      <c r="A1888" s="7" t="s">
        <v>1900</v>
      </c>
      <c r="B1888" s="8">
        <v>59.814998626708984</v>
      </c>
    </row>
    <row r="1889" spans="1:2" x14ac:dyDescent="0.3">
      <c r="A1889" s="7" t="s">
        <v>1901</v>
      </c>
      <c r="B1889" s="8">
        <v>59.814998626708984</v>
      </c>
    </row>
    <row r="1890" spans="1:2" x14ac:dyDescent="0.3">
      <c r="A1890" s="7" t="s">
        <v>1902</v>
      </c>
      <c r="B1890" s="8">
        <v>59.814998626708984</v>
      </c>
    </row>
    <row r="1891" spans="1:2" x14ac:dyDescent="0.3">
      <c r="A1891" s="7" t="s">
        <v>1903</v>
      </c>
      <c r="B1891" s="8">
        <v>59.814998626708984</v>
      </c>
    </row>
    <row r="1892" spans="1:2" x14ac:dyDescent="0.3">
      <c r="A1892" s="7" t="s">
        <v>1904</v>
      </c>
      <c r="B1892" s="8">
        <v>59.814998626708984</v>
      </c>
    </row>
    <row r="1893" spans="1:2" x14ac:dyDescent="0.3">
      <c r="A1893" s="7" t="s">
        <v>1905</v>
      </c>
      <c r="B1893" s="8">
        <v>59.814998626708984</v>
      </c>
    </row>
    <row r="1894" spans="1:2" x14ac:dyDescent="0.3">
      <c r="A1894" s="7" t="s">
        <v>1906</v>
      </c>
      <c r="B1894" s="8">
        <v>59.814998626708984</v>
      </c>
    </row>
    <row r="1895" spans="1:2" x14ac:dyDescent="0.3">
      <c r="A1895" s="7" t="s">
        <v>1907</v>
      </c>
      <c r="B1895" s="8">
        <v>59.814998626708984</v>
      </c>
    </row>
    <row r="1896" spans="1:2" x14ac:dyDescent="0.3">
      <c r="A1896" s="7" t="s">
        <v>1908</v>
      </c>
      <c r="B1896" s="8">
        <v>59.816001892089844</v>
      </c>
    </row>
    <row r="1897" spans="1:2" x14ac:dyDescent="0.3">
      <c r="A1897" s="7" t="s">
        <v>1909</v>
      </c>
      <c r="B1897" s="8">
        <v>59.816001892089844</v>
      </c>
    </row>
    <row r="1898" spans="1:2" x14ac:dyDescent="0.3">
      <c r="A1898" s="7" t="s">
        <v>1910</v>
      </c>
      <c r="B1898" s="8">
        <v>59.816001892089844</v>
      </c>
    </row>
    <row r="1899" spans="1:2" x14ac:dyDescent="0.3">
      <c r="A1899" s="7" t="s">
        <v>1911</v>
      </c>
      <c r="B1899" s="8">
        <v>59.950000762939453</v>
      </c>
    </row>
    <row r="1900" spans="1:2" x14ac:dyDescent="0.3">
      <c r="A1900" s="7" t="s">
        <v>1912</v>
      </c>
      <c r="B1900" s="8">
        <v>60.060001373291016</v>
      </c>
    </row>
    <row r="1901" spans="1:2" x14ac:dyDescent="0.3">
      <c r="A1901" s="7" t="s">
        <v>1913</v>
      </c>
      <c r="B1901" s="8">
        <v>59.950000762939453</v>
      </c>
    </row>
    <row r="1902" spans="1:2" x14ac:dyDescent="0.3">
      <c r="A1902" s="7" t="s">
        <v>1914</v>
      </c>
      <c r="B1902" s="8">
        <v>59.974998474121094</v>
      </c>
    </row>
    <row r="1903" spans="1:2" x14ac:dyDescent="0.3">
      <c r="A1903" s="7" t="s">
        <v>1915</v>
      </c>
      <c r="B1903" s="8">
        <v>60.005001068115234</v>
      </c>
    </row>
    <row r="1904" spans="1:2" x14ac:dyDescent="0.3">
      <c r="A1904" s="7" t="s">
        <v>1916</v>
      </c>
      <c r="B1904" s="8">
        <v>60.005001068115234</v>
      </c>
    </row>
    <row r="1905" spans="1:2" x14ac:dyDescent="0.3">
      <c r="A1905" s="7" t="s">
        <v>1917</v>
      </c>
      <c r="B1905" s="8">
        <v>60.005001068115234</v>
      </c>
    </row>
    <row r="1906" spans="1:2" x14ac:dyDescent="0.3">
      <c r="A1906" s="7" t="s">
        <v>1918</v>
      </c>
      <c r="B1906" s="8">
        <v>60.005001068115234</v>
      </c>
    </row>
    <row r="1907" spans="1:2" x14ac:dyDescent="0.3">
      <c r="A1907" s="7" t="s">
        <v>1919</v>
      </c>
      <c r="B1907" s="8">
        <v>60.099998474121094</v>
      </c>
    </row>
    <row r="1908" spans="1:2" x14ac:dyDescent="0.3">
      <c r="A1908" s="7" t="s">
        <v>1920</v>
      </c>
      <c r="B1908" s="8">
        <v>60.069999694824219</v>
      </c>
    </row>
    <row r="1909" spans="1:2" x14ac:dyDescent="0.3">
      <c r="A1909" s="7" t="s">
        <v>1921</v>
      </c>
      <c r="B1909" s="8">
        <v>60.080001831054688</v>
      </c>
    </row>
    <row r="1910" spans="1:2" x14ac:dyDescent="0.3">
      <c r="A1910" s="7" t="s">
        <v>1922</v>
      </c>
      <c r="B1910" s="8">
        <v>60.090999603271484</v>
      </c>
    </row>
    <row r="1911" spans="1:2" x14ac:dyDescent="0.3">
      <c r="A1911" s="7" t="s">
        <v>1923</v>
      </c>
      <c r="B1911" s="8">
        <v>60.090999603271484</v>
      </c>
    </row>
    <row r="1912" spans="1:2" x14ac:dyDescent="0.3">
      <c r="A1912" s="7" t="s">
        <v>1924</v>
      </c>
      <c r="B1912" s="8">
        <v>60.090999603271484</v>
      </c>
    </row>
    <row r="1913" spans="1:2" x14ac:dyDescent="0.3">
      <c r="A1913" s="7" t="s">
        <v>1925</v>
      </c>
      <c r="B1913" s="8">
        <v>60.169998168945313</v>
      </c>
    </row>
    <row r="1914" spans="1:2" x14ac:dyDescent="0.3">
      <c r="A1914" s="7" t="s">
        <v>1926</v>
      </c>
      <c r="B1914" s="8">
        <v>60.180000305175781</v>
      </c>
    </row>
    <row r="1915" spans="1:2" x14ac:dyDescent="0.3">
      <c r="A1915" s="7" t="s">
        <v>1927</v>
      </c>
      <c r="B1915" s="8">
        <v>60.229999542236328</v>
      </c>
    </row>
    <row r="1916" spans="1:2" x14ac:dyDescent="0.3">
      <c r="A1916" s="7" t="s">
        <v>1928</v>
      </c>
      <c r="B1916" s="8">
        <v>60.25</v>
      </c>
    </row>
    <row r="1917" spans="1:2" x14ac:dyDescent="0.3">
      <c r="A1917" s="7" t="s">
        <v>1929</v>
      </c>
      <c r="B1917" s="8">
        <v>60.349998474121094</v>
      </c>
    </row>
    <row r="1918" spans="1:2" x14ac:dyDescent="0.3">
      <c r="A1918" s="7" t="s">
        <v>1930</v>
      </c>
      <c r="B1918" s="8">
        <v>60.349998474121094</v>
      </c>
    </row>
    <row r="1919" spans="1:2" x14ac:dyDescent="0.3">
      <c r="A1919" s="7" t="s">
        <v>1931</v>
      </c>
      <c r="B1919" s="8">
        <v>60.349998474121094</v>
      </c>
    </row>
    <row r="1920" spans="1:2" x14ac:dyDescent="0.3">
      <c r="A1920" s="7" t="s">
        <v>1932</v>
      </c>
      <c r="B1920" s="8">
        <v>60.459999084472656</v>
      </c>
    </row>
    <row r="1921" spans="1:2" x14ac:dyDescent="0.3">
      <c r="A1921" s="7" t="s">
        <v>1933</v>
      </c>
      <c r="B1921" s="8">
        <v>60.580001831054688</v>
      </c>
    </row>
    <row r="1922" spans="1:2" x14ac:dyDescent="0.3">
      <c r="A1922" s="7" t="s">
        <v>1934</v>
      </c>
      <c r="B1922" s="8">
        <v>60.590000152587891</v>
      </c>
    </row>
    <row r="1923" spans="1:2" x14ac:dyDescent="0.3">
      <c r="A1923" s="7" t="s">
        <v>1935</v>
      </c>
      <c r="B1923" s="8">
        <v>60.689998626708984</v>
      </c>
    </row>
    <row r="1924" spans="1:2" x14ac:dyDescent="0.3">
      <c r="A1924" s="7" t="s">
        <v>1936</v>
      </c>
      <c r="B1924" s="8">
        <v>60.779998779296875</v>
      </c>
    </row>
    <row r="1925" spans="1:2" x14ac:dyDescent="0.3">
      <c r="A1925" s="7" t="s">
        <v>1937</v>
      </c>
      <c r="B1925" s="8">
        <v>60.779998779296875</v>
      </c>
    </row>
    <row r="1926" spans="1:2" x14ac:dyDescent="0.3">
      <c r="A1926" s="7" t="s">
        <v>1938</v>
      </c>
      <c r="B1926" s="8">
        <v>60.779998779296875</v>
      </c>
    </row>
    <row r="1927" spans="1:2" x14ac:dyDescent="0.3">
      <c r="A1927" s="7" t="s">
        <v>1939</v>
      </c>
      <c r="B1927" s="8">
        <v>60.978000640869141</v>
      </c>
    </row>
    <row r="1928" spans="1:2" x14ac:dyDescent="0.3">
      <c r="A1928" s="7" t="s">
        <v>1940</v>
      </c>
      <c r="B1928" s="8">
        <v>61.118999481201172</v>
      </c>
    </row>
    <row r="1929" spans="1:2" x14ac:dyDescent="0.3">
      <c r="A1929" s="7" t="s">
        <v>1941</v>
      </c>
      <c r="B1929" s="8">
        <v>61.229000091552734</v>
      </c>
    </row>
    <row r="1930" spans="1:2" x14ac:dyDescent="0.3">
      <c r="A1930" s="7" t="s">
        <v>1942</v>
      </c>
      <c r="B1930" s="8">
        <v>61.388999938964844</v>
      </c>
    </row>
    <row r="1931" spans="1:2" x14ac:dyDescent="0.3">
      <c r="A1931" s="7" t="s">
        <v>1943</v>
      </c>
      <c r="B1931" s="8">
        <v>61.458999633789063</v>
      </c>
    </row>
    <row r="1932" spans="1:2" x14ac:dyDescent="0.3">
      <c r="A1932" s="7" t="s">
        <v>1944</v>
      </c>
      <c r="B1932" s="8">
        <v>61.458999633789063</v>
      </c>
    </row>
    <row r="1933" spans="1:2" x14ac:dyDescent="0.3">
      <c r="A1933" s="7" t="s">
        <v>1945</v>
      </c>
      <c r="B1933" s="8">
        <v>61.458999633789063</v>
      </c>
    </row>
    <row r="1934" spans="1:2" x14ac:dyDescent="0.3">
      <c r="A1934" s="7" t="s">
        <v>1946</v>
      </c>
      <c r="B1934" s="8">
        <v>61.458999633789063</v>
      </c>
    </row>
    <row r="1935" spans="1:2" x14ac:dyDescent="0.3">
      <c r="A1935" s="7" t="s">
        <v>1947</v>
      </c>
      <c r="B1935" s="8">
        <v>61.661998748779297</v>
      </c>
    </row>
    <row r="1936" spans="1:2" x14ac:dyDescent="0.3">
      <c r="A1936" s="7" t="s">
        <v>1948</v>
      </c>
      <c r="B1936" s="8">
        <v>61.729000091552734</v>
      </c>
    </row>
    <row r="1937" spans="1:2" x14ac:dyDescent="0.3">
      <c r="A1937" s="7" t="s">
        <v>1949</v>
      </c>
      <c r="B1937" s="8">
        <v>61.78900146484375</v>
      </c>
    </row>
    <row r="1938" spans="1:2" x14ac:dyDescent="0.3">
      <c r="A1938" s="7" t="s">
        <v>1950</v>
      </c>
      <c r="B1938" s="8">
        <v>61.839000701904297</v>
      </c>
    </row>
    <row r="1939" spans="1:2" x14ac:dyDescent="0.3">
      <c r="A1939" s="7" t="s">
        <v>1951</v>
      </c>
      <c r="B1939" s="8">
        <v>61.839000701904297</v>
      </c>
    </row>
    <row r="1940" spans="1:2" x14ac:dyDescent="0.3">
      <c r="A1940" s="7" t="s">
        <v>1952</v>
      </c>
      <c r="B1940" s="8">
        <v>61.839000701904297</v>
      </c>
    </row>
    <row r="1941" spans="1:2" x14ac:dyDescent="0.3">
      <c r="A1941" s="7" t="s">
        <v>1953</v>
      </c>
      <c r="B1941" s="8">
        <v>61.839000701904297</v>
      </c>
    </row>
    <row r="1942" spans="1:2" x14ac:dyDescent="0.3">
      <c r="A1942" s="7" t="s">
        <v>1954</v>
      </c>
      <c r="B1942" s="8">
        <v>61.839000701904297</v>
      </c>
    </row>
    <row r="1943" spans="1:2" x14ac:dyDescent="0.3">
      <c r="A1943" s="7" t="s">
        <v>1955</v>
      </c>
      <c r="B1943" s="8">
        <v>62.089000701904297</v>
      </c>
    </row>
    <row r="1944" spans="1:2" x14ac:dyDescent="0.3">
      <c r="A1944" s="7" t="s">
        <v>1956</v>
      </c>
      <c r="B1944" s="8">
        <v>62.138999938964844</v>
      </c>
    </row>
    <row r="1945" spans="1:2" x14ac:dyDescent="0.3">
      <c r="A1945" s="7" t="s">
        <v>1957</v>
      </c>
      <c r="B1945" s="8">
        <v>62.209999084472656</v>
      </c>
    </row>
    <row r="1946" spans="1:2" x14ac:dyDescent="0.3">
      <c r="A1946" s="7" t="s">
        <v>1958</v>
      </c>
      <c r="B1946" s="8">
        <v>62.209999084472656</v>
      </c>
    </row>
    <row r="1947" spans="1:2" x14ac:dyDescent="0.3">
      <c r="A1947" s="7" t="s">
        <v>1959</v>
      </c>
      <c r="B1947" s="8">
        <v>62.209999084472656</v>
      </c>
    </row>
    <row r="1948" spans="1:2" x14ac:dyDescent="0.3">
      <c r="A1948" s="7" t="s">
        <v>1960</v>
      </c>
      <c r="B1948" s="8">
        <v>62.258998870849609</v>
      </c>
    </row>
    <row r="1949" spans="1:2" x14ac:dyDescent="0.3">
      <c r="A1949" s="7" t="s">
        <v>1961</v>
      </c>
      <c r="B1949" s="8">
        <v>62.308998107910156</v>
      </c>
    </row>
    <row r="1950" spans="1:2" x14ac:dyDescent="0.3">
      <c r="A1950" s="7" t="s">
        <v>1962</v>
      </c>
      <c r="B1950" s="8">
        <v>62.359001159667969</v>
      </c>
    </row>
    <row r="1951" spans="1:2" x14ac:dyDescent="0.3">
      <c r="A1951" s="7" t="s">
        <v>1963</v>
      </c>
      <c r="B1951" s="8">
        <v>62.418998718261719</v>
      </c>
    </row>
    <row r="1952" spans="1:2" x14ac:dyDescent="0.3">
      <c r="A1952" s="7" t="s">
        <v>1964</v>
      </c>
      <c r="B1952" s="8">
        <v>62.479999542236328</v>
      </c>
    </row>
    <row r="1953" spans="1:2" x14ac:dyDescent="0.3">
      <c r="A1953" s="7" t="s">
        <v>1965</v>
      </c>
      <c r="B1953" s="8">
        <v>62.479999542236328</v>
      </c>
    </row>
    <row r="1954" spans="1:2" x14ac:dyDescent="0.3">
      <c r="A1954" s="7" t="s">
        <v>1966</v>
      </c>
      <c r="B1954" s="8">
        <v>62.479999542236328</v>
      </c>
    </row>
    <row r="1955" spans="1:2" x14ac:dyDescent="0.3">
      <c r="A1955" s="7" t="s">
        <v>1967</v>
      </c>
      <c r="B1955" s="8">
        <v>62.529998779296875</v>
      </c>
    </row>
    <row r="1956" spans="1:2" x14ac:dyDescent="0.3">
      <c r="A1956" s="7" t="s">
        <v>1968</v>
      </c>
      <c r="B1956" s="8">
        <v>62.589000701904297</v>
      </c>
    </row>
    <row r="1957" spans="1:2" x14ac:dyDescent="0.3">
      <c r="A1957" s="7" t="s">
        <v>1969</v>
      </c>
      <c r="B1957" s="8">
        <v>62.669998168945313</v>
      </c>
    </row>
    <row r="1958" spans="1:2" x14ac:dyDescent="0.3">
      <c r="A1958" s="7" t="s">
        <v>1970</v>
      </c>
      <c r="B1958" s="8">
        <v>62.819000244140625</v>
      </c>
    </row>
    <row r="1959" spans="1:2" x14ac:dyDescent="0.3">
      <c r="A1959" s="7" t="s">
        <v>1971</v>
      </c>
      <c r="B1959" s="8">
        <v>62.898998260498047</v>
      </c>
    </row>
    <row r="1960" spans="1:2" x14ac:dyDescent="0.3">
      <c r="A1960" s="7" t="s">
        <v>1972</v>
      </c>
      <c r="B1960" s="8">
        <v>62.898998260498047</v>
      </c>
    </row>
    <row r="1961" spans="1:2" x14ac:dyDescent="0.3">
      <c r="A1961" s="7" t="s">
        <v>1973</v>
      </c>
      <c r="B1961" s="8">
        <v>62.898998260498047</v>
      </c>
    </row>
    <row r="1962" spans="1:2" x14ac:dyDescent="0.3">
      <c r="A1962" s="7" t="s">
        <v>1974</v>
      </c>
      <c r="B1962" s="8">
        <v>63.03900146484375</v>
      </c>
    </row>
    <row r="1963" spans="1:2" x14ac:dyDescent="0.3">
      <c r="A1963" s="7" t="s">
        <v>1975</v>
      </c>
      <c r="B1963" s="8">
        <v>63.179000854492188</v>
      </c>
    </row>
    <row r="1964" spans="1:2" x14ac:dyDescent="0.3">
      <c r="A1964" s="7" t="s">
        <v>1976</v>
      </c>
      <c r="B1964" s="8">
        <v>63.330001831054688</v>
      </c>
    </row>
    <row r="1965" spans="1:2" x14ac:dyDescent="0.3">
      <c r="A1965" s="7" t="s">
        <v>1977</v>
      </c>
      <c r="B1965" s="8">
        <v>63.548999786376953</v>
      </c>
    </row>
    <row r="1966" spans="1:2" x14ac:dyDescent="0.3">
      <c r="A1966" s="7" t="s">
        <v>1978</v>
      </c>
      <c r="B1966" s="8">
        <v>63.770000457763672</v>
      </c>
    </row>
    <row r="1967" spans="1:2" x14ac:dyDescent="0.3">
      <c r="A1967" s="7" t="s">
        <v>1979</v>
      </c>
      <c r="B1967" s="8">
        <v>63.770000457763672</v>
      </c>
    </row>
    <row r="1968" spans="1:2" x14ac:dyDescent="0.3">
      <c r="A1968" s="7" t="s">
        <v>1980</v>
      </c>
      <c r="B1968" s="8">
        <v>63.770000457763672</v>
      </c>
    </row>
    <row r="1969" spans="1:2" x14ac:dyDescent="0.3">
      <c r="A1969" s="7" t="s">
        <v>1981</v>
      </c>
      <c r="B1969" s="8">
        <v>63.770000457763672</v>
      </c>
    </row>
    <row r="1970" spans="1:2" x14ac:dyDescent="0.3">
      <c r="A1970" s="7" t="s">
        <v>1982</v>
      </c>
      <c r="B1970" s="8">
        <v>63.770000457763672</v>
      </c>
    </row>
    <row r="1971" spans="1:2" x14ac:dyDescent="0.3">
      <c r="A1971" s="7" t="s">
        <v>1983</v>
      </c>
      <c r="B1971" s="8">
        <v>64.050003051757813</v>
      </c>
    </row>
    <row r="1972" spans="1:2" x14ac:dyDescent="0.3">
      <c r="A1972" s="7" t="s">
        <v>1984</v>
      </c>
      <c r="B1972" s="8">
        <v>64.228996276855469</v>
      </c>
    </row>
    <row r="1973" spans="1:2" x14ac:dyDescent="0.3">
      <c r="A1973" s="7" t="s">
        <v>1985</v>
      </c>
      <c r="B1973" s="8">
        <v>64.40899658203125</v>
      </c>
    </row>
    <row r="1974" spans="1:2" x14ac:dyDescent="0.3">
      <c r="A1974" s="7" t="s">
        <v>1986</v>
      </c>
      <c r="B1974" s="8">
        <v>64.40899658203125</v>
      </c>
    </row>
    <row r="1975" spans="1:2" x14ac:dyDescent="0.3">
      <c r="A1975" s="7" t="s">
        <v>1987</v>
      </c>
      <c r="B1975" s="8">
        <v>64.40899658203125</v>
      </c>
    </row>
    <row r="1976" spans="1:2" x14ac:dyDescent="0.3">
      <c r="A1976" s="7" t="s">
        <v>1988</v>
      </c>
      <c r="B1976" s="8">
        <v>64.469001770019531</v>
      </c>
    </row>
    <row r="1977" spans="1:2" x14ac:dyDescent="0.3">
      <c r="A1977" s="7" t="s">
        <v>1989</v>
      </c>
      <c r="B1977" s="8">
        <v>64.469001770019531</v>
      </c>
    </row>
    <row r="1978" spans="1:2" x14ac:dyDescent="0.3">
      <c r="A1978" s="7" t="s">
        <v>1990</v>
      </c>
      <c r="B1978" s="8">
        <v>64.529998779296875</v>
      </c>
    </row>
    <row r="1979" spans="1:2" x14ac:dyDescent="0.3">
      <c r="A1979" s="7" t="s">
        <v>1991</v>
      </c>
      <c r="B1979" s="8">
        <v>64.720001220703125</v>
      </c>
    </row>
    <row r="1980" spans="1:2" x14ac:dyDescent="0.3">
      <c r="A1980" s="7" t="s">
        <v>1992</v>
      </c>
      <c r="B1980" s="8">
        <v>64.910003662109375</v>
      </c>
    </row>
    <row r="1981" spans="1:2" x14ac:dyDescent="0.3">
      <c r="A1981" s="7" t="s">
        <v>1993</v>
      </c>
      <c r="B1981" s="8">
        <v>64.910003662109375</v>
      </c>
    </row>
    <row r="1982" spans="1:2" x14ac:dyDescent="0.3">
      <c r="A1982" s="7" t="s">
        <v>1994</v>
      </c>
      <c r="B1982" s="8">
        <v>64.910003662109375</v>
      </c>
    </row>
    <row r="1983" spans="1:2" x14ac:dyDescent="0.3">
      <c r="A1983" s="7" t="s">
        <v>1995</v>
      </c>
      <c r="B1983" s="8">
        <v>64.989997863769531</v>
      </c>
    </row>
    <row r="1984" spans="1:2" x14ac:dyDescent="0.3">
      <c r="A1984" s="7" t="s">
        <v>1996</v>
      </c>
      <c r="B1984" s="8">
        <v>65.069000244140625</v>
      </c>
    </row>
    <row r="1985" spans="1:2" x14ac:dyDescent="0.3">
      <c r="A1985" s="7" t="s">
        <v>1997</v>
      </c>
      <c r="B1985" s="8">
        <v>65.160003662109375</v>
      </c>
    </row>
    <row r="1986" spans="1:2" x14ac:dyDescent="0.3">
      <c r="A1986" s="7" t="s">
        <v>1998</v>
      </c>
      <c r="B1986" s="8">
        <v>65.160003662109375</v>
      </c>
    </row>
    <row r="1987" spans="1:2" x14ac:dyDescent="0.3">
      <c r="A1987" s="7" t="s">
        <v>1999</v>
      </c>
      <c r="B1987" s="8">
        <v>65.160003662109375</v>
      </c>
    </row>
    <row r="1988" spans="1:2" x14ac:dyDescent="0.3">
      <c r="A1988" s="7" t="s">
        <v>2000</v>
      </c>
      <c r="B1988" s="8">
        <v>65.160003662109375</v>
      </c>
    </row>
    <row r="1989" spans="1:2" x14ac:dyDescent="0.3">
      <c r="A1989" s="7" t="s">
        <v>2001</v>
      </c>
      <c r="B1989" s="8">
        <v>65.160003662109375</v>
      </c>
    </row>
    <row r="1990" spans="1:2" x14ac:dyDescent="0.3">
      <c r="A1990" s="7" t="s">
        <v>2002</v>
      </c>
      <c r="B1990" s="8">
        <v>65.379997253417969</v>
      </c>
    </row>
    <row r="1991" spans="1:2" x14ac:dyDescent="0.3">
      <c r="A1991" s="7" t="s">
        <v>2003</v>
      </c>
      <c r="B1991" s="8">
        <v>65.5</v>
      </c>
    </row>
    <row r="1992" spans="1:2" x14ac:dyDescent="0.3">
      <c r="A1992" s="7" t="s">
        <v>2004</v>
      </c>
      <c r="B1992" s="8">
        <v>65.619003295898438</v>
      </c>
    </row>
    <row r="1993" spans="1:2" x14ac:dyDescent="0.3">
      <c r="A1993" s="7" t="s">
        <v>2005</v>
      </c>
      <c r="B1993" s="8">
        <v>65.739997863769531</v>
      </c>
    </row>
    <row r="1994" spans="1:2" x14ac:dyDescent="0.3">
      <c r="A1994" s="7" t="s">
        <v>2006</v>
      </c>
      <c r="B1994" s="8">
        <v>65.860000610351563</v>
      </c>
    </row>
    <row r="1995" spans="1:2" x14ac:dyDescent="0.3">
      <c r="A1995" s="7" t="s">
        <v>2007</v>
      </c>
      <c r="B1995" s="8">
        <v>65.860000610351563</v>
      </c>
    </row>
    <row r="1996" spans="1:2" x14ac:dyDescent="0.3">
      <c r="A1996" s="7" t="s">
        <v>2008</v>
      </c>
      <c r="B1996" s="8">
        <v>65.860000610351563</v>
      </c>
    </row>
    <row r="1997" spans="1:2" x14ac:dyDescent="0.3">
      <c r="A1997" s="7" t="s">
        <v>2009</v>
      </c>
      <c r="B1997" s="8">
        <v>65.980003356933594</v>
      </c>
    </row>
    <row r="1998" spans="1:2" x14ac:dyDescent="0.3">
      <c r="A1998" s="7" t="s">
        <v>2010</v>
      </c>
      <c r="B1998" s="8">
        <v>66.089996337890625</v>
      </c>
    </row>
    <row r="1999" spans="1:2" x14ac:dyDescent="0.3">
      <c r="A1999" s="7" t="s">
        <v>2011</v>
      </c>
      <c r="B1999" s="8">
        <v>66.230003356933594</v>
      </c>
    </row>
    <row r="2000" spans="1:2" x14ac:dyDescent="0.3">
      <c r="A2000" s="7" t="s">
        <v>2012</v>
      </c>
      <c r="B2000" s="8">
        <v>66.319999694824219</v>
      </c>
    </row>
    <row r="2001" spans="1:2" x14ac:dyDescent="0.3">
      <c r="A2001" s="7" t="s">
        <v>2013</v>
      </c>
      <c r="B2001" s="8">
        <v>66.430000305175781</v>
      </c>
    </row>
    <row r="2002" spans="1:2" x14ac:dyDescent="0.3">
      <c r="A2002" s="7" t="s">
        <v>2014</v>
      </c>
      <c r="B2002" s="8">
        <v>66.430000305175781</v>
      </c>
    </row>
    <row r="2003" spans="1:2" x14ac:dyDescent="0.3">
      <c r="A2003" s="7" t="s">
        <v>2015</v>
      </c>
      <c r="B2003" s="8">
        <v>66.430000305175781</v>
      </c>
    </row>
    <row r="2004" spans="1:2" x14ac:dyDescent="0.3">
      <c r="A2004" s="7" t="s">
        <v>2016</v>
      </c>
      <c r="B2004" s="8">
        <v>66.529998779296875</v>
      </c>
    </row>
    <row r="2005" spans="1:2" x14ac:dyDescent="0.3">
      <c r="A2005" s="7" t="s">
        <v>2017</v>
      </c>
      <c r="B2005" s="8">
        <v>66.629997253417969</v>
      </c>
    </row>
    <row r="2006" spans="1:2" x14ac:dyDescent="0.3">
      <c r="A2006" s="7" t="s">
        <v>2018</v>
      </c>
      <c r="B2006" s="8">
        <v>66.75</v>
      </c>
    </row>
    <row r="2007" spans="1:2" x14ac:dyDescent="0.3">
      <c r="A2007" s="7" t="s">
        <v>2019</v>
      </c>
      <c r="B2007" s="8">
        <v>66.839996337890625</v>
      </c>
    </row>
    <row r="2008" spans="1:2" x14ac:dyDescent="0.3">
      <c r="A2008" s="7" t="s">
        <v>2020</v>
      </c>
      <c r="B2008" s="8">
        <v>66.839996337890625</v>
      </c>
    </row>
    <row r="2009" spans="1:2" x14ac:dyDescent="0.3">
      <c r="A2009" s="7" t="s">
        <v>2021</v>
      </c>
      <c r="B2009" s="8">
        <v>66.839996337890625</v>
      </c>
    </row>
    <row r="2010" spans="1:2" x14ac:dyDescent="0.3">
      <c r="A2010" s="7" t="s">
        <v>2022</v>
      </c>
      <c r="B2010" s="8">
        <v>66.839996337890625</v>
      </c>
    </row>
    <row r="2011" spans="1:2" x14ac:dyDescent="0.3">
      <c r="A2011" s="7" t="s">
        <v>2023</v>
      </c>
      <c r="B2011" s="8">
        <v>66.930000305175781</v>
      </c>
    </row>
    <row r="2012" spans="1:2" x14ac:dyDescent="0.3">
      <c r="A2012" s="7" t="s">
        <v>2024</v>
      </c>
      <c r="B2012" s="8">
        <v>67</v>
      </c>
    </row>
    <row r="2013" spans="1:2" x14ac:dyDescent="0.3">
      <c r="A2013" s="7" t="s">
        <v>2025</v>
      </c>
      <c r="B2013" s="8">
        <v>67.099998474121094</v>
      </c>
    </row>
    <row r="2014" spans="1:2" x14ac:dyDescent="0.3">
      <c r="A2014" s="7" t="s">
        <v>2026</v>
      </c>
      <c r="B2014" s="8">
        <v>67.19000244140625</v>
      </c>
    </row>
    <row r="2015" spans="1:2" x14ac:dyDescent="0.3">
      <c r="A2015" s="7" t="s">
        <v>2027</v>
      </c>
      <c r="B2015" s="8">
        <v>67.269996643066406</v>
      </c>
    </row>
    <row r="2016" spans="1:2" x14ac:dyDescent="0.3">
      <c r="A2016" s="7" t="s">
        <v>2028</v>
      </c>
      <c r="B2016" s="8">
        <v>67.269996643066406</v>
      </c>
    </row>
    <row r="2017" spans="1:2" x14ac:dyDescent="0.3">
      <c r="A2017" s="7" t="s">
        <v>2029</v>
      </c>
      <c r="B2017" s="8">
        <v>67.269996643066406</v>
      </c>
    </row>
    <row r="2018" spans="1:2" x14ac:dyDescent="0.3">
      <c r="A2018" s="7" t="s">
        <v>2030</v>
      </c>
      <c r="B2018" s="8">
        <v>67.370002746582031</v>
      </c>
    </row>
    <row r="2019" spans="1:2" x14ac:dyDescent="0.3">
      <c r="A2019" s="7" t="s">
        <v>2031</v>
      </c>
      <c r="B2019" s="8">
        <v>67.459999084472656</v>
      </c>
    </row>
    <row r="2020" spans="1:2" x14ac:dyDescent="0.3">
      <c r="A2020" s="7" t="s">
        <v>2032</v>
      </c>
      <c r="B2020" s="8">
        <v>67.540000915527344</v>
      </c>
    </row>
    <row r="2021" spans="1:2" x14ac:dyDescent="0.3">
      <c r="A2021" s="7" t="s">
        <v>2033</v>
      </c>
      <c r="B2021" s="8">
        <v>67.639999389648438</v>
      </c>
    </row>
    <row r="2022" spans="1:2" x14ac:dyDescent="0.3">
      <c r="A2022" s="7" t="s">
        <v>2034</v>
      </c>
      <c r="B2022" s="8">
        <v>67.730003356933594</v>
      </c>
    </row>
    <row r="2023" spans="1:2" x14ac:dyDescent="0.3">
      <c r="A2023" s="7" t="s">
        <v>2035</v>
      </c>
      <c r="B2023" s="8">
        <v>67.730003356933594</v>
      </c>
    </row>
    <row r="2024" spans="1:2" x14ac:dyDescent="0.3">
      <c r="A2024" s="7" t="s">
        <v>2036</v>
      </c>
      <c r="B2024" s="8">
        <v>67.730003356933594</v>
      </c>
    </row>
    <row r="2025" spans="1:2" x14ac:dyDescent="0.3">
      <c r="A2025" s="7" t="s">
        <v>2037</v>
      </c>
      <c r="B2025" s="8">
        <v>67.819999694824219</v>
      </c>
    </row>
    <row r="2026" spans="1:2" x14ac:dyDescent="0.3">
      <c r="A2026" s="7" t="s">
        <v>2038</v>
      </c>
      <c r="B2026" s="8">
        <v>67.900001525878906</v>
      </c>
    </row>
    <row r="2027" spans="1:2" x14ac:dyDescent="0.3">
      <c r="A2027" s="7" t="s">
        <v>2039</v>
      </c>
      <c r="B2027" s="8">
        <v>68</v>
      </c>
    </row>
    <row r="2028" spans="1:2" x14ac:dyDescent="0.3">
      <c r="A2028" s="7" t="s">
        <v>2040</v>
      </c>
      <c r="B2028" s="8">
        <v>68.089996337890625</v>
      </c>
    </row>
    <row r="2029" spans="1:2" x14ac:dyDescent="0.3">
      <c r="A2029" s="7" t="s">
        <v>2041</v>
      </c>
      <c r="B2029" s="8">
        <v>68.180000305175781</v>
      </c>
    </row>
    <row r="2030" spans="1:2" x14ac:dyDescent="0.3">
      <c r="A2030" s="7" t="s">
        <v>2042</v>
      </c>
      <c r="B2030" s="8">
        <v>68.180000305175781</v>
      </c>
    </row>
    <row r="2031" spans="1:2" x14ac:dyDescent="0.3">
      <c r="A2031" s="7" t="s">
        <v>2043</v>
      </c>
      <c r="B2031" s="8">
        <v>68.180000305175781</v>
      </c>
    </row>
    <row r="2032" spans="1:2" x14ac:dyDescent="0.3">
      <c r="A2032" s="7" t="s">
        <v>2044</v>
      </c>
      <c r="B2032" s="8">
        <v>68.180000305175781</v>
      </c>
    </row>
    <row r="2033" spans="1:2" x14ac:dyDescent="0.3">
      <c r="A2033" s="7" t="s">
        <v>2045</v>
      </c>
      <c r="B2033" s="8">
        <v>68.269996643066406</v>
      </c>
    </row>
    <row r="2034" spans="1:2" x14ac:dyDescent="0.3">
      <c r="A2034" s="7" t="s">
        <v>2046</v>
      </c>
      <c r="B2034" s="8">
        <v>68.360000610351563</v>
      </c>
    </row>
    <row r="2035" spans="1:2" x14ac:dyDescent="0.3">
      <c r="A2035" s="7" t="s">
        <v>2047</v>
      </c>
      <c r="B2035" s="8">
        <v>68.449996948242188</v>
      </c>
    </row>
    <row r="2036" spans="1:2" x14ac:dyDescent="0.3">
      <c r="A2036" s="7" t="s">
        <v>2048</v>
      </c>
      <c r="B2036" s="8">
        <v>68.540000915527344</v>
      </c>
    </row>
    <row r="2037" spans="1:2" x14ac:dyDescent="0.3">
      <c r="A2037" s="7" t="s">
        <v>2049</v>
      </c>
      <c r="B2037" s="8">
        <v>68.540000915527344</v>
      </c>
    </row>
    <row r="2038" spans="1:2" x14ac:dyDescent="0.3">
      <c r="A2038" s="7" t="s">
        <v>2050</v>
      </c>
      <c r="B2038" s="8">
        <v>68.540000915527344</v>
      </c>
    </row>
    <row r="2039" spans="1:2" x14ac:dyDescent="0.3">
      <c r="A2039" s="7" t="s">
        <v>2051</v>
      </c>
      <c r="B2039" s="8">
        <v>68.629997253417969</v>
      </c>
    </row>
    <row r="2040" spans="1:2" x14ac:dyDescent="0.3">
      <c r="A2040" s="7" t="s">
        <v>2052</v>
      </c>
      <c r="B2040" s="8">
        <v>68.709999084472656</v>
      </c>
    </row>
    <row r="2041" spans="1:2" x14ac:dyDescent="0.3">
      <c r="A2041" s="7" t="s">
        <v>2053</v>
      </c>
      <c r="B2041" s="8">
        <v>68.80999755859375</v>
      </c>
    </row>
    <row r="2042" spans="1:2" x14ac:dyDescent="0.3">
      <c r="A2042" s="7" t="s">
        <v>2054</v>
      </c>
      <c r="B2042" s="8">
        <v>68.900001525878906</v>
      </c>
    </row>
    <row r="2043" spans="1:2" x14ac:dyDescent="0.3">
      <c r="A2043" s="7" t="s">
        <v>2055</v>
      </c>
      <c r="B2043" s="8">
        <v>68.989997863769531</v>
      </c>
    </row>
    <row r="2044" spans="1:2" x14ac:dyDescent="0.3">
      <c r="A2044" s="7" t="s">
        <v>2056</v>
      </c>
      <c r="B2044" s="8">
        <v>68.989997863769531</v>
      </c>
    </row>
    <row r="2045" spans="1:2" x14ac:dyDescent="0.3">
      <c r="A2045" s="7" t="s">
        <v>2057</v>
      </c>
      <c r="B2045" s="8">
        <v>68.989997863769531</v>
      </c>
    </row>
    <row r="2046" spans="1:2" x14ac:dyDescent="0.3">
      <c r="A2046" s="7" t="s">
        <v>2058</v>
      </c>
      <c r="B2046" s="8">
        <v>69.080001831054688</v>
      </c>
    </row>
    <row r="2047" spans="1:2" x14ac:dyDescent="0.3">
      <c r="A2047" s="7" t="s">
        <v>2059</v>
      </c>
      <c r="B2047" s="8">
        <v>69.169998168945313</v>
      </c>
    </row>
    <row r="2048" spans="1:2" x14ac:dyDescent="0.3">
      <c r="A2048" s="7" t="s">
        <v>2060</v>
      </c>
      <c r="B2048" s="8">
        <v>69.260002136230469</v>
      </c>
    </row>
    <row r="2049" spans="1:2" x14ac:dyDescent="0.3">
      <c r="A2049" s="7" t="s">
        <v>2061</v>
      </c>
      <c r="B2049" s="8">
        <v>69.30999755859375</v>
      </c>
    </row>
    <row r="2050" spans="1:2" x14ac:dyDescent="0.3">
      <c r="A2050" s="7" t="s">
        <v>2062</v>
      </c>
      <c r="B2050" s="8">
        <v>69.370002746582031</v>
      </c>
    </row>
    <row r="2051" spans="1:2" x14ac:dyDescent="0.3">
      <c r="A2051" s="7" t="s">
        <v>2063</v>
      </c>
      <c r="B2051" s="8">
        <v>69.370002746582031</v>
      </c>
    </row>
    <row r="2052" spans="1:2" x14ac:dyDescent="0.3">
      <c r="A2052" s="7" t="s">
        <v>2064</v>
      </c>
      <c r="B2052" s="8">
        <v>69.370002746582031</v>
      </c>
    </row>
    <row r="2053" spans="1:2" x14ac:dyDescent="0.3">
      <c r="A2053" s="7" t="s">
        <v>2065</v>
      </c>
      <c r="B2053" s="8">
        <v>69.370002746582031</v>
      </c>
    </row>
    <row r="2054" spans="1:2" x14ac:dyDescent="0.3">
      <c r="A2054" s="7" t="s">
        <v>2066</v>
      </c>
      <c r="B2054" s="8">
        <v>69.610000610351563</v>
      </c>
    </row>
    <row r="2055" spans="1:2" x14ac:dyDescent="0.3">
      <c r="A2055" s="7" t="s">
        <v>2067</v>
      </c>
      <c r="B2055" s="8">
        <v>69.669998168945313</v>
      </c>
    </row>
    <row r="2056" spans="1:2" x14ac:dyDescent="0.3">
      <c r="A2056" s="7" t="s">
        <v>2068</v>
      </c>
      <c r="B2056" s="8">
        <v>69.739997863769531</v>
      </c>
    </row>
    <row r="2057" spans="1:2" x14ac:dyDescent="0.3">
      <c r="A2057" s="7" t="s">
        <v>2069</v>
      </c>
      <c r="B2057" s="8">
        <v>69.800003051757813</v>
      </c>
    </row>
    <row r="2058" spans="1:2" x14ac:dyDescent="0.3">
      <c r="A2058" s="7" t="s">
        <v>2070</v>
      </c>
      <c r="B2058" s="8">
        <v>69.800003051757813</v>
      </c>
    </row>
    <row r="2059" spans="1:2" x14ac:dyDescent="0.3">
      <c r="A2059" s="7" t="s">
        <v>2071</v>
      </c>
      <c r="B2059" s="8">
        <v>69.800003051757813</v>
      </c>
    </row>
    <row r="2060" spans="1:2" x14ac:dyDescent="0.3">
      <c r="A2060" s="7" t="s">
        <v>2072</v>
      </c>
      <c r="B2060" s="8">
        <v>69.970001220703125</v>
      </c>
    </row>
    <row r="2061" spans="1:2" x14ac:dyDescent="0.3">
      <c r="A2061" s="7" t="s">
        <v>2073</v>
      </c>
      <c r="B2061" s="8">
        <v>70.029998779296875</v>
      </c>
    </row>
    <row r="2062" spans="1:2" x14ac:dyDescent="0.3">
      <c r="A2062" s="7" t="s">
        <v>2074</v>
      </c>
      <c r="B2062" s="8">
        <v>70.099998474121094</v>
      </c>
    </row>
    <row r="2063" spans="1:2" x14ac:dyDescent="0.3">
      <c r="A2063" s="7" t="s">
        <v>2075</v>
      </c>
      <c r="B2063" s="8">
        <v>70.160003662109375</v>
      </c>
    </row>
    <row r="2064" spans="1:2" x14ac:dyDescent="0.3">
      <c r="A2064" s="7" t="s">
        <v>2076</v>
      </c>
      <c r="B2064" s="8">
        <v>70.220001220703125</v>
      </c>
    </row>
    <row r="2065" spans="1:2" x14ac:dyDescent="0.3">
      <c r="A2065" s="7" t="s">
        <v>2077</v>
      </c>
      <c r="B2065" s="8">
        <v>70.220001220703125</v>
      </c>
    </row>
    <row r="2066" spans="1:2" x14ac:dyDescent="0.3">
      <c r="A2066" s="7" t="s">
        <v>2078</v>
      </c>
      <c r="B2066" s="8">
        <v>70.220001220703125</v>
      </c>
    </row>
    <row r="2067" spans="1:2" x14ac:dyDescent="0.3">
      <c r="A2067" s="7" t="s">
        <v>2079</v>
      </c>
      <c r="B2067" s="8">
        <v>70.400001525878906</v>
      </c>
    </row>
    <row r="2068" spans="1:2" x14ac:dyDescent="0.3">
      <c r="A2068" s="7" t="s">
        <v>2080</v>
      </c>
      <c r="B2068" s="8">
        <v>70.459999084472656</v>
      </c>
    </row>
    <row r="2069" spans="1:2" x14ac:dyDescent="0.3">
      <c r="A2069" s="7" t="s">
        <v>2081</v>
      </c>
      <c r="B2069" s="8">
        <v>70.519996643066406</v>
      </c>
    </row>
    <row r="2070" spans="1:2" x14ac:dyDescent="0.3">
      <c r="A2070" s="7" t="s">
        <v>2082</v>
      </c>
      <c r="B2070" s="8">
        <v>70.580001831054688</v>
      </c>
    </row>
    <row r="2071" spans="1:2" x14ac:dyDescent="0.3">
      <c r="A2071" s="7" t="s">
        <v>2083</v>
      </c>
      <c r="B2071" s="8">
        <v>70.639999389648438</v>
      </c>
    </row>
    <row r="2072" spans="1:2" x14ac:dyDescent="0.3">
      <c r="A2072" s="7" t="s">
        <v>2084</v>
      </c>
      <c r="B2072" s="8">
        <v>70.639999389648438</v>
      </c>
    </row>
    <row r="2073" spans="1:2" x14ac:dyDescent="0.3">
      <c r="A2073" s="7" t="s">
        <v>2085</v>
      </c>
      <c r="B2073" s="8">
        <v>70.639999389648438</v>
      </c>
    </row>
    <row r="2074" spans="1:2" x14ac:dyDescent="0.3">
      <c r="A2074" s="7" t="s">
        <v>2086</v>
      </c>
      <c r="B2074" s="8">
        <v>70.819999694824219</v>
      </c>
    </row>
    <row r="2075" spans="1:2" x14ac:dyDescent="0.3">
      <c r="A2075" s="7" t="s">
        <v>2087</v>
      </c>
      <c r="B2075" s="8">
        <v>70.870002746582031</v>
      </c>
    </row>
    <row r="2076" spans="1:2" x14ac:dyDescent="0.3">
      <c r="A2076" s="7" t="s">
        <v>2088</v>
      </c>
      <c r="B2076" s="8">
        <v>70.94000244140625</v>
      </c>
    </row>
    <row r="2077" spans="1:2" x14ac:dyDescent="0.3">
      <c r="A2077" s="7" t="s">
        <v>2089</v>
      </c>
      <c r="B2077" s="8">
        <v>70.94000244140625</v>
      </c>
    </row>
    <row r="2078" spans="1:2" x14ac:dyDescent="0.3">
      <c r="A2078" s="7" t="s">
        <v>2090</v>
      </c>
      <c r="B2078" s="8">
        <v>70.94000244140625</v>
      </c>
    </row>
    <row r="2079" spans="1:2" x14ac:dyDescent="0.3">
      <c r="A2079" s="7" t="s">
        <v>2091</v>
      </c>
      <c r="B2079" s="8">
        <v>70.94000244140625</v>
      </c>
    </row>
    <row r="2080" spans="1:2" x14ac:dyDescent="0.3">
      <c r="A2080" s="7" t="s">
        <v>2092</v>
      </c>
      <c r="B2080" s="8">
        <v>70.94000244140625</v>
      </c>
    </row>
    <row r="2081" spans="1:2" x14ac:dyDescent="0.3">
      <c r="A2081" s="7" t="s">
        <v>2093</v>
      </c>
      <c r="B2081" s="8">
        <v>71.239997863769531</v>
      </c>
    </row>
    <row r="2082" spans="1:2" x14ac:dyDescent="0.3">
      <c r="A2082" s="7" t="s">
        <v>2094</v>
      </c>
      <c r="B2082" s="8">
        <v>71.300003051757813</v>
      </c>
    </row>
    <row r="2083" spans="1:2" x14ac:dyDescent="0.3">
      <c r="A2083" s="7" t="s">
        <v>2095</v>
      </c>
      <c r="B2083" s="8">
        <v>71.360000610351563</v>
      </c>
    </row>
    <row r="2084" spans="1:2" x14ac:dyDescent="0.3">
      <c r="A2084" s="7" t="s">
        <v>2096</v>
      </c>
      <c r="B2084" s="8">
        <v>71.419998168945313</v>
      </c>
    </row>
    <row r="2085" spans="1:2" x14ac:dyDescent="0.3">
      <c r="A2085" s="7" t="s">
        <v>2097</v>
      </c>
      <c r="B2085" s="8">
        <v>71.480003356933594</v>
      </c>
    </row>
    <row r="2086" spans="1:2" x14ac:dyDescent="0.3">
      <c r="A2086" s="7" t="s">
        <v>2098</v>
      </c>
      <c r="B2086" s="8">
        <v>71.480003356933594</v>
      </c>
    </row>
    <row r="2087" spans="1:2" x14ac:dyDescent="0.3">
      <c r="A2087" s="7" t="s">
        <v>2099</v>
      </c>
      <c r="B2087" s="8">
        <v>71.480003356933594</v>
      </c>
    </row>
    <row r="2088" spans="1:2" x14ac:dyDescent="0.3">
      <c r="A2088" s="7" t="s">
        <v>2100</v>
      </c>
      <c r="B2088" s="8">
        <v>71.660003662109375</v>
      </c>
    </row>
    <row r="2089" spans="1:2" x14ac:dyDescent="0.3">
      <c r="A2089" s="7" t="s">
        <v>2101</v>
      </c>
      <c r="B2089" s="8">
        <v>71.720001220703125</v>
      </c>
    </row>
    <row r="2090" spans="1:2" x14ac:dyDescent="0.3">
      <c r="A2090" s="7" t="s">
        <v>2102</v>
      </c>
      <c r="B2090" s="8">
        <v>71.779998779296875</v>
      </c>
    </row>
    <row r="2091" spans="1:2" x14ac:dyDescent="0.3">
      <c r="A2091" s="7" t="s">
        <v>2103</v>
      </c>
      <c r="B2091" s="8">
        <v>71.839996337890625</v>
      </c>
    </row>
    <row r="2092" spans="1:2" x14ac:dyDescent="0.3">
      <c r="A2092" s="7" t="s">
        <v>2104</v>
      </c>
      <c r="B2092" s="8">
        <v>71.900001525878906</v>
      </c>
    </row>
    <row r="2093" spans="1:2" x14ac:dyDescent="0.3">
      <c r="A2093" s="7" t="s">
        <v>2105</v>
      </c>
      <c r="B2093" s="8">
        <v>71.900001525878906</v>
      </c>
    </row>
    <row r="2094" spans="1:2" x14ac:dyDescent="0.3">
      <c r="A2094" s="7" t="s">
        <v>2106</v>
      </c>
      <c r="B2094" s="8">
        <v>71.900001525878906</v>
      </c>
    </row>
    <row r="2095" spans="1:2" x14ac:dyDescent="0.3">
      <c r="A2095" s="7" t="s">
        <v>2107</v>
      </c>
      <c r="B2095" s="8">
        <v>72.080001831054688</v>
      </c>
    </row>
    <row r="2096" spans="1:2" x14ac:dyDescent="0.3">
      <c r="A2096" s="7" t="s">
        <v>2108</v>
      </c>
      <c r="B2096" s="8">
        <v>72.139999389648438</v>
      </c>
    </row>
    <row r="2097" spans="1:2" x14ac:dyDescent="0.3">
      <c r="A2097" s="7" t="s">
        <v>2109</v>
      </c>
      <c r="B2097" s="8">
        <v>72.199996948242188</v>
      </c>
    </row>
    <row r="2098" spans="1:2" x14ac:dyDescent="0.3">
      <c r="A2098" s="7" t="s">
        <v>2110</v>
      </c>
      <c r="B2098" s="8">
        <v>72.260002136230469</v>
      </c>
    </row>
    <row r="2099" spans="1:2" x14ac:dyDescent="0.3">
      <c r="A2099" s="7" t="s">
        <v>2111</v>
      </c>
      <c r="B2099" s="8">
        <v>72.319999694824219</v>
      </c>
    </row>
    <row r="2100" spans="1:2" x14ac:dyDescent="0.3">
      <c r="A2100" s="7" t="s">
        <v>2112</v>
      </c>
      <c r="B2100" s="8">
        <v>72.319999694824219</v>
      </c>
    </row>
    <row r="2101" spans="1:2" x14ac:dyDescent="0.3">
      <c r="A2101" s="7" t="s">
        <v>2113</v>
      </c>
      <c r="B2101" s="8">
        <v>72.319999694824219</v>
      </c>
    </row>
    <row r="2102" spans="1:2" x14ac:dyDescent="0.3">
      <c r="A2102" s="7" t="s">
        <v>2114</v>
      </c>
      <c r="B2102" s="8">
        <v>72.519996643066406</v>
      </c>
    </row>
    <row r="2103" spans="1:2" x14ac:dyDescent="0.3">
      <c r="A2103" s="7" t="s">
        <v>2115</v>
      </c>
      <c r="B2103" s="8">
        <v>72.569999694824219</v>
      </c>
    </row>
    <row r="2104" spans="1:2" x14ac:dyDescent="0.3">
      <c r="A2104" s="7" t="s">
        <v>2116</v>
      </c>
      <c r="B2104" s="8">
        <v>72.620002746582031</v>
      </c>
    </row>
    <row r="2105" spans="1:2" x14ac:dyDescent="0.3">
      <c r="A2105" s="7" t="s">
        <v>2117</v>
      </c>
      <c r="B2105" s="8">
        <v>72.699996948242188</v>
      </c>
    </row>
    <row r="2106" spans="1:2" x14ac:dyDescent="0.3">
      <c r="A2106" s="7" t="s">
        <v>2118</v>
      </c>
      <c r="B2106" s="8">
        <v>72.769996643066406</v>
      </c>
    </row>
    <row r="2107" spans="1:2" x14ac:dyDescent="0.3">
      <c r="A2107" s="7" t="s">
        <v>2119</v>
      </c>
      <c r="B2107" s="8">
        <v>72.769996643066406</v>
      </c>
    </row>
    <row r="2108" spans="1:2" x14ac:dyDescent="0.3">
      <c r="A2108" s="7" t="s">
        <v>2120</v>
      </c>
      <c r="B2108" s="8">
        <v>72.769996643066406</v>
      </c>
    </row>
    <row r="2109" spans="1:2" x14ac:dyDescent="0.3">
      <c r="A2109" s="7" t="s">
        <v>2121</v>
      </c>
      <c r="B2109" s="8">
        <v>72.949996948242188</v>
      </c>
    </row>
    <row r="2110" spans="1:2" x14ac:dyDescent="0.3">
      <c r="A2110" s="7" t="s">
        <v>2122</v>
      </c>
      <c r="B2110" s="8">
        <v>73</v>
      </c>
    </row>
    <row r="2111" spans="1:2" x14ac:dyDescent="0.3">
      <c r="A2111" s="7" t="s">
        <v>2123</v>
      </c>
      <c r="B2111" s="8">
        <v>73.050003051757813</v>
      </c>
    </row>
    <row r="2112" spans="1:2" x14ac:dyDescent="0.3">
      <c r="A2112" s="7" t="s">
        <v>2124</v>
      </c>
      <c r="B2112" s="8">
        <v>73.110000610351563</v>
      </c>
    </row>
    <row r="2113" spans="1:2" x14ac:dyDescent="0.3">
      <c r="A2113" s="7" t="s">
        <v>2125</v>
      </c>
      <c r="B2113" s="8">
        <v>73.160003662109375</v>
      </c>
    </row>
    <row r="2114" spans="1:2" x14ac:dyDescent="0.3">
      <c r="A2114" s="7" t="s">
        <v>2126</v>
      </c>
      <c r="B2114" s="8">
        <v>73.160003662109375</v>
      </c>
    </row>
    <row r="2115" spans="1:2" x14ac:dyDescent="0.3">
      <c r="A2115" s="7" t="s">
        <v>2127</v>
      </c>
      <c r="B2115" s="8">
        <v>73.160003662109375</v>
      </c>
    </row>
    <row r="2116" spans="1:2" x14ac:dyDescent="0.3">
      <c r="A2116" s="7" t="s">
        <v>2128</v>
      </c>
      <c r="B2116" s="8">
        <v>73.160003662109375</v>
      </c>
    </row>
    <row r="2117" spans="1:2" x14ac:dyDescent="0.3">
      <c r="A2117" s="7" t="s">
        <v>2129</v>
      </c>
      <c r="B2117" s="8">
        <v>73.400001525878906</v>
      </c>
    </row>
    <row r="2118" spans="1:2" x14ac:dyDescent="0.3">
      <c r="A2118" s="7" t="s">
        <v>2130</v>
      </c>
      <c r="B2118" s="8">
        <v>73.480003356933594</v>
      </c>
    </row>
    <row r="2119" spans="1:2" x14ac:dyDescent="0.3">
      <c r="A2119" s="7" t="s">
        <v>2131</v>
      </c>
      <c r="B2119" s="8">
        <v>73.529998779296875</v>
      </c>
    </row>
    <row r="2120" spans="1:2" x14ac:dyDescent="0.3">
      <c r="A2120" s="7" t="s">
        <v>2132</v>
      </c>
      <c r="B2120" s="8">
        <v>73.580001831054688</v>
      </c>
    </row>
    <row r="2121" spans="1:2" x14ac:dyDescent="0.3">
      <c r="A2121" s="7" t="s">
        <v>2133</v>
      </c>
      <c r="B2121" s="8">
        <v>73.580001831054688</v>
      </c>
    </row>
    <row r="2122" spans="1:2" x14ac:dyDescent="0.3">
      <c r="A2122" s="7" t="s">
        <v>2134</v>
      </c>
      <c r="B2122" s="8">
        <v>73.580001831054688</v>
      </c>
    </row>
    <row r="2123" spans="1:2" x14ac:dyDescent="0.3">
      <c r="A2123" s="7" t="s">
        <v>2135</v>
      </c>
      <c r="B2123" s="8">
        <v>73.730003356933594</v>
      </c>
    </row>
    <row r="2124" spans="1:2" x14ac:dyDescent="0.3">
      <c r="A2124" s="7" t="s">
        <v>2136</v>
      </c>
      <c r="B2124" s="8">
        <v>73.80999755859375</v>
      </c>
    </row>
    <row r="2125" spans="1:2" x14ac:dyDescent="0.3">
      <c r="A2125" s="7" t="s">
        <v>2137</v>
      </c>
      <c r="B2125" s="8">
        <v>73.860000610351563</v>
      </c>
    </row>
    <row r="2126" spans="1:2" x14ac:dyDescent="0.3">
      <c r="A2126" s="7" t="s">
        <v>2138</v>
      </c>
      <c r="B2126" s="8">
        <v>73.94000244140625</v>
      </c>
    </row>
    <row r="2127" spans="1:2" x14ac:dyDescent="0.3">
      <c r="A2127" s="7" t="s">
        <v>2139</v>
      </c>
      <c r="B2127" s="8">
        <v>74</v>
      </c>
    </row>
    <row r="2128" spans="1:2" x14ac:dyDescent="0.3">
      <c r="A2128" s="7" t="s">
        <v>2140</v>
      </c>
      <c r="B2128" s="8">
        <v>74</v>
      </c>
    </row>
    <row r="2129" spans="1:2" x14ac:dyDescent="0.3">
      <c r="A2129" s="7" t="s">
        <v>2141</v>
      </c>
      <c r="B2129" s="8">
        <v>74</v>
      </c>
    </row>
    <row r="2130" spans="1:2" x14ac:dyDescent="0.3">
      <c r="A2130" s="7" t="s">
        <v>2142</v>
      </c>
      <c r="B2130" s="8">
        <v>74.180000305175781</v>
      </c>
    </row>
    <row r="2131" spans="1:2" x14ac:dyDescent="0.3">
      <c r="A2131" s="7" t="s">
        <v>2143</v>
      </c>
      <c r="B2131" s="8">
        <v>74.25</v>
      </c>
    </row>
    <row r="2132" spans="1:2" x14ac:dyDescent="0.3">
      <c r="A2132" s="7" t="s">
        <v>2144</v>
      </c>
      <c r="B2132" s="8">
        <v>74.319999694824219</v>
      </c>
    </row>
    <row r="2133" spans="1:2" x14ac:dyDescent="0.3">
      <c r="A2133" s="7" t="s">
        <v>2145</v>
      </c>
      <c r="B2133" s="8">
        <v>74.379997253417969</v>
      </c>
    </row>
    <row r="2134" spans="1:2" x14ac:dyDescent="0.3">
      <c r="A2134" s="7" t="s">
        <v>2146</v>
      </c>
      <c r="B2134" s="8">
        <v>74.44000244140625</v>
      </c>
    </row>
    <row r="2135" spans="1:2" x14ac:dyDescent="0.3">
      <c r="A2135" s="7" t="s">
        <v>2147</v>
      </c>
      <c r="B2135" s="8">
        <v>74.44000244140625</v>
      </c>
    </row>
    <row r="2136" spans="1:2" x14ac:dyDescent="0.3">
      <c r="A2136" s="7" t="s">
        <v>2148</v>
      </c>
      <c r="B2136" s="8">
        <v>74.44000244140625</v>
      </c>
    </row>
    <row r="2137" spans="1:2" x14ac:dyDescent="0.3">
      <c r="A2137" s="7" t="s">
        <v>2149</v>
      </c>
      <c r="B2137" s="8">
        <v>74.44000244140625</v>
      </c>
    </row>
    <row r="2138" spans="1:2" x14ac:dyDescent="0.3">
      <c r="A2138" s="7" t="s">
        <v>2150</v>
      </c>
      <c r="B2138" s="8">
        <v>74.709999084472656</v>
      </c>
    </row>
    <row r="2139" spans="1:2" x14ac:dyDescent="0.3">
      <c r="A2139" s="7" t="s">
        <v>2151</v>
      </c>
      <c r="B2139" s="8">
        <v>74.769996643066406</v>
      </c>
    </row>
    <row r="2140" spans="1:2" x14ac:dyDescent="0.3">
      <c r="A2140" s="7" t="s">
        <v>2152</v>
      </c>
      <c r="B2140" s="8">
        <v>74.839996337890625</v>
      </c>
    </row>
    <row r="2141" spans="1:2" x14ac:dyDescent="0.3">
      <c r="A2141" s="7" t="s">
        <v>2153</v>
      </c>
      <c r="B2141" s="8">
        <v>74.910003662109375</v>
      </c>
    </row>
    <row r="2142" spans="1:2" x14ac:dyDescent="0.3">
      <c r="A2142" s="7" t="s">
        <v>2154</v>
      </c>
      <c r="B2142" s="8">
        <v>74.910003662109375</v>
      </c>
    </row>
    <row r="2143" spans="1:2" x14ac:dyDescent="0.3">
      <c r="A2143" s="7" t="s">
        <v>2155</v>
      </c>
      <c r="B2143" s="8">
        <v>74.910003662109375</v>
      </c>
    </row>
    <row r="2144" spans="1:2" x14ac:dyDescent="0.3">
      <c r="A2144" s="7" t="s">
        <v>2156</v>
      </c>
      <c r="B2144" s="8">
        <v>75.120002746582031</v>
      </c>
    </row>
    <row r="2145" spans="1:2" x14ac:dyDescent="0.3">
      <c r="A2145" s="7" t="s">
        <v>2157</v>
      </c>
      <c r="B2145" s="8">
        <v>75.19000244140625</v>
      </c>
    </row>
    <row r="2146" spans="1:2" x14ac:dyDescent="0.3">
      <c r="A2146" s="7" t="s">
        <v>2158</v>
      </c>
      <c r="B2146" s="8">
        <v>75.25</v>
      </c>
    </row>
    <row r="2147" spans="1:2" x14ac:dyDescent="0.3">
      <c r="A2147" s="7" t="s">
        <v>2159</v>
      </c>
      <c r="B2147" s="8">
        <v>75.319999694824219</v>
      </c>
    </row>
    <row r="2148" spans="1:2" x14ac:dyDescent="0.3">
      <c r="A2148" s="7" t="s">
        <v>2160</v>
      </c>
      <c r="B2148" s="8">
        <v>75.379997253417969</v>
      </c>
    </row>
    <row r="2149" spans="1:2" x14ac:dyDescent="0.3">
      <c r="A2149" s="7" t="s">
        <v>2161</v>
      </c>
      <c r="B2149" s="8">
        <v>75.379997253417969</v>
      </c>
    </row>
    <row r="2150" spans="1:2" x14ac:dyDescent="0.3">
      <c r="A2150" s="7" t="s">
        <v>2162</v>
      </c>
      <c r="B2150" s="8">
        <v>75.379997253417969</v>
      </c>
    </row>
    <row r="2151" spans="1:2" x14ac:dyDescent="0.3">
      <c r="A2151" s="7" t="s">
        <v>2163</v>
      </c>
      <c r="B2151" s="8">
        <v>75.589996337890625</v>
      </c>
    </row>
    <row r="2152" spans="1:2" x14ac:dyDescent="0.3">
      <c r="A2152" s="7" t="s">
        <v>2164</v>
      </c>
      <c r="B2152" s="8">
        <v>75.650001525878906</v>
      </c>
    </row>
    <row r="2153" spans="1:2" x14ac:dyDescent="0.3">
      <c r="A2153" s="7" t="s">
        <v>2165</v>
      </c>
      <c r="B2153" s="8">
        <v>75.720001220703125</v>
      </c>
    </row>
    <row r="2154" spans="1:2" x14ac:dyDescent="0.3">
      <c r="A2154" s="7" t="s">
        <v>2166</v>
      </c>
      <c r="B2154" s="8">
        <v>75.779998779296875</v>
      </c>
    </row>
    <row r="2155" spans="1:2" x14ac:dyDescent="0.3">
      <c r="A2155" s="7" t="s">
        <v>2167</v>
      </c>
      <c r="B2155" s="8">
        <v>75.849998474121094</v>
      </c>
    </row>
    <row r="2156" spans="1:2" x14ac:dyDescent="0.3">
      <c r="A2156" s="7" t="s">
        <v>2168</v>
      </c>
      <c r="B2156" s="8">
        <v>75.849998474121094</v>
      </c>
    </row>
    <row r="2157" spans="1:2" x14ac:dyDescent="0.3">
      <c r="A2157" s="7" t="s">
        <v>2169</v>
      </c>
      <c r="B2157" s="8">
        <v>75.849998474121094</v>
      </c>
    </row>
    <row r="2158" spans="1:2" x14ac:dyDescent="0.3">
      <c r="A2158" s="7" t="s">
        <v>2170</v>
      </c>
      <c r="B2158" s="8">
        <v>76.05999755859375</v>
      </c>
    </row>
    <row r="2159" spans="1:2" x14ac:dyDescent="0.3">
      <c r="A2159" s="7" t="s">
        <v>2171</v>
      </c>
      <c r="B2159" s="8">
        <v>76.120002746582031</v>
      </c>
    </row>
    <row r="2160" spans="1:2" x14ac:dyDescent="0.3">
      <c r="A2160" s="7" t="s">
        <v>2172</v>
      </c>
      <c r="B2160" s="8">
        <v>76.180000305175781</v>
      </c>
    </row>
    <row r="2161" spans="1:2" x14ac:dyDescent="0.3">
      <c r="A2161" s="7" t="s">
        <v>2173</v>
      </c>
      <c r="B2161" s="8">
        <v>76.25</v>
      </c>
    </row>
    <row r="2162" spans="1:2" x14ac:dyDescent="0.3">
      <c r="A2162" s="7" t="s">
        <v>2174</v>
      </c>
      <c r="B2162" s="8">
        <v>76.949996948242188</v>
      </c>
    </row>
    <row r="2163" spans="1:2" x14ac:dyDescent="0.3">
      <c r="A2163" s="7" t="s">
        <v>2175</v>
      </c>
      <c r="B2163" s="8">
        <v>76.949996948242188</v>
      </c>
    </row>
    <row r="2164" spans="1:2" x14ac:dyDescent="0.3">
      <c r="A2164" s="7" t="s">
        <v>2176</v>
      </c>
      <c r="B2164" s="8">
        <v>76.949996948242188</v>
      </c>
    </row>
    <row r="2165" spans="1:2" x14ac:dyDescent="0.3">
      <c r="A2165" s="7" t="s">
        <v>2177</v>
      </c>
      <c r="B2165" s="8">
        <v>77.010002136230469</v>
      </c>
    </row>
    <row r="2166" spans="1:2" x14ac:dyDescent="0.3">
      <c r="A2166" s="7" t="s">
        <v>2178</v>
      </c>
      <c r="B2166" s="8">
        <v>77.080001831054688</v>
      </c>
    </row>
    <row r="2167" spans="1:2" x14ac:dyDescent="0.3">
      <c r="A2167" s="7" t="s">
        <v>2179</v>
      </c>
      <c r="B2167" s="8">
        <v>77.110000610351563</v>
      </c>
    </row>
    <row r="2168" spans="1:2" x14ac:dyDescent="0.3">
      <c r="A2168" s="7" t="s">
        <v>2180</v>
      </c>
      <c r="B2168" s="8">
        <v>77.110000610351563</v>
      </c>
    </row>
    <row r="2169" spans="1:2" x14ac:dyDescent="0.3">
      <c r="A2169" s="7" t="s">
        <v>2181</v>
      </c>
      <c r="B2169" s="8">
        <v>77.150001525878906</v>
      </c>
    </row>
    <row r="2170" spans="1:2" x14ac:dyDescent="0.3">
      <c r="A2170" s="7" t="s">
        <v>2182</v>
      </c>
      <c r="B2170" s="8">
        <v>77.150001525878906</v>
      </c>
    </row>
    <row r="2171" spans="1:2" x14ac:dyDescent="0.3">
      <c r="A2171" s="7" t="s">
        <v>2183</v>
      </c>
      <c r="B2171" s="8">
        <v>77.150001525878906</v>
      </c>
    </row>
    <row r="2172" spans="1:2" x14ac:dyDescent="0.3">
      <c r="A2172" s="7" t="s">
        <v>2184</v>
      </c>
      <c r="B2172" s="8">
        <v>77.150001525878906</v>
      </c>
    </row>
    <row r="2173" spans="1:2" x14ac:dyDescent="0.3">
      <c r="A2173" s="7" t="s">
        <v>2185</v>
      </c>
      <c r="B2173" s="8">
        <v>77.400001525878906</v>
      </c>
    </row>
    <row r="2174" spans="1:2" x14ac:dyDescent="0.3">
      <c r="A2174" s="7" t="s">
        <v>2186</v>
      </c>
      <c r="B2174" s="8">
        <v>77.480003356933594</v>
      </c>
    </row>
    <row r="2175" spans="1:2" x14ac:dyDescent="0.3">
      <c r="A2175" s="7" t="s">
        <v>2187</v>
      </c>
      <c r="B2175" s="8">
        <v>77.470001220703125</v>
      </c>
    </row>
    <row r="2176" spans="1:2" x14ac:dyDescent="0.3">
      <c r="A2176" s="7" t="s">
        <v>2188</v>
      </c>
      <c r="B2176" s="8">
        <v>77.519996643066406</v>
      </c>
    </row>
    <row r="2177" spans="1:2" x14ac:dyDescent="0.3">
      <c r="A2177" s="7" t="s">
        <v>2189</v>
      </c>
      <c r="B2177" s="8">
        <v>77.519996643066406</v>
      </c>
    </row>
    <row r="2178" spans="1:2" x14ac:dyDescent="0.3">
      <c r="A2178" s="7" t="s">
        <v>2190</v>
      </c>
      <c r="B2178" s="8">
        <v>77.519996643066406</v>
      </c>
    </row>
    <row r="2179" spans="1:2" x14ac:dyDescent="0.3">
      <c r="A2179" s="7" t="s">
        <v>2191</v>
      </c>
      <c r="B2179" s="8">
        <v>77.580001831054688</v>
      </c>
    </row>
    <row r="2180" spans="1:2" x14ac:dyDescent="0.3">
      <c r="A2180" s="7" t="s">
        <v>2192</v>
      </c>
      <c r="B2180" s="8">
        <v>77.680000305175781</v>
      </c>
    </row>
    <row r="2181" spans="1:2" x14ac:dyDescent="0.3">
      <c r="A2181" s="7" t="s">
        <v>2193</v>
      </c>
      <c r="B2181" s="8">
        <v>77.75</v>
      </c>
    </row>
    <row r="2182" spans="1:2" x14ac:dyDescent="0.3">
      <c r="A2182" s="7" t="s">
        <v>2194</v>
      </c>
      <c r="B2182" s="8">
        <v>78.080001831054688</v>
      </c>
    </row>
    <row r="2183" spans="1:2" x14ac:dyDescent="0.3">
      <c r="A2183" s="7" t="s">
        <v>2195</v>
      </c>
      <c r="B2183" s="8">
        <v>78.129997253417969</v>
      </c>
    </row>
    <row r="2184" spans="1:2" x14ac:dyDescent="0.3">
      <c r="A2184" s="7" t="s">
        <v>2196</v>
      </c>
      <c r="B2184" s="8">
        <v>78.129997253417969</v>
      </c>
    </row>
    <row r="2185" spans="1:2" x14ac:dyDescent="0.3">
      <c r="A2185" s="7" t="s">
        <v>2197</v>
      </c>
      <c r="B2185" s="8">
        <v>78.129997253417969</v>
      </c>
    </row>
    <row r="2186" spans="1:2" x14ac:dyDescent="0.3">
      <c r="A2186" s="7" t="s">
        <v>2198</v>
      </c>
      <c r="B2186" s="8">
        <v>78.260002136230469</v>
      </c>
    </row>
    <row r="2187" spans="1:2" x14ac:dyDescent="0.3">
      <c r="A2187" s="7" t="s">
        <v>2199</v>
      </c>
      <c r="B2187" s="8">
        <v>78.300003051757813</v>
      </c>
    </row>
    <row r="2188" spans="1:2" x14ac:dyDescent="0.3">
      <c r="A2188" s="7" t="s">
        <v>2200</v>
      </c>
      <c r="B2188" s="8">
        <v>78.30999755859375</v>
      </c>
    </row>
    <row r="2189" spans="1:2" x14ac:dyDescent="0.3">
      <c r="A2189" s="7" t="s">
        <v>2201</v>
      </c>
      <c r="B2189" s="8">
        <v>78.300003051757813</v>
      </c>
    </row>
    <row r="2190" spans="1:2" x14ac:dyDescent="0.3">
      <c r="A2190" s="7" t="s">
        <v>2202</v>
      </c>
      <c r="B2190" s="8">
        <v>78.319999694824219</v>
      </c>
    </row>
    <row r="2191" spans="1:2" x14ac:dyDescent="0.3">
      <c r="A2191" s="7" t="s">
        <v>2203</v>
      </c>
      <c r="B2191" s="8">
        <v>78.319999694824219</v>
      </c>
    </row>
    <row r="2192" spans="1:2" x14ac:dyDescent="0.3">
      <c r="A2192" s="7" t="s">
        <v>2204</v>
      </c>
      <c r="B2192" s="8">
        <v>78.319999694824219</v>
      </c>
    </row>
    <row r="2193" spans="1:2" x14ac:dyDescent="0.3">
      <c r="A2193" s="7" t="s">
        <v>2205</v>
      </c>
      <c r="B2193" s="8">
        <v>78.69000244140625</v>
      </c>
    </row>
    <row r="2194" spans="1:2" x14ac:dyDescent="0.3">
      <c r="A2194" s="7" t="s">
        <v>2206</v>
      </c>
      <c r="B2194" s="8">
        <v>78.930000305175781</v>
      </c>
    </row>
    <row r="2195" spans="1:2" x14ac:dyDescent="0.3">
      <c r="A2195" s="7" t="s">
        <v>2207</v>
      </c>
      <c r="B2195" s="8">
        <v>79.029998779296875</v>
      </c>
    </row>
    <row r="2196" spans="1:2" x14ac:dyDescent="0.3">
      <c r="A2196" s="7" t="s">
        <v>2208</v>
      </c>
      <c r="B2196" s="8">
        <v>79.099998474121094</v>
      </c>
    </row>
    <row r="2197" spans="1:2" x14ac:dyDescent="0.3">
      <c r="A2197" s="7" t="s">
        <v>2209</v>
      </c>
      <c r="B2197" s="8">
        <v>79.099998474121094</v>
      </c>
    </row>
    <row r="2198" spans="1:2" x14ac:dyDescent="0.3">
      <c r="A2198" s="7" t="s">
        <v>2210</v>
      </c>
      <c r="B2198" s="8">
        <v>79.099998474121094</v>
      </c>
    </row>
    <row r="2199" spans="1:2" x14ac:dyDescent="0.3">
      <c r="A2199" s="7" t="s">
        <v>2211</v>
      </c>
      <c r="B2199" s="8">
        <v>79.099998474121094</v>
      </c>
    </row>
    <row r="2200" spans="1:2" x14ac:dyDescent="0.3">
      <c r="A2200" s="7" t="s">
        <v>2212</v>
      </c>
      <c r="B2200" s="8">
        <v>79.349998474121094</v>
      </c>
    </row>
    <row r="2201" spans="1:2" x14ac:dyDescent="0.3">
      <c r="A2201" s="7" t="s">
        <v>2213</v>
      </c>
      <c r="B2201" s="8">
        <v>79.430000305175781</v>
      </c>
    </row>
    <row r="2202" spans="1:2" x14ac:dyDescent="0.3">
      <c r="A2202" s="7" t="s">
        <v>2214</v>
      </c>
      <c r="B2202" s="8">
        <v>79.430000305175781</v>
      </c>
    </row>
    <row r="2203" spans="1:2" x14ac:dyDescent="0.3">
      <c r="A2203" s="7" t="s">
        <v>2215</v>
      </c>
      <c r="B2203" s="8">
        <v>79.55999755859375</v>
      </c>
    </row>
    <row r="2204" spans="1:2" x14ac:dyDescent="0.3">
      <c r="A2204" s="7" t="s">
        <v>2216</v>
      </c>
      <c r="B2204" s="8">
        <v>79.75</v>
      </c>
    </row>
    <row r="2205" spans="1:2" x14ac:dyDescent="0.3">
      <c r="A2205" s="7" t="s">
        <v>2217</v>
      </c>
      <c r="B2205" s="8">
        <v>79.75</v>
      </c>
    </row>
    <row r="2206" spans="1:2" x14ac:dyDescent="0.3">
      <c r="A2206" s="7" t="s">
        <v>2218</v>
      </c>
      <c r="B2206" s="8">
        <v>79.75</v>
      </c>
    </row>
    <row r="2207" spans="1:2" x14ac:dyDescent="0.3">
      <c r="A2207" s="7" t="s">
        <v>2219</v>
      </c>
      <c r="B2207" s="8">
        <v>79.970001220703125</v>
      </c>
    </row>
    <row r="2208" spans="1:2" x14ac:dyDescent="0.3">
      <c r="A2208" s="7" t="s">
        <v>2220</v>
      </c>
      <c r="B2208" s="8">
        <v>80.040000915527344</v>
      </c>
    </row>
    <row r="2209" spans="1:2" x14ac:dyDescent="0.3">
      <c r="A2209" s="7" t="s">
        <v>2221</v>
      </c>
      <c r="B2209" s="8">
        <v>80.150001525878906</v>
      </c>
    </row>
    <row r="2210" spans="1:2" x14ac:dyDescent="0.3">
      <c r="A2210" s="7" t="s">
        <v>2222</v>
      </c>
      <c r="B2210" s="8">
        <v>80.279998779296875</v>
      </c>
    </row>
    <row r="2211" spans="1:2" x14ac:dyDescent="0.3">
      <c r="A2211" s="7" t="s">
        <v>2223</v>
      </c>
      <c r="B2211" s="8">
        <v>80.349998474121094</v>
      </c>
    </row>
    <row r="2212" spans="1:2" x14ac:dyDescent="0.3">
      <c r="A2212" s="7" t="s">
        <v>2224</v>
      </c>
      <c r="B2212" s="8">
        <v>80.349998474121094</v>
      </c>
    </row>
    <row r="2213" spans="1:2" x14ac:dyDescent="0.3">
      <c r="A2213" s="7" t="s">
        <v>2225</v>
      </c>
      <c r="B2213" s="8">
        <v>80.349998474121094</v>
      </c>
    </row>
    <row r="2214" spans="1:2" x14ac:dyDescent="0.3">
      <c r="A2214" s="7" t="s">
        <v>2226</v>
      </c>
      <c r="B2214" s="8">
        <v>80.349998474121094</v>
      </c>
    </row>
    <row r="2215" spans="1:2" x14ac:dyDescent="0.3">
      <c r="A2215" s="7" t="s">
        <v>2227</v>
      </c>
      <c r="B2215" s="8">
        <v>80.699996948242188</v>
      </c>
    </row>
    <row r="2216" spans="1:2" x14ac:dyDescent="0.3">
      <c r="A2216" s="7" t="s">
        <v>2228</v>
      </c>
      <c r="B2216" s="8">
        <v>80.790000915527344</v>
      </c>
    </row>
    <row r="2217" spans="1:2" x14ac:dyDescent="0.3">
      <c r="A2217" s="7" t="s">
        <v>2229</v>
      </c>
      <c r="B2217" s="8">
        <v>80.790000915527344</v>
      </c>
    </row>
    <row r="2218" spans="1:2" x14ac:dyDescent="0.3">
      <c r="A2218" s="7" t="s">
        <v>2230</v>
      </c>
      <c r="B2218" s="8">
        <v>81.069999694824219</v>
      </c>
    </row>
    <row r="2219" spans="1:2" x14ac:dyDescent="0.3">
      <c r="A2219" s="7" t="s">
        <v>2231</v>
      </c>
      <c r="B2219" s="8">
        <v>81.069999694824219</v>
      </c>
    </row>
    <row r="2220" spans="1:2" x14ac:dyDescent="0.3">
      <c r="A2220" s="7" t="s">
        <v>2232</v>
      </c>
      <c r="B2220" s="8">
        <v>81.069999694824219</v>
      </c>
    </row>
    <row r="2221" spans="1:2" x14ac:dyDescent="0.3">
      <c r="A2221" s="7" t="s">
        <v>2233</v>
      </c>
      <c r="B2221" s="8">
        <v>81.30999755859375</v>
      </c>
    </row>
    <row r="2222" spans="1:2" x14ac:dyDescent="0.3">
      <c r="A2222" s="7" t="s">
        <v>2234</v>
      </c>
      <c r="B2222" s="8">
        <v>81.430000305175781</v>
      </c>
    </row>
    <row r="2223" spans="1:2" x14ac:dyDescent="0.3">
      <c r="A2223" s="7" t="s">
        <v>2235</v>
      </c>
      <c r="B2223" s="8">
        <v>81.489997863769531</v>
      </c>
    </row>
    <row r="2224" spans="1:2" x14ac:dyDescent="0.3">
      <c r="A2224" s="7" t="s">
        <v>2236</v>
      </c>
      <c r="B2224" s="8">
        <v>81.55999755859375</v>
      </c>
    </row>
    <row r="2225" spans="1:2" x14ac:dyDescent="0.3">
      <c r="A2225" s="7" t="s">
        <v>2237</v>
      </c>
      <c r="B2225" s="8">
        <v>81.650001525878906</v>
      </c>
    </row>
    <row r="2226" spans="1:2" x14ac:dyDescent="0.3">
      <c r="A2226" s="7" t="s">
        <v>2238</v>
      </c>
      <c r="B2226" s="8">
        <v>81.650001525878906</v>
      </c>
    </row>
    <row r="2227" spans="1:2" x14ac:dyDescent="0.3">
      <c r="A2227" s="7" t="s">
        <v>2239</v>
      </c>
      <c r="B2227" s="8">
        <v>81.650001525878906</v>
      </c>
    </row>
    <row r="2228" spans="1:2" x14ac:dyDescent="0.3">
      <c r="A2228" s="7" t="s">
        <v>2240</v>
      </c>
      <c r="B2228" s="8">
        <v>81.650001525878906</v>
      </c>
    </row>
    <row r="2229" spans="1:2" x14ac:dyDescent="0.3">
      <c r="A2229" s="7" t="s">
        <v>2241</v>
      </c>
      <c r="B2229" s="8">
        <v>81.650001525878906</v>
      </c>
    </row>
    <row r="2230" spans="1:2" x14ac:dyDescent="0.3">
      <c r="A2230" s="7" t="s">
        <v>2242</v>
      </c>
      <c r="B2230" s="8">
        <v>82.040000915527344</v>
      </c>
    </row>
    <row r="2231" spans="1:2" x14ac:dyDescent="0.3">
      <c r="A2231" s="7" t="s">
        <v>2243</v>
      </c>
      <c r="B2231" s="8">
        <v>82.129997253417969</v>
      </c>
    </row>
    <row r="2232" spans="1:2" x14ac:dyDescent="0.3">
      <c r="A2232" s="7" t="s">
        <v>2244</v>
      </c>
      <c r="B2232" s="8">
        <v>82.209999084472656</v>
      </c>
    </row>
    <row r="2233" spans="1:2" x14ac:dyDescent="0.3">
      <c r="A2233" s="7" t="s">
        <v>2245</v>
      </c>
      <c r="B2233" s="8">
        <v>82.209999084472656</v>
      </c>
    </row>
    <row r="2234" spans="1:2" x14ac:dyDescent="0.3">
      <c r="A2234" s="7" t="s">
        <v>2246</v>
      </c>
      <c r="B2234" s="8">
        <v>82.209999084472656</v>
      </c>
    </row>
    <row r="2235" spans="1:2" x14ac:dyDescent="0.3">
      <c r="A2235" s="7" t="s">
        <v>2247</v>
      </c>
      <c r="B2235" s="8">
        <v>82.449996948242188</v>
      </c>
    </row>
    <row r="2236" spans="1:2" x14ac:dyDescent="0.3">
      <c r="A2236" s="7" t="s">
        <v>2248</v>
      </c>
      <c r="B2236" s="8">
        <v>82.529998779296875</v>
      </c>
    </row>
    <row r="2237" spans="1:2" x14ac:dyDescent="0.3">
      <c r="A2237" s="7" t="s">
        <v>2249</v>
      </c>
      <c r="B2237" s="8">
        <v>82.620002746582031</v>
      </c>
    </row>
    <row r="2238" spans="1:2" x14ac:dyDescent="0.3">
      <c r="A2238" s="7" t="s">
        <v>2250</v>
      </c>
      <c r="B2238" s="8">
        <v>82.709999084472656</v>
      </c>
    </row>
    <row r="2239" spans="1:2" x14ac:dyDescent="0.3">
      <c r="A2239" s="7" t="s">
        <v>2251</v>
      </c>
      <c r="B2239" s="8">
        <v>82.839996337890625</v>
      </c>
    </row>
    <row r="2240" spans="1:2" x14ac:dyDescent="0.3">
      <c r="A2240" s="7" t="s">
        <v>2252</v>
      </c>
      <c r="B2240" s="8">
        <v>82.839996337890625</v>
      </c>
    </row>
    <row r="2241" spans="1:2" x14ac:dyDescent="0.3">
      <c r="A2241" s="7" t="s">
        <v>2253</v>
      </c>
      <c r="B2241" s="8">
        <v>82.839996337890625</v>
      </c>
    </row>
    <row r="2242" spans="1:2" x14ac:dyDescent="0.3">
      <c r="A2242" s="7" t="s">
        <v>2254</v>
      </c>
      <c r="B2242" s="8">
        <v>83.150001525878906</v>
      </c>
    </row>
    <row r="2243" spans="1:2" x14ac:dyDescent="0.3">
      <c r="A2243" s="7" t="s">
        <v>2255</v>
      </c>
      <c r="B2243" s="8">
        <v>83.25</v>
      </c>
    </row>
    <row r="2244" spans="1:2" x14ac:dyDescent="0.3">
      <c r="A2244" s="7" t="s">
        <v>2256</v>
      </c>
      <c r="B2244" s="8">
        <v>83.360000610351563</v>
      </c>
    </row>
    <row r="2245" spans="1:2" x14ac:dyDescent="0.3">
      <c r="A2245" s="7" t="s">
        <v>2257</v>
      </c>
      <c r="B2245" s="8">
        <v>83.360000610351563</v>
      </c>
    </row>
    <row r="2246" spans="1:2" x14ac:dyDescent="0.3">
      <c r="A2246" s="7" t="s">
        <v>2258</v>
      </c>
      <c r="B2246" s="8">
        <v>83.360000610351563</v>
      </c>
    </row>
    <row r="2247" spans="1:2" x14ac:dyDescent="0.3">
      <c r="A2247" s="7" t="s">
        <v>2259</v>
      </c>
      <c r="B2247" s="8">
        <v>83.360000610351563</v>
      </c>
    </row>
    <row r="2248" spans="1:2" x14ac:dyDescent="0.3">
      <c r="A2248" s="7" t="s">
        <v>2260</v>
      </c>
      <c r="B2248" s="8">
        <v>83.360000610351563</v>
      </c>
    </row>
    <row r="2249" spans="1:2" x14ac:dyDescent="0.3">
      <c r="A2249" s="7" t="s">
        <v>2261</v>
      </c>
      <c r="B2249" s="8">
        <v>83.900001525878906</v>
      </c>
    </row>
    <row r="2250" spans="1:2" x14ac:dyDescent="0.3">
      <c r="A2250" s="7" t="s">
        <v>2262</v>
      </c>
      <c r="B2250" s="8">
        <v>84.019996643066406</v>
      </c>
    </row>
    <row r="2251" spans="1:2" x14ac:dyDescent="0.3">
      <c r="A2251" s="7" t="s">
        <v>2263</v>
      </c>
      <c r="B2251" s="8">
        <v>84.150001525878906</v>
      </c>
    </row>
    <row r="2252" spans="1:2" x14ac:dyDescent="0.3">
      <c r="A2252" s="7" t="s">
        <v>2264</v>
      </c>
      <c r="B2252" s="8">
        <v>84.150001525878906</v>
      </c>
    </row>
    <row r="2253" spans="1:2" x14ac:dyDescent="0.3">
      <c r="A2253" s="7" t="s">
        <v>2265</v>
      </c>
      <c r="B2253" s="8">
        <v>84.150001525878906</v>
      </c>
    </row>
    <row r="2254" spans="1:2" x14ac:dyDescent="0.3">
      <c r="A2254" s="7" t="s">
        <v>2266</v>
      </c>
      <c r="B2254" s="8">
        <v>84.150001525878906</v>
      </c>
    </row>
    <row r="2255" spans="1:2" x14ac:dyDescent="0.3">
      <c r="A2255" s="7" t="s">
        <v>2267</v>
      </c>
      <c r="B2255" s="8">
        <v>84.150001525878906</v>
      </c>
    </row>
    <row r="2256" spans="1:2" x14ac:dyDescent="0.3">
      <c r="A2256" s="7" t="s">
        <v>2268</v>
      </c>
      <c r="B2256" s="8">
        <v>84.699996948242188</v>
      </c>
    </row>
    <row r="2257" spans="1:2" x14ac:dyDescent="0.3">
      <c r="A2257" s="7" t="s">
        <v>2269</v>
      </c>
      <c r="B2257" s="8">
        <v>84.80999755859375</v>
      </c>
    </row>
    <row r="2258" spans="1:2" x14ac:dyDescent="0.3">
      <c r="A2258" s="7" t="s">
        <v>2270</v>
      </c>
      <c r="B2258" s="8">
        <v>84.910003662109375</v>
      </c>
    </row>
    <row r="2259" spans="1:2" x14ac:dyDescent="0.3">
      <c r="A2259" s="7" t="s">
        <v>2271</v>
      </c>
      <c r="B2259" s="8">
        <v>85</v>
      </c>
    </row>
    <row r="2260" spans="1:2" x14ac:dyDescent="0.3">
      <c r="A2260" s="7" t="s">
        <v>2272</v>
      </c>
      <c r="B2260" s="8">
        <v>85.120002746582031</v>
      </c>
    </row>
    <row r="2261" spans="1:2" x14ac:dyDescent="0.3">
      <c r="A2261" s="7" t="s">
        <v>2273</v>
      </c>
      <c r="B2261" s="8">
        <v>85.120002746582031</v>
      </c>
    </row>
    <row r="2262" spans="1:2" x14ac:dyDescent="0.3">
      <c r="A2262" s="7" t="s">
        <v>2274</v>
      </c>
      <c r="B2262" s="8">
        <v>85.120002746582031</v>
      </c>
    </row>
    <row r="2263" spans="1:2" x14ac:dyDescent="0.3">
      <c r="A2263" s="7" t="s">
        <v>2275</v>
      </c>
      <c r="B2263" s="8">
        <v>85.370002746582031</v>
      </c>
    </row>
    <row r="2264" spans="1:2" x14ac:dyDescent="0.3">
      <c r="A2264" s="7" t="s">
        <v>2276</v>
      </c>
      <c r="B2264" s="8">
        <v>85.470001220703125</v>
      </c>
    </row>
    <row r="2265" spans="1:2" x14ac:dyDescent="0.3">
      <c r="A2265" s="7" t="s">
        <v>2277</v>
      </c>
      <c r="B2265" s="8">
        <v>85.550003051757813</v>
      </c>
    </row>
    <row r="2266" spans="1:2" x14ac:dyDescent="0.3">
      <c r="A2266" s="7" t="s">
        <v>2278</v>
      </c>
      <c r="B2266" s="8">
        <v>85.639999389648438</v>
      </c>
    </row>
    <row r="2267" spans="1:2" x14ac:dyDescent="0.3">
      <c r="A2267" s="7" t="s">
        <v>2279</v>
      </c>
      <c r="B2267" s="8">
        <v>85.739997863769531</v>
      </c>
    </row>
    <row r="2268" spans="1:2" x14ac:dyDescent="0.3">
      <c r="A2268" s="7" t="s">
        <v>2280</v>
      </c>
      <c r="B2268" s="8">
        <v>85.739997863769531</v>
      </c>
    </row>
    <row r="2269" spans="1:2" x14ac:dyDescent="0.3">
      <c r="A2269" s="7" t="s">
        <v>2281</v>
      </c>
      <c r="B2269" s="8">
        <v>85.739997863769531</v>
      </c>
    </row>
    <row r="2270" spans="1:2" x14ac:dyDescent="0.3">
      <c r="A2270" s="7" t="s">
        <v>2282</v>
      </c>
      <c r="B2270" s="8">
        <v>85.739997863769531</v>
      </c>
    </row>
    <row r="2271" spans="1:2" x14ac:dyDescent="0.3">
      <c r="A2271" s="7" t="s">
        <v>2283</v>
      </c>
      <c r="B2271" s="8">
        <v>86.209999084472656</v>
      </c>
    </row>
    <row r="2272" spans="1:2" x14ac:dyDescent="0.3">
      <c r="A2272" s="7" t="s">
        <v>2284</v>
      </c>
      <c r="B2272" s="8">
        <v>86.349998474121094</v>
      </c>
    </row>
    <row r="2273" spans="1:2" x14ac:dyDescent="0.3">
      <c r="A2273" s="7" t="s">
        <v>2285</v>
      </c>
      <c r="B2273" s="8">
        <v>86.430000305175781</v>
      </c>
    </row>
    <row r="2274" spans="1:2" x14ac:dyDescent="0.3">
      <c r="A2274" s="7" t="s">
        <v>2286</v>
      </c>
      <c r="B2274" s="8">
        <v>86.569999694824219</v>
      </c>
    </row>
    <row r="2275" spans="1:2" x14ac:dyDescent="0.3">
      <c r="A2275" s="7" t="s">
        <v>2287</v>
      </c>
      <c r="B2275" s="8">
        <v>86.569999694824219</v>
      </c>
    </row>
    <row r="2276" spans="1:2" x14ac:dyDescent="0.3">
      <c r="A2276" s="7" t="s">
        <v>2288</v>
      </c>
      <c r="B2276" s="8">
        <v>86.569999694824219</v>
      </c>
    </row>
    <row r="2277" spans="1:2" x14ac:dyDescent="0.3">
      <c r="A2277" s="7" t="s">
        <v>2289</v>
      </c>
      <c r="B2277" s="8">
        <v>86.900001525878906</v>
      </c>
    </row>
    <row r="2278" spans="1:2" x14ac:dyDescent="0.3">
      <c r="A2278" s="7" t="s">
        <v>2290</v>
      </c>
      <c r="B2278" s="8">
        <v>87.019996643066406</v>
      </c>
    </row>
    <row r="2279" spans="1:2" x14ac:dyDescent="0.3">
      <c r="A2279" s="7" t="s">
        <v>2291</v>
      </c>
      <c r="B2279" s="8">
        <v>87.110000610351563</v>
      </c>
    </row>
    <row r="2280" spans="1:2" x14ac:dyDescent="0.3">
      <c r="A2280" s="7" t="s">
        <v>2292</v>
      </c>
      <c r="B2280" s="8">
        <v>87.199996948242188</v>
      </c>
    </row>
    <row r="2281" spans="1:2" x14ac:dyDescent="0.3">
      <c r="A2281" s="7" t="s">
        <v>2293</v>
      </c>
      <c r="B2281" s="8">
        <v>87.330001831054688</v>
      </c>
    </row>
    <row r="2282" spans="1:2" x14ac:dyDescent="0.3">
      <c r="A2282" s="7" t="s">
        <v>2294</v>
      </c>
      <c r="B2282" s="8">
        <v>87.330001831054688</v>
      </c>
    </row>
    <row r="2283" spans="1:2" x14ac:dyDescent="0.3">
      <c r="A2283" s="7" t="s">
        <v>2295</v>
      </c>
      <c r="B2283" s="8">
        <v>87.330001831054688</v>
      </c>
    </row>
    <row r="2284" spans="1:2" x14ac:dyDescent="0.3">
      <c r="A2284" s="7" t="s">
        <v>2296</v>
      </c>
      <c r="B2284" s="8">
        <v>87.599998474121094</v>
      </c>
    </row>
    <row r="2285" spans="1:2" x14ac:dyDescent="0.3">
      <c r="A2285" s="7" t="s">
        <v>2297</v>
      </c>
      <c r="B2285" s="8">
        <v>87.699996948242188</v>
      </c>
    </row>
    <row r="2286" spans="1:2" x14ac:dyDescent="0.3">
      <c r="A2286" s="7" t="s">
        <v>2298</v>
      </c>
      <c r="B2286" s="8">
        <v>87.800003051757813</v>
      </c>
    </row>
    <row r="2287" spans="1:2" x14ac:dyDescent="0.3">
      <c r="A2287" s="7" t="s">
        <v>2299</v>
      </c>
      <c r="B2287" s="8">
        <v>87.910003662109375</v>
      </c>
    </row>
    <row r="2288" spans="1:2" x14ac:dyDescent="0.3">
      <c r="A2288" s="7" t="s">
        <v>2300</v>
      </c>
      <c r="B2288" s="8">
        <v>88</v>
      </c>
    </row>
    <row r="2289" spans="1:2" x14ac:dyDescent="0.3">
      <c r="A2289" s="7" t="s">
        <v>2301</v>
      </c>
      <c r="B2289" s="8">
        <v>88</v>
      </c>
    </row>
    <row r="2290" spans="1:2" x14ac:dyDescent="0.3">
      <c r="A2290" s="7" t="s">
        <v>2302</v>
      </c>
      <c r="B2290" s="8">
        <v>88</v>
      </c>
    </row>
    <row r="2291" spans="1:2" x14ac:dyDescent="0.3">
      <c r="A2291" s="7" t="s">
        <v>2303</v>
      </c>
      <c r="B2291" s="8">
        <v>88.169998168945313</v>
      </c>
    </row>
    <row r="2292" spans="1:2" x14ac:dyDescent="0.3">
      <c r="A2292" s="7" t="s">
        <v>2304</v>
      </c>
      <c r="B2292" s="8">
        <v>88.260002136230469</v>
      </c>
    </row>
    <row r="2293" spans="1:2" x14ac:dyDescent="0.3">
      <c r="A2293" s="7" t="s">
        <v>2305</v>
      </c>
      <c r="B2293" s="8">
        <v>88.360000610351563</v>
      </c>
    </row>
    <row r="2294" spans="1:2" x14ac:dyDescent="0.3">
      <c r="A2294" s="7" t="s">
        <v>2306</v>
      </c>
      <c r="B2294" s="8">
        <v>88.449996948242188</v>
      </c>
    </row>
    <row r="2295" spans="1:2" x14ac:dyDescent="0.3">
      <c r="A2295" s="7" t="s">
        <v>2307</v>
      </c>
      <c r="B2295" s="8">
        <v>88.540000915527344</v>
      </c>
    </row>
    <row r="2296" spans="1:2" x14ac:dyDescent="0.3">
      <c r="A2296" s="7" t="s">
        <v>2308</v>
      </c>
      <c r="B2296" s="8">
        <v>88.540000915527344</v>
      </c>
    </row>
    <row r="2297" spans="1:2" x14ac:dyDescent="0.3">
      <c r="A2297" s="7" t="s">
        <v>2309</v>
      </c>
      <c r="B2297" s="8">
        <v>88.540000915527344</v>
      </c>
    </row>
    <row r="2298" spans="1:2" x14ac:dyDescent="0.3">
      <c r="A2298" s="7" t="s">
        <v>2310</v>
      </c>
      <c r="B2298" s="8">
        <v>88.540000915527344</v>
      </c>
    </row>
    <row r="2299" spans="1:2" x14ac:dyDescent="0.3">
      <c r="A2299" s="7" t="s">
        <v>2311</v>
      </c>
      <c r="B2299" s="8">
        <v>88.540000915527344</v>
      </c>
    </row>
    <row r="2300" spans="1:2" x14ac:dyDescent="0.3">
      <c r="A2300" s="7" t="s">
        <v>2312</v>
      </c>
      <c r="B2300" s="8">
        <v>88.94000244140625</v>
      </c>
    </row>
    <row r="2301" spans="1:2" x14ac:dyDescent="0.3">
      <c r="A2301" s="7" t="s">
        <v>2313</v>
      </c>
      <c r="B2301" s="8">
        <v>89.05999755859375</v>
      </c>
    </row>
    <row r="2302" spans="1:2" x14ac:dyDescent="0.3">
      <c r="A2302" s="7" t="s">
        <v>2314</v>
      </c>
      <c r="B2302" s="8">
        <v>89.139999389648438</v>
      </c>
    </row>
    <row r="2303" spans="1:2" x14ac:dyDescent="0.3">
      <c r="A2303" s="7" t="s">
        <v>2315</v>
      </c>
      <c r="B2303" s="8">
        <v>89.139999389648438</v>
      </c>
    </row>
    <row r="2304" spans="1:2" x14ac:dyDescent="0.3">
      <c r="A2304" s="7" t="s">
        <v>2316</v>
      </c>
      <c r="B2304" s="8">
        <v>89.139999389648438</v>
      </c>
    </row>
    <row r="2305" spans="1:2" x14ac:dyDescent="0.3">
      <c r="A2305" s="7" t="s">
        <v>2317</v>
      </c>
      <c r="B2305" s="8">
        <v>89.430000305175781</v>
      </c>
    </row>
    <row r="2306" spans="1:2" x14ac:dyDescent="0.3">
      <c r="A2306" s="7" t="s">
        <v>2318</v>
      </c>
      <c r="B2306" s="8">
        <v>89.529998779296875</v>
      </c>
    </row>
    <row r="2307" spans="1:2" x14ac:dyDescent="0.3">
      <c r="A2307" s="7" t="s">
        <v>2319</v>
      </c>
      <c r="B2307" s="8">
        <v>89.680000305175781</v>
      </c>
    </row>
    <row r="2308" spans="1:2" x14ac:dyDescent="0.3">
      <c r="A2308" s="7" t="s">
        <v>2320</v>
      </c>
      <c r="B2308" s="8">
        <v>89.75</v>
      </c>
    </row>
    <row r="2309" spans="1:2" x14ac:dyDescent="0.3">
      <c r="A2309" s="7" t="s">
        <v>2321</v>
      </c>
      <c r="B2309" s="8">
        <v>89.819999694824219</v>
      </c>
    </row>
    <row r="2310" spans="1:2" x14ac:dyDescent="0.3">
      <c r="A2310" s="7" t="s">
        <v>2322</v>
      </c>
      <c r="B2310" s="8">
        <v>89.819999694824219</v>
      </c>
    </row>
    <row r="2311" spans="1:2" x14ac:dyDescent="0.3">
      <c r="A2311" s="7" t="s">
        <v>2323</v>
      </c>
      <c r="B2311" s="8">
        <v>89.819999694824219</v>
      </c>
    </row>
    <row r="2312" spans="1:2" x14ac:dyDescent="0.3">
      <c r="A2312" s="7" t="s">
        <v>2324</v>
      </c>
      <c r="B2312" s="8">
        <v>90.089996337890625</v>
      </c>
    </row>
    <row r="2313" spans="1:2" x14ac:dyDescent="0.3">
      <c r="A2313" s="7" t="s">
        <v>2325</v>
      </c>
      <c r="B2313" s="8">
        <v>90.150001525878906</v>
      </c>
    </row>
    <row r="2314" spans="1:2" x14ac:dyDescent="0.3">
      <c r="A2314" s="7" t="s">
        <v>2326</v>
      </c>
      <c r="B2314" s="8">
        <v>90.230003356933594</v>
      </c>
    </row>
    <row r="2315" spans="1:2" x14ac:dyDescent="0.3">
      <c r="A2315" s="7" t="s">
        <v>2327</v>
      </c>
      <c r="B2315" s="8">
        <v>90.290000915527344</v>
      </c>
    </row>
    <row r="2316" spans="1:2" x14ac:dyDescent="0.3">
      <c r="A2316" s="7" t="s">
        <v>2328</v>
      </c>
      <c r="B2316" s="8">
        <v>90.370002746582031</v>
      </c>
    </row>
    <row r="2317" spans="1:2" x14ac:dyDescent="0.3">
      <c r="A2317" s="7" t="s">
        <v>2329</v>
      </c>
      <c r="B2317" s="8">
        <v>90.370002746582031</v>
      </c>
    </row>
    <row r="2318" spans="1:2" x14ac:dyDescent="0.3">
      <c r="A2318" s="7" t="s">
        <v>2330</v>
      </c>
      <c r="B2318" s="8">
        <v>90.370002746582031</v>
      </c>
    </row>
    <row r="2319" spans="1:2" x14ac:dyDescent="0.3">
      <c r="A2319" s="7" t="s">
        <v>2331</v>
      </c>
      <c r="B2319" s="8">
        <v>90.569999694824219</v>
      </c>
    </row>
    <row r="2320" spans="1:2" x14ac:dyDescent="0.3">
      <c r="A2320" s="7" t="s">
        <v>2332</v>
      </c>
      <c r="B2320" s="8">
        <v>90.660003662109375</v>
      </c>
    </row>
    <row r="2321" spans="1:2" x14ac:dyDescent="0.3">
      <c r="A2321" s="7" t="s">
        <v>2333</v>
      </c>
      <c r="B2321" s="8">
        <v>90.720001220703125</v>
      </c>
    </row>
    <row r="2322" spans="1:2" x14ac:dyDescent="0.3">
      <c r="A2322" s="7" t="s">
        <v>2334</v>
      </c>
      <c r="B2322" s="8">
        <v>90.779998779296875</v>
      </c>
    </row>
    <row r="2323" spans="1:2" x14ac:dyDescent="0.3">
      <c r="A2323" s="7" t="s">
        <v>2335</v>
      </c>
      <c r="B2323" s="8">
        <v>90.849998474121094</v>
      </c>
    </row>
    <row r="2324" spans="1:2" x14ac:dyDescent="0.3">
      <c r="A2324" s="7" t="s">
        <v>2336</v>
      </c>
      <c r="B2324" s="8">
        <v>90.849998474121094</v>
      </c>
    </row>
    <row r="2325" spans="1:2" x14ac:dyDescent="0.3">
      <c r="A2325" s="7" t="s">
        <v>2337</v>
      </c>
      <c r="B2325" s="8">
        <v>90.849998474121094</v>
      </c>
    </row>
    <row r="2326" spans="1:2" x14ac:dyDescent="0.3">
      <c r="A2326" s="7" t="s">
        <v>2338</v>
      </c>
      <c r="B2326" s="8">
        <v>91.05999755859375</v>
      </c>
    </row>
    <row r="2327" spans="1:2" x14ac:dyDescent="0.3">
      <c r="A2327" s="7" t="s">
        <v>2339</v>
      </c>
      <c r="B2327" s="8">
        <v>91.129997253417969</v>
      </c>
    </row>
    <row r="2328" spans="1:2" x14ac:dyDescent="0.3">
      <c r="A2328" s="7" t="s">
        <v>2340</v>
      </c>
      <c r="B2328" s="8">
        <v>91.199996948242188</v>
      </c>
    </row>
    <row r="2329" spans="1:2" x14ac:dyDescent="0.3">
      <c r="A2329" s="7" t="s">
        <v>2341</v>
      </c>
      <c r="B2329" s="8">
        <v>91.300003051757813</v>
      </c>
    </row>
    <row r="2330" spans="1:2" x14ac:dyDescent="0.3">
      <c r="A2330" s="7" t="s">
        <v>2342</v>
      </c>
      <c r="B2330" s="8">
        <v>91.360000610351563</v>
      </c>
    </row>
    <row r="2331" spans="1:2" x14ac:dyDescent="0.3">
      <c r="A2331" s="7" t="s">
        <v>2343</v>
      </c>
      <c r="B2331" s="8">
        <v>91.360000610351563</v>
      </c>
    </row>
    <row r="2332" spans="1:2" x14ac:dyDescent="0.3">
      <c r="A2332" s="7" t="s">
        <v>2344</v>
      </c>
      <c r="B2332" s="8">
        <v>91.360000610351563</v>
      </c>
    </row>
    <row r="2333" spans="1:2" x14ac:dyDescent="0.3">
      <c r="A2333" s="7" t="s">
        <v>2345</v>
      </c>
      <c r="B2333" s="8">
        <v>91.569999694824219</v>
      </c>
    </row>
    <row r="2334" spans="1:2" x14ac:dyDescent="0.3">
      <c r="A2334" s="7" t="s">
        <v>2346</v>
      </c>
      <c r="B2334" s="8">
        <v>91.639999389648438</v>
      </c>
    </row>
    <row r="2335" spans="1:2" x14ac:dyDescent="0.3">
      <c r="A2335" s="7" t="s">
        <v>2347</v>
      </c>
      <c r="B2335" s="8">
        <v>91.639999389648438</v>
      </c>
    </row>
    <row r="2336" spans="1:2" x14ac:dyDescent="0.3">
      <c r="A2336" s="7" t="s">
        <v>2348</v>
      </c>
      <c r="B2336" s="8">
        <v>91.769996643066406</v>
      </c>
    </row>
    <row r="2337" spans="1:2" x14ac:dyDescent="0.3">
      <c r="A2337" s="7" t="s">
        <v>2349</v>
      </c>
      <c r="B2337" s="8">
        <v>91.839996337890625</v>
      </c>
    </row>
    <row r="2338" spans="1:2" x14ac:dyDescent="0.3">
      <c r="A2338" s="7" t="s">
        <v>2350</v>
      </c>
      <c r="B2338" s="8">
        <v>91.839996337890625</v>
      </c>
    </row>
    <row r="2339" spans="1:2" x14ac:dyDescent="0.3">
      <c r="A2339" s="7" t="s">
        <v>2351</v>
      </c>
      <c r="B2339" s="8">
        <v>91.839996337890625</v>
      </c>
    </row>
    <row r="2340" spans="1:2" x14ac:dyDescent="0.3">
      <c r="A2340" s="7" t="s">
        <v>2352</v>
      </c>
      <c r="B2340" s="8">
        <v>91.910003662109375</v>
      </c>
    </row>
    <row r="2341" spans="1:2" x14ac:dyDescent="0.3">
      <c r="A2341" s="7" t="s">
        <v>2353</v>
      </c>
      <c r="B2341" s="8">
        <v>91.959999084472656</v>
      </c>
    </row>
    <row r="2342" spans="1:2" x14ac:dyDescent="0.3">
      <c r="A2342" s="7" t="s">
        <v>2354</v>
      </c>
      <c r="B2342" s="8">
        <v>92</v>
      </c>
    </row>
    <row r="2343" spans="1:2" x14ac:dyDescent="0.3">
      <c r="A2343" s="7" t="s">
        <v>2355</v>
      </c>
      <c r="B2343" s="8">
        <v>92</v>
      </c>
    </row>
    <row r="2344" spans="1:2" x14ac:dyDescent="0.3">
      <c r="A2344" s="7" t="s">
        <v>2356</v>
      </c>
      <c r="B2344" s="8">
        <v>92</v>
      </c>
    </row>
    <row r="2345" spans="1:2" x14ac:dyDescent="0.3">
      <c r="A2345" s="7" t="s">
        <v>2357</v>
      </c>
      <c r="B2345" s="8">
        <v>92</v>
      </c>
    </row>
    <row r="2346" spans="1:2" x14ac:dyDescent="0.3">
      <c r="A2346" s="7" t="s">
        <v>2358</v>
      </c>
      <c r="B2346" s="8">
        <v>92</v>
      </c>
    </row>
    <row r="2347" spans="1:2" x14ac:dyDescent="0.3">
      <c r="A2347" s="7" t="s">
        <v>2359</v>
      </c>
      <c r="B2347" s="8">
        <v>92.239997863769531</v>
      </c>
    </row>
    <row r="2348" spans="1:2" x14ac:dyDescent="0.3">
      <c r="A2348" s="7" t="s">
        <v>2360</v>
      </c>
      <c r="B2348" s="8">
        <v>92.279998779296875</v>
      </c>
    </row>
    <row r="2349" spans="1:2" x14ac:dyDescent="0.3">
      <c r="A2349" s="7" t="s">
        <v>2361</v>
      </c>
      <c r="B2349" s="8">
        <v>92.330001831054688</v>
      </c>
    </row>
    <row r="2350" spans="1:2" x14ac:dyDescent="0.3">
      <c r="A2350" s="7" t="s">
        <v>2362</v>
      </c>
      <c r="B2350" s="8">
        <v>92.379997253417969</v>
      </c>
    </row>
    <row r="2351" spans="1:2" x14ac:dyDescent="0.3">
      <c r="A2351" s="7" t="s">
        <v>2363</v>
      </c>
      <c r="B2351" s="8">
        <v>92.44000244140625</v>
      </c>
    </row>
    <row r="2352" spans="1:2" x14ac:dyDescent="0.3">
      <c r="A2352" s="7" t="s">
        <v>2364</v>
      </c>
      <c r="B2352" s="8">
        <v>92.44000244140625</v>
      </c>
    </row>
    <row r="2353" spans="1:2" x14ac:dyDescent="0.3">
      <c r="A2353" s="7" t="s">
        <v>2365</v>
      </c>
      <c r="B2353" s="8">
        <v>92.44000244140625</v>
      </c>
    </row>
    <row r="2354" spans="1:2" x14ac:dyDescent="0.3">
      <c r="A2354" s="7" t="s">
        <v>2366</v>
      </c>
      <c r="B2354" s="8">
        <v>92.580001831054688</v>
      </c>
    </row>
    <row r="2355" spans="1:2" x14ac:dyDescent="0.3">
      <c r="A2355" s="7" t="s">
        <v>2367</v>
      </c>
      <c r="B2355" s="8">
        <v>92.620002746582031</v>
      </c>
    </row>
    <row r="2356" spans="1:2" x14ac:dyDescent="0.3">
      <c r="A2356" s="7" t="s">
        <v>2368</v>
      </c>
      <c r="B2356" s="8">
        <v>92.669998168945313</v>
      </c>
    </row>
    <row r="2357" spans="1:2" x14ac:dyDescent="0.3">
      <c r="A2357" s="7" t="s">
        <v>2369</v>
      </c>
      <c r="B2357" s="8">
        <v>92.720001220703125</v>
      </c>
    </row>
    <row r="2358" spans="1:2" x14ac:dyDescent="0.3">
      <c r="A2358" s="7" t="s">
        <v>2370</v>
      </c>
      <c r="B2358" s="8">
        <v>92.80999755859375</v>
      </c>
    </row>
    <row r="2359" spans="1:2" x14ac:dyDescent="0.3">
      <c r="A2359" s="7" t="s">
        <v>2371</v>
      </c>
      <c r="B2359" s="8">
        <v>92.80999755859375</v>
      </c>
    </row>
    <row r="2360" spans="1:2" x14ac:dyDescent="0.3">
      <c r="A2360" s="7" t="s">
        <v>2372</v>
      </c>
      <c r="B2360" s="8">
        <v>92.80999755859375</v>
      </c>
    </row>
    <row r="2361" spans="1:2" x14ac:dyDescent="0.3">
      <c r="A2361" s="7" t="s">
        <v>2373</v>
      </c>
      <c r="B2361" s="8">
        <v>92.919998168945313</v>
      </c>
    </row>
    <row r="2362" spans="1:2" x14ac:dyDescent="0.3">
      <c r="A2362" s="7" t="s">
        <v>2374</v>
      </c>
      <c r="B2362" s="8">
        <v>92.970001220703125</v>
      </c>
    </row>
    <row r="2363" spans="1:2" x14ac:dyDescent="0.3">
      <c r="A2363" s="7" t="s">
        <v>2375</v>
      </c>
      <c r="B2363" s="8">
        <v>93.040000915527344</v>
      </c>
    </row>
    <row r="2364" spans="1:2" x14ac:dyDescent="0.3">
      <c r="A2364" s="7" t="s">
        <v>2376</v>
      </c>
      <c r="B2364" s="8">
        <v>93.069999694824219</v>
      </c>
    </row>
    <row r="2365" spans="1:2" x14ac:dyDescent="0.3">
      <c r="A2365" s="7" t="s">
        <v>2377</v>
      </c>
      <c r="B2365" s="8">
        <v>93.120002746582031</v>
      </c>
    </row>
    <row r="2366" spans="1:2" x14ac:dyDescent="0.3">
      <c r="A2366" s="7" t="s">
        <v>2378</v>
      </c>
      <c r="B2366" s="8">
        <v>93.120002746582031</v>
      </c>
    </row>
    <row r="2367" spans="1:2" x14ac:dyDescent="0.3">
      <c r="A2367" s="7" t="s">
        <v>2379</v>
      </c>
      <c r="B2367" s="8">
        <v>93.120002746582031</v>
      </c>
    </row>
    <row r="2368" spans="1:2" x14ac:dyDescent="0.3">
      <c r="A2368" s="7" t="s">
        <v>2380</v>
      </c>
      <c r="B2368" s="8">
        <v>93.269996643066406</v>
      </c>
    </row>
    <row r="2369" spans="1:2" x14ac:dyDescent="0.3">
      <c r="A2369" s="7" t="s">
        <v>2381</v>
      </c>
      <c r="B2369" s="8">
        <v>93.330001831054688</v>
      </c>
    </row>
    <row r="2370" spans="1:2" x14ac:dyDescent="0.3">
      <c r="A2370" s="7" t="s">
        <v>2382</v>
      </c>
      <c r="B2370" s="8">
        <v>93.44000244140625</v>
      </c>
    </row>
    <row r="2371" spans="1:2" x14ac:dyDescent="0.3">
      <c r="A2371" s="7" t="s">
        <v>2383</v>
      </c>
      <c r="B2371" s="8">
        <v>93.5</v>
      </c>
    </row>
    <row r="2372" spans="1:2" x14ac:dyDescent="0.3">
      <c r="A2372" s="7" t="s">
        <v>2384</v>
      </c>
      <c r="B2372" s="8">
        <v>93.55999755859375</v>
      </c>
    </row>
    <row r="2373" spans="1:2" x14ac:dyDescent="0.3">
      <c r="A2373" s="7" t="s">
        <v>2385</v>
      </c>
      <c r="B2373" s="8">
        <v>93.55999755859375</v>
      </c>
    </row>
    <row r="2374" spans="1:2" x14ac:dyDescent="0.3">
      <c r="A2374" s="7" t="s">
        <v>2386</v>
      </c>
      <c r="B2374" s="8">
        <v>93.55999755859375</v>
      </c>
    </row>
    <row r="2375" spans="1:2" x14ac:dyDescent="0.3">
      <c r="A2375" s="7" t="s">
        <v>2387</v>
      </c>
      <c r="B2375" s="8">
        <v>93.669998168945313</v>
      </c>
    </row>
    <row r="2376" spans="1:2" x14ac:dyDescent="0.3">
      <c r="A2376" s="7" t="s">
        <v>2388</v>
      </c>
      <c r="B2376" s="8">
        <v>93.709999084472656</v>
      </c>
    </row>
    <row r="2377" spans="1:2" x14ac:dyDescent="0.3">
      <c r="A2377" s="7" t="s">
        <v>2389</v>
      </c>
      <c r="B2377" s="8">
        <v>93.75</v>
      </c>
    </row>
    <row r="2378" spans="1:2" x14ac:dyDescent="0.3">
      <c r="A2378" s="7" t="s">
        <v>2390</v>
      </c>
      <c r="B2378" s="8">
        <v>93.790000915527344</v>
      </c>
    </row>
    <row r="2379" spans="1:2" x14ac:dyDescent="0.3">
      <c r="A2379" s="7" t="s">
        <v>2391</v>
      </c>
      <c r="B2379" s="8">
        <v>93.849998474121094</v>
      </c>
    </row>
    <row r="2380" spans="1:2" x14ac:dyDescent="0.3">
      <c r="A2380" s="7" t="s">
        <v>2392</v>
      </c>
      <c r="B2380" s="8">
        <v>93.849998474121094</v>
      </c>
    </row>
    <row r="2381" spans="1:2" x14ac:dyDescent="0.3">
      <c r="A2381" s="7" t="s">
        <v>2393</v>
      </c>
      <c r="B2381" s="8">
        <v>93.849998474121094</v>
      </c>
    </row>
    <row r="2382" spans="1:2" x14ac:dyDescent="0.3">
      <c r="A2382" s="7" t="s">
        <v>2394</v>
      </c>
      <c r="B2382" s="8">
        <v>93.930000305175781</v>
      </c>
    </row>
    <row r="2383" spans="1:2" x14ac:dyDescent="0.3">
      <c r="A2383" s="7" t="s">
        <v>2395</v>
      </c>
      <c r="B2383" s="8">
        <v>93.949996948242188</v>
      </c>
    </row>
    <row r="2384" spans="1:2" x14ac:dyDescent="0.3">
      <c r="A2384" s="7" t="s">
        <v>2396</v>
      </c>
      <c r="B2384" s="8">
        <v>93.980003356933594</v>
      </c>
    </row>
    <row r="2385" spans="1:2" x14ac:dyDescent="0.3">
      <c r="A2385" s="7" t="s">
        <v>2397</v>
      </c>
      <c r="B2385" s="8">
        <v>94.010002136230469</v>
      </c>
    </row>
    <row r="2386" spans="1:2" x14ac:dyDescent="0.3">
      <c r="A2386" s="7" t="s">
        <v>2398</v>
      </c>
      <c r="B2386" s="8">
        <v>94.040000915527344</v>
      </c>
    </row>
    <row r="2387" spans="1:2" x14ac:dyDescent="0.3">
      <c r="A2387" s="7" t="s">
        <v>2399</v>
      </c>
      <c r="B2387" s="8">
        <v>94.040000915527344</v>
      </c>
    </row>
    <row r="2388" spans="1:2" x14ac:dyDescent="0.3">
      <c r="A2388" s="7" t="s">
        <v>2400</v>
      </c>
      <c r="B2388" s="8">
        <v>94.040000915527344</v>
      </c>
    </row>
    <row r="2389" spans="1:2" x14ac:dyDescent="0.3">
      <c r="A2389" s="7" t="s">
        <v>2401</v>
      </c>
      <c r="B2389" s="8">
        <v>94.129997253417969</v>
      </c>
    </row>
    <row r="2390" spans="1:2" x14ac:dyDescent="0.3">
      <c r="A2390" s="7" t="s">
        <v>2402</v>
      </c>
      <c r="B2390" s="8">
        <v>94.160003662109375</v>
      </c>
    </row>
    <row r="2391" spans="1:2" x14ac:dyDescent="0.3">
      <c r="A2391" s="7" t="s">
        <v>2403</v>
      </c>
      <c r="B2391" s="8">
        <v>94.199996948242188</v>
      </c>
    </row>
    <row r="2392" spans="1:2" x14ac:dyDescent="0.3">
      <c r="A2392" s="7" t="s">
        <v>2404</v>
      </c>
      <c r="B2392" s="8">
        <v>94.239997863769531</v>
      </c>
    </row>
    <row r="2393" spans="1:2" x14ac:dyDescent="0.3">
      <c r="A2393" s="7" t="s">
        <v>2405</v>
      </c>
      <c r="B2393" s="8">
        <v>94.269996643066406</v>
      </c>
    </row>
    <row r="2394" spans="1:2" x14ac:dyDescent="0.3">
      <c r="A2394" s="7" t="s">
        <v>2406</v>
      </c>
      <c r="B2394" s="8">
        <v>94.269996643066406</v>
      </c>
    </row>
    <row r="2395" spans="1:2" x14ac:dyDescent="0.3">
      <c r="A2395" s="7" t="s">
        <v>2407</v>
      </c>
      <c r="B2395" s="8">
        <v>94.269996643066406</v>
      </c>
    </row>
    <row r="2396" spans="1:2" x14ac:dyDescent="0.3">
      <c r="A2396" s="7" t="s">
        <v>2408</v>
      </c>
      <c r="B2396" s="8">
        <v>94.269996643066406</v>
      </c>
    </row>
    <row r="2397" spans="1:2" x14ac:dyDescent="0.3">
      <c r="A2397" s="7" t="s">
        <v>2409</v>
      </c>
      <c r="B2397" s="8">
        <v>94.269996643066406</v>
      </c>
    </row>
    <row r="2398" spans="1:2" x14ac:dyDescent="0.3">
      <c r="A2398" s="7" t="s">
        <v>2410</v>
      </c>
      <c r="B2398" s="8">
        <v>94.480003356933594</v>
      </c>
    </row>
    <row r="2399" spans="1:2" x14ac:dyDescent="0.3">
      <c r="A2399" s="7" t="s">
        <v>2411</v>
      </c>
      <c r="B2399" s="8">
        <v>94.529998779296875</v>
      </c>
    </row>
    <row r="2400" spans="1:2" x14ac:dyDescent="0.3">
      <c r="A2400" s="7" t="s">
        <v>2412</v>
      </c>
      <c r="B2400" s="8">
        <v>94.55999755859375</v>
      </c>
    </row>
    <row r="2401" spans="1:2" x14ac:dyDescent="0.3">
      <c r="A2401" s="7" t="s">
        <v>2413</v>
      </c>
      <c r="B2401" s="8">
        <v>94.55999755859375</v>
      </c>
    </row>
    <row r="2402" spans="1:2" x14ac:dyDescent="0.3">
      <c r="A2402" s="7" t="s">
        <v>2414</v>
      </c>
      <c r="B2402" s="8">
        <v>94.55999755859375</v>
      </c>
    </row>
    <row r="2403" spans="1:2" x14ac:dyDescent="0.3">
      <c r="A2403" s="7" t="s">
        <v>2415</v>
      </c>
      <c r="B2403" s="8">
        <v>94.55999755859375</v>
      </c>
    </row>
    <row r="2404" spans="1:2" x14ac:dyDescent="0.3">
      <c r="A2404" s="7" t="s">
        <v>2416</v>
      </c>
      <c r="B2404" s="8">
        <v>94.730003356933594</v>
      </c>
    </row>
    <row r="2405" spans="1:2" x14ac:dyDescent="0.3">
      <c r="A2405" s="7" t="s">
        <v>2417</v>
      </c>
      <c r="B2405" s="8">
        <v>94.769996643066406</v>
      </c>
    </row>
    <row r="2406" spans="1:2" x14ac:dyDescent="0.3">
      <c r="A2406" s="7" t="s">
        <v>2418</v>
      </c>
      <c r="B2406" s="8">
        <v>94.80999755859375</v>
      </c>
    </row>
    <row r="2407" spans="1:2" x14ac:dyDescent="0.3">
      <c r="A2407" s="7" t="s">
        <v>2419</v>
      </c>
      <c r="B2407" s="8">
        <v>94.860000610351563</v>
      </c>
    </row>
    <row r="2408" spans="1:2" x14ac:dyDescent="0.3">
      <c r="A2408" s="7" t="s">
        <v>2420</v>
      </c>
      <c r="B2408" s="8">
        <v>94.860000610351563</v>
      </c>
    </row>
    <row r="2409" spans="1:2" x14ac:dyDescent="0.3">
      <c r="A2409" s="7" t="s">
        <v>2421</v>
      </c>
      <c r="B2409" s="8">
        <v>94.860000610351563</v>
      </c>
    </row>
    <row r="2410" spans="1:2" x14ac:dyDescent="0.3">
      <c r="A2410" s="7" t="s">
        <v>2422</v>
      </c>
      <c r="B2410" s="8">
        <v>94.980003356933594</v>
      </c>
    </row>
    <row r="2411" spans="1:2" x14ac:dyDescent="0.3">
      <c r="A2411" s="7" t="s">
        <v>2423</v>
      </c>
      <c r="B2411" s="8">
        <v>95.010002136230469</v>
      </c>
    </row>
    <row r="2412" spans="1:2" x14ac:dyDescent="0.3">
      <c r="A2412" s="7" t="s">
        <v>2424</v>
      </c>
      <c r="B2412" s="8">
        <v>95.050003051757813</v>
      </c>
    </row>
    <row r="2413" spans="1:2" x14ac:dyDescent="0.3">
      <c r="A2413" s="7" t="s">
        <v>2425</v>
      </c>
      <c r="B2413" s="8">
        <v>95.110000610351563</v>
      </c>
    </row>
    <row r="2414" spans="1:2" x14ac:dyDescent="0.3">
      <c r="A2414" s="7" t="s">
        <v>2426</v>
      </c>
      <c r="B2414" s="8">
        <v>95.129997253417969</v>
      </c>
    </row>
    <row r="2415" spans="1:2" x14ac:dyDescent="0.3">
      <c r="A2415" s="7" t="s">
        <v>2427</v>
      </c>
      <c r="B2415" s="8">
        <v>95.129997253417969</v>
      </c>
    </row>
    <row r="2416" spans="1:2" x14ac:dyDescent="0.3">
      <c r="A2416" s="7" t="s">
        <v>2428</v>
      </c>
      <c r="B2416" s="8">
        <v>95.129997253417969</v>
      </c>
    </row>
    <row r="2417" spans="1:2" x14ac:dyDescent="0.3">
      <c r="A2417" s="7" t="s">
        <v>2429</v>
      </c>
      <c r="B2417" s="8">
        <v>95.25</v>
      </c>
    </row>
    <row r="2418" spans="1:2" x14ac:dyDescent="0.3">
      <c r="A2418" s="7" t="s">
        <v>2430</v>
      </c>
      <c r="B2418" s="8">
        <v>95.300003051757813</v>
      </c>
    </row>
    <row r="2419" spans="1:2" x14ac:dyDescent="0.3">
      <c r="A2419" s="7" t="s">
        <v>2431</v>
      </c>
      <c r="B2419" s="8">
        <v>95.30999755859375</v>
      </c>
    </row>
    <row r="2420" spans="1:2" x14ac:dyDescent="0.3">
      <c r="A2420" s="7" t="s">
        <v>2432</v>
      </c>
      <c r="B2420" s="8">
        <v>95.370002746582031</v>
      </c>
    </row>
    <row r="2421" spans="1:2" x14ac:dyDescent="0.3">
      <c r="A2421" s="7" t="s">
        <v>2433</v>
      </c>
      <c r="B2421" s="8">
        <v>95.370002746582031</v>
      </c>
    </row>
    <row r="2422" spans="1:2" x14ac:dyDescent="0.3">
      <c r="A2422" s="7" t="s">
        <v>2434</v>
      </c>
      <c r="B2422" s="8">
        <v>95.370002746582031</v>
      </c>
    </row>
    <row r="2423" spans="1:2" x14ac:dyDescent="0.3">
      <c r="A2423" s="7" t="s">
        <v>2435</v>
      </c>
      <c r="B2423" s="8">
        <v>95.370002746582031</v>
      </c>
    </row>
    <row r="2424" spans="1:2" x14ac:dyDescent="0.3">
      <c r="A2424" s="7" t="s">
        <v>2436</v>
      </c>
      <c r="B2424" s="8">
        <v>95.370002746582031</v>
      </c>
    </row>
    <row r="2425" spans="1:2" x14ac:dyDescent="0.3">
      <c r="A2425" s="7" t="s">
        <v>2437</v>
      </c>
      <c r="B2425" s="8">
        <v>95.489997863769531</v>
      </c>
    </row>
    <row r="2426" spans="1:2" x14ac:dyDescent="0.3">
      <c r="A2426" s="7" t="s">
        <v>2438</v>
      </c>
      <c r="B2426" s="8">
        <v>95.529998779296875</v>
      </c>
    </row>
    <row r="2427" spans="1:2" x14ac:dyDescent="0.3">
      <c r="A2427" s="7" t="s">
        <v>2439</v>
      </c>
      <c r="B2427" s="8">
        <v>95.550003051757813</v>
      </c>
    </row>
    <row r="2428" spans="1:2" x14ac:dyDescent="0.3">
      <c r="A2428" s="7" t="s">
        <v>2440</v>
      </c>
      <c r="B2428" s="8">
        <v>95.599998474121094</v>
      </c>
    </row>
    <row r="2429" spans="1:2" x14ac:dyDescent="0.3">
      <c r="A2429" s="7" t="s">
        <v>2441</v>
      </c>
      <c r="B2429" s="8">
        <v>95.599998474121094</v>
      </c>
    </row>
    <row r="2430" spans="1:2" x14ac:dyDescent="0.3">
      <c r="A2430" s="7" t="s">
        <v>2442</v>
      </c>
      <c r="B2430" s="8">
        <v>95.599998474121094</v>
      </c>
    </row>
    <row r="2431" spans="1:2" x14ac:dyDescent="0.3">
      <c r="A2431" s="7" t="s">
        <v>2443</v>
      </c>
      <c r="B2431" s="8">
        <v>95.69000244140625</v>
      </c>
    </row>
    <row r="2432" spans="1:2" x14ac:dyDescent="0.3">
      <c r="A2432" s="7" t="s">
        <v>2444</v>
      </c>
      <c r="B2432" s="8">
        <v>95.709999084472656</v>
      </c>
    </row>
    <row r="2433" spans="1:2" x14ac:dyDescent="0.3">
      <c r="A2433" s="7" t="s">
        <v>2445</v>
      </c>
      <c r="B2433" s="8">
        <v>95.720001220703125</v>
      </c>
    </row>
    <row r="2434" spans="1:2" x14ac:dyDescent="0.3">
      <c r="A2434" s="7" t="s">
        <v>2446</v>
      </c>
      <c r="B2434" s="8">
        <v>95.760002136230469</v>
      </c>
    </row>
    <row r="2435" spans="1:2" x14ac:dyDescent="0.3">
      <c r="A2435" s="7" t="s">
        <v>2447</v>
      </c>
      <c r="B2435" s="8">
        <v>95.790000915527344</v>
      </c>
    </row>
    <row r="2436" spans="1:2" x14ac:dyDescent="0.3">
      <c r="A2436" s="7" t="s">
        <v>2448</v>
      </c>
      <c r="B2436" s="8">
        <v>95.790000915527344</v>
      </c>
    </row>
    <row r="2437" spans="1:2" x14ac:dyDescent="0.3">
      <c r="A2437" s="7" t="s">
        <v>2449</v>
      </c>
      <c r="B2437" s="8">
        <v>95.790000915527344</v>
      </c>
    </row>
    <row r="2438" spans="1:2" x14ac:dyDescent="0.3">
      <c r="A2438" s="7" t="s">
        <v>2450</v>
      </c>
      <c r="B2438" s="8">
        <v>95.790000915527344</v>
      </c>
    </row>
    <row r="2439" spans="1:2" x14ac:dyDescent="0.3">
      <c r="A2439" s="7" t="s">
        <v>2451</v>
      </c>
      <c r="B2439" s="8">
        <v>95.910003662109375</v>
      </c>
    </row>
    <row r="2440" spans="1:2" x14ac:dyDescent="0.3">
      <c r="A2440" s="7" t="s">
        <v>2452</v>
      </c>
      <c r="B2440" s="8">
        <v>95.94000244140625</v>
      </c>
    </row>
    <row r="2441" spans="1:2" x14ac:dyDescent="0.3">
      <c r="A2441" s="7" t="s">
        <v>2453</v>
      </c>
      <c r="B2441" s="8">
        <v>95.989997863769531</v>
      </c>
    </row>
    <row r="2442" spans="1:2" x14ac:dyDescent="0.3">
      <c r="A2442" s="7" t="s">
        <v>2454</v>
      </c>
      <c r="B2442" s="8">
        <v>95.989997863769531</v>
      </c>
    </row>
    <row r="2443" spans="1:2" x14ac:dyDescent="0.3">
      <c r="A2443" s="7" t="s">
        <v>2455</v>
      </c>
      <c r="B2443" s="8">
        <v>95.989997863769531</v>
      </c>
    </row>
    <row r="2444" spans="1:2" x14ac:dyDescent="0.3">
      <c r="A2444" s="7" t="s">
        <v>2456</v>
      </c>
      <c r="B2444" s="8">
        <v>95.989997863769531</v>
      </c>
    </row>
    <row r="2445" spans="1:2" x14ac:dyDescent="0.3">
      <c r="A2445" s="7" t="s">
        <v>2457</v>
      </c>
      <c r="B2445" s="8">
        <v>96.089996337890625</v>
      </c>
    </row>
    <row r="2446" spans="1:2" x14ac:dyDescent="0.3">
      <c r="A2446" s="7" t="s">
        <v>2458</v>
      </c>
      <c r="B2446" s="8">
        <v>96.120002746582031</v>
      </c>
    </row>
    <row r="2447" spans="1:2" x14ac:dyDescent="0.3">
      <c r="A2447" s="7" t="s">
        <v>2459</v>
      </c>
      <c r="B2447" s="8">
        <v>96.160003662109375</v>
      </c>
    </row>
    <row r="2448" spans="1:2" x14ac:dyDescent="0.3">
      <c r="A2448" s="7" t="s">
        <v>2460</v>
      </c>
      <c r="B2448" s="8">
        <v>96.180000305175781</v>
      </c>
    </row>
    <row r="2449" spans="1:2" x14ac:dyDescent="0.3">
      <c r="A2449" s="7" t="s">
        <v>2461</v>
      </c>
      <c r="B2449" s="8">
        <v>96.220001220703125</v>
      </c>
    </row>
    <row r="2450" spans="1:2" x14ac:dyDescent="0.3">
      <c r="A2450" s="7" t="s">
        <v>2462</v>
      </c>
      <c r="B2450" s="8">
        <v>96.220001220703125</v>
      </c>
    </row>
    <row r="2451" spans="1:2" x14ac:dyDescent="0.3">
      <c r="A2451" s="7" t="s">
        <v>2463</v>
      </c>
      <c r="B2451" s="8">
        <v>96.220001220703125</v>
      </c>
    </row>
    <row r="2452" spans="1:2" x14ac:dyDescent="0.3">
      <c r="A2452" s="7" t="s">
        <v>2464</v>
      </c>
      <c r="B2452" s="8">
        <v>96.30999755859375</v>
      </c>
    </row>
    <row r="2453" spans="1:2" x14ac:dyDescent="0.3">
      <c r="A2453" s="7" t="s">
        <v>2465</v>
      </c>
      <c r="B2453" s="8">
        <v>96.339996337890625</v>
      </c>
    </row>
    <row r="2454" spans="1:2" x14ac:dyDescent="0.3">
      <c r="A2454" s="7" t="s">
        <v>2466</v>
      </c>
      <c r="B2454" s="8">
        <v>96.360000610351563</v>
      </c>
    </row>
    <row r="2455" spans="1:2" x14ac:dyDescent="0.3">
      <c r="A2455" s="7" t="s">
        <v>2467</v>
      </c>
      <c r="B2455" s="8">
        <v>96.410003662109375</v>
      </c>
    </row>
    <row r="2456" spans="1:2" x14ac:dyDescent="0.3">
      <c r="A2456" s="7" t="s">
        <v>2468</v>
      </c>
      <c r="B2456" s="8">
        <v>96.419998168945313</v>
      </c>
    </row>
    <row r="2457" spans="1:2" x14ac:dyDescent="0.3">
      <c r="A2457" s="7" t="s">
        <v>2469</v>
      </c>
      <c r="B2457" s="8">
        <v>96.419998168945313</v>
      </c>
    </row>
    <row r="2458" spans="1:2" x14ac:dyDescent="0.3">
      <c r="A2458" s="7" t="s">
        <v>2470</v>
      </c>
      <c r="B2458" s="8">
        <v>96.419998168945313</v>
      </c>
    </row>
    <row r="2459" spans="1:2" x14ac:dyDescent="0.3">
      <c r="A2459" s="7" t="s">
        <v>2471</v>
      </c>
      <c r="B2459" s="8">
        <v>96.540000915527344</v>
      </c>
    </row>
    <row r="2460" spans="1:2" x14ac:dyDescent="0.3">
      <c r="A2460" s="7" t="s">
        <v>2472</v>
      </c>
      <c r="B2460" s="8">
        <v>96.569999694824219</v>
      </c>
    </row>
    <row r="2461" spans="1:2" x14ac:dyDescent="0.3">
      <c r="A2461" s="7" t="s">
        <v>2473</v>
      </c>
      <c r="B2461" s="8">
        <v>96.610000610351563</v>
      </c>
    </row>
    <row r="2462" spans="1:2" x14ac:dyDescent="0.3">
      <c r="A2462" s="7" t="s">
        <v>2474</v>
      </c>
      <c r="B2462" s="8">
        <v>96.639999389648438</v>
      </c>
    </row>
    <row r="2463" spans="1:2" x14ac:dyDescent="0.3">
      <c r="A2463" s="7" t="s">
        <v>2475</v>
      </c>
      <c r="B2463" s="8">
        <v>96.69000244140625</v>
      </c>
    </row>
    <row r="2464" spans="1:2" x14ac:dyDescent="0.3">
      <c r="A2464" s="7" t="s">
        <v>2476</v>
      </c>
      <c r="B2464" s="8">
        <v>96.69000244140625</v>
      </c>
    </row>
    <row r="2465" spans="1:2" x14ac:dyDescent="0.3">
      <c r="A2465" s="7" t="s">
        <v>2477</v>
      </c>
      <c r="B2465" s="8">
        <v>96.69000244140625</v>
      </c>
    </row>
    <row r="2466" spans="1:2" x14ac:dyDescent="0.3">
      <c r="A2466" s="7" t="s">
        <v>2478</v>
      </c>
      <c r="B2466" s="8">
        <v>96.790000915527344</v>
      </c>
    </row>
    <row r="2467" spans="1:2" x14ac:dyDescent="0.3">
      <c r="A2467" s="7" t="s">
        <v>2479</v>
      </c>
      <c r="B2467" s="8">
        <v>96.80999755859375</v>
      </c>
    </row>
    <row r="2468" spans="1:2" x14ac:dyDescent="0.3">
      <c r="A2468" s="7" t="s">
        <v>2480</v>
      </c>
      <c r="B2468" s="8">
        <v>96.830001831054688</v>
      </c>
    </row>
    <row r="2469" spans="1:2" x14ac:dyDescent="0.3">
      <c r="A2469" s="7" t="s">
        <v>2481</v>
      </c>
      <c r="B2469" s="8">
        <v>96.889999389648438</v>
      </c>
    </row>
    <row r="2470" spans="1:2" x14ac:dyDescent="0.3">
      <c r="A2470" s="7" t="s">
        <v>2482</v>
      </c>
      <c r="B2470" s="8">
        <v>96.900001525878906</v>
      </c>
    </row>
    <row r="2471" spans="1:2" x14ac:dyDescent="0.3">
      <c r="A2471" s="7" t="s">
        <v>2483</v>
      </c>
      <c r="B2471" s="8">
        <v>96.900001525878906</v>
      </c>
    </row>
    <row r="2472" spans="1:2" x14ac:dyDescent="0.3">
      <c r="A2472" s="7" t="s">
        <v>2484</v>
      </c>
      <c r="B2472" s="8">
        <v>96.900001525878906</v>
      </c>
    </row>
    <row r="2473" spans="1:2" x14ac:dyDescent="0.3">
      <c r="A2473" s="7" t="s">
        <v>2485</v>
      </c>
      <c r="B2473" s="8">
        <v>97</v>
      </c>
    </row>
    <row r="2474" spans="1:2" x14ac:dyDescent="0.3">
      <c r="A2474" s="7" t="s">
        <v>2486</v>
      </c>
      <c r="B2474" s="8">
        <v>97.029998779296875</v>
      </c>
    </row>
    <row r="2475" spans="1:2" x14ac:dyDescent="0.3">
      <c r="A2475" s="7" t="s">
        <v>2487</v>
      </c>
      <c r="B2475" s="8">
        <v>97.040000915527344</v>
      </c>
    </row>
    <row r="2476" spans="1:2" x14ac:dyDescent="0.3">
      <c r="A2476" s="7" t="s">
        <v>2488</v>
      </c>
      <c r="B2476" s="8">
        <v>97.069999694824219</v>
      </c>
    </row>
    <row r="2477" spans="1:2" x14ac:dyDescent="0.3">
      <c r="A2477" s="7" t="s">
        <v>2489</v>
      </c>
      <c r="B2477" s="8">
        <v>97.110000610351563</v>
      </c>
    </row>
    <row r="2478" spans="1:2" x14ac:dyDescent="0.3">
      <c r="A2478" s="7" t="s">
        <v>2490</v>
      </c>
      <c r="B2478" s="8">
        <v>97.110000610351563</v>
      </c>
    </row>
    <row r="2479" spans="1:2" x14ac:dyDescent="0.3">
      <c r="A2479" s="7" t="s">
        <v>2491</v>
      </c>
      <c r="B2479" s="8">
        <v>97.110000610351563</v>
      </c>
    </row>
    <row r="2480" spans="1:2" x14ac:dyDescent="0.3">
      <c r="A2480" s="7" t="s">
        <v>2492</v>
      </c>
      <c r="B2480" s="8">
        <v>97.110000610351563</v>
      </c>
    </row>
    <row r="2481" spans="1:2" x14ac:dyDescent="0.3">
      <c r="A2481" s="7" t="s">
        <v>2493</v>
      </c>
      <c r="B2481" s="8">
        <v>97.25</v>
      </c>
    </row>
    <row r="2482" spans="1:2" x14ac:dyDescent="0.3">
      <c r="A2482" s="7" t="s">
        <v>2494</v>
      </c>
      <c r="B2482" s="8">
        <v>97.25</v>
      </c>
    </row>
    <row r="2483" spans="1:2" x14ac:dyDescent="0.3">
      <c r="A2483" s="7" t="s">
        <v>2495</v>
      </c>
      <c r="B2483" s="8">
        <v>97.279998779296875</v>
      </c>
    </row>
    <row r="2484" spans="1:2" x14ac:dyDescent="0.3">
      <c r="A2484" s="7" t="s">
        <v>2496</v>
      </c>
      <c r="B2484" s="8">
        <v>97.30999755859375</v>
      </c>
    </row>
    <row r="2485" spans="1:2" x14ac:dyDescent="0.3">
      <c r="A2485" s="7" t="s">
        <v>2497</v>
      </c>
      <c r="B2485" s="8">
        <v>97.30999755859375</v>
      </c>
    </row>
    <row r="2486" spans="1:2" x14ac:dyDescent="0.3">
      <c r="A2486" s="7" t="s">
        <v>2498</v>
      </c>
      <c r="B2486" s="8">
        <v>97.30999755859375</v>
      </c>
    </row>
    <row r="2487" spans="1:2" x14ac:dyDescent="0.3">
      <c r="A2487" s="7" t="s">
        <v>2499</v>
      </c>
      <c r="B2487" s="8">
        <v>97.400001525878906</v>
      </c>
    </row>
    <row r="2488" spans="1:2" x14ac:dyDescent="0.3">
      <c r="A2488" s="7" t="s">
        <v>2500</v>
      </c>
      <c r="B2488" s="8">
        <v>97.449996948242188</v>
      </c>
    </row>
    <row r="2489" spans="1:2" x14ac:dyDescent="0.3">
      <c r="A2489" s="7" t="s">
        <v>2501</v>
      </c>
      <c r="B2489" s="8">
        <v>97.480003356933594</v>
      </c>
    </row>
    <row r="2490" spans="1:2" x14ac:dyDescent="0.3">
      <c r="A2490" s="7" t="s">
        <v>2502</v>
      </c>
      <c r="B2490" s="8">
        <v>97.529998779296875</v>
      </c>
    </row>
    <row r="2491" spans="1:2" x14ac:dyDescent="0.3">
      <c r="A2491" s="7" t="s">
        <v>2503</v>
      </c>
      <c r="B2491" s="8">
        <v>97.55999755859375</v>
      </c>
    </row>
    <row r="2492" spans="1:2" x14ac:dyDescent="0.3">
      <c r="A2492" s="7" t="s">
        <v>2504</v>
      </c>
      <c r="B2492" s="8">
        <v>97.55999755859375</v>
      </c>
    </row>
    <row r="2493" spans="1:2" x14ac:dyDescent="0.3">
      <c r="A2493" s="7" t="s">
        <v>2505</v>
      </c>
      <c r="B2493" s="8">
        <v>97.55999755859375</v>
      </c>
    </row>
    <row r="2494" spans="1:2" x14ac:dyDescent="0.3">
      <c r="A2494" s="7" t="s">
        <v>2506</v>
      </c>
      <c r="B2494" s="8">
        <v>97.709999084472656</v>
      </c>
    </row>
    <row r="2495" spans="1:2" x14ac:dyDescent="0.3">
      <c r="A2495" s="7" t="s">
        <v>2507</v>
      </c>
      <c r="B2495" s="8">
        <v>97.739997863769531</v>
      </c>
    </row>
    <row r="2496" spans="1:2" x14ac:dyDescent="0.3">
      <c r="A2496" s="7" t="s">
        <v>2508</v>
      </c>
      <c r="B2496" s="8">
        <v>97.779998779296875</v>
      </c>
    </row>
    <row r="2497" spans="1:2" x14ac:dyDescent="0.3">
      <c r="A2497" s="7" t="s">
        <v>2509</v>
      </c>
      <c r="B2497" s="8">
        <v>97.830001831054688</v>
      </c>
    </row>
    <row r="2498" spans="1:2" x14ac:dyDescent="0.3">
      <c r="A2498" s="7" t="s">
        <v>2510</v>
      </c>
      <c r="B2498" s="8">
        <v>97.860000610351563</v>
      </c>
    </row>
    <row r="2499" spans="1:2" x14ac:dyDescent="0.3">
      <c r="A2499" s="7" t="s">
        <v>2511</v>
      </c>
      <c r="B2499" s="8">
        <v>97.860000610351563</v>
      </c>
    </row>
    <row r="2500" spans="1:2" x14ac:dyDescent="0.3">
      <c r="A2500" s="7" t="s">
        <v>2512</v>
      </c>
      <c r="B2500" s="8">
        <v>97.860000610351563</v>
      </c>
    </row>
    <row r="2501" spans="1:2" x14ac:dyDescent="0.3">
      <c r="A2501" s="7" t="s">
        <v>2513</v>
      </c>
      <c r="B2501" s="8">
        <v>97.860000610351563</v>
      </c>
    </row>
    <row r="2502" spans="1:2" x14ac:dyDescent="0.3">
      <c r="A2502" s="7" t="s">
        <v>2514</v>
      </c>
      <c r="B2502" s="8">
        <v>97.989997863769531</v>
      </c>
    </row>
    <row r="2503" spans="1:2" x14ac:dyDescent="0.3">
      <c r="A2503" s="7" t="s">
        <v>2515</v>
      </c>
      <c r="B2503" s="8">
        <v>98.010002136230469</v>
      </c>
    </row>
    <row r="2504" spans="1:2" x14ac:dyDescent="0.3">
      <c r="A2504" s="7" t="s">
        <v>2516</v>
      </c>
      <c r="B2504" s="8">
        <v>98.050003051757813</v>
      </c>
    </row>
    <row r="2505" spans="1:2" x14ac:dyDescent="0.3">
      <c r="A2505" s="7" t="s">
        <v>2517</v>
      </c>
      <c r="B2505" s="8">
        <v>98.089996337890625</v>
      </c>
    </row>
    <row r="2506" spans="1:2" x14ac:dyDescent="0.3">
      <c r="A2506" s="7" t="s">
        <v>2518</v>
      </c>
      <c r="B2506" s="8">
        <v>98.089996337890625</v>
      </c>
    </row>
    <row r="2507" spans="1:2" x14ac:dyDescent="0.3">
      <c r="A2507" s="7" t="s">
        <v>2519</v>
      </c>
      <c r="B2507" s="8">
        <v>98.089996337890625</v>
      </c>
    </row>
    <row r="2508" spans="1:2" x14ac:dyDescent="0.3">
      <c r="A2508" s="7" t="s">
        <v>2520</v>
      </c>
      <c r="B2508" s="8">
        <v>98.19000244140625</v>
      </c>
    </row>
    <row r="2509" spans="1:2" x14ac:dyDescent="0.3">
      <c r="A2509" s="7" t="s">
        <v>2521</v>
      </c>
      <c r="B2509" s="8">
        <v>98.209999084472656</v>
      </c>
    </row>
    <row r="2510" spans="1:2" x14ac:dyDescent="0.3">
      <c r="A2510" s="7" t="s">
        <v>2522</v>
      </c>
      <c r="B2510" s="8">
        <v>98.25</v>
      </c>
    </row>
    <row r="2511" spans="1:2" x14ac:dyDescent="0.3">
      <c r="A2511" s="7" t="s">
        <v>2523</v>
      </c>
      <c r="B2511" s="8">
        <v>98.300003051757813</v>
      </c>
    </row>
    <row r="2512" spans="1:2" x14ac:dyDescent="0.3">
      <c r="A2512" s="7" t="s">
        <v>2524</v>
      </c>
      <c r="B2512" s="8">
        <v>98.360000610351563</v>
      </c>
    </row>
    <row r="2513" spans="1:2" x14ac:dyDescent="0.3">
      <c r="A2513" s="7" t="s">
        <v>2525</v>
      </c>
      <c r="B2513" s="8">
        <v>98.360000610351563</v>
      </c>
    </row>
    <row r="2514" spans="1:2" x14ac:dyDescent="0.3">
      <c r="A2514" s="7" t="s">
        <v>2526</v>
      </c>
      <c r="B2514" s="8">
        <v>98.360000610351563</v>
      </c>
    </row>
    <row r="2515" spans="1:2" x14ac:dyDescent="0.3">
      <c r="A2515" s="7" t="s">
        <v>2527</v>
      </c>
      <c r="B2515" s="8">
        <v>98.459999084472656</v>
      </c>
    </row>
    <row r="2516" spans="1:2" x14ac:dyDescent="0.3">
      <c r="A2516" s="7" t="s">
        <v>2528</v>
      </c>
      <c r="B2516" s="8">
        <v>98.470001220703125</v>
      </c>
    </row>
    <row r="2517" spans="1:2" x14ac:dyDescent="0.3">
      <c r="A2517" s="7" t="s">
        <v>2529</v>
      </c>
      <c r="B2517" s="8">
        <v>98.489997863769531</v>
      </c>
    </row>
    <row r="2518" spans="1:2" x14ac:dyDescent="0.3">
      <c r="A2518" s="7" t="s">
        <v>2530</v>
      </c>
      <c r="B2518" s="8">
        <v>98.540000915527344</v>
      </c>
    </row>
    <row r="2519" spans="1:2" x14ac:dyDescent="0.3">
      <c r="A2519" s="7" t="s">
        <v>2531</v>
      </c>
      <c r="B2519" s="8">
        <v>98.55999755859375</v>
      </c>
    </row>
    <row r="2520" spans="1:2" x14ac:dyDescent="0.3">
      <c r="A2520" s="7" t="s">
        <v>2532</v>
      </c>
      <c r="B2520" s="8">
        <v>98.55999755859375</v>
      </c>
    </row>
    <row r="2521" spans="1:2" x14ac:dyDescent="0.3">
      <c r="A2521" s="7" t="s">
        <v>2533</v>
      </c>
      <c r="B2521" s="8">
        <v>98.55999755859375</v>
      </c>
    </row>
    <row r="2522" spans="1:2" x14ac:dyDescent="0.3">
      <c r="A2522" s="7" t="s">
        <v>2534</v>
      </c>
      <c r="B2522" s="8">
        <v>98.629997253417969</v>
      </c>
    </row>
    <row r="2523" spans="1:2" x14ac:dyDescent="0.3">
      <c r="A2523" s="7" t="s">
        <v>2535</v>
      </c>
      <c r="B2523" s="8">
        <v>98.660003662109375</v>
      </c>
    </row>
    <row r="2524" spans="1:2" x14ac:dyDescent="0.3">
      <c r="A2524" s="7" t="s">
        <v>2536</v>
      </c>
      <c r="B2524" s="8">
        <v>98.720001220703125</v>
      </c>
    </row>
    <row r="2525" spans="1:2" x14ac:dyDescent="0.3">
      <c r="A2525" s="7" t="s">
        <v>2537</v>
      </c>
      <c r="B2525" s="8">
        <v>98.739997863769531</v>
      </c>
    </row>
    <row r="2526" spans="1:2" x14ac:dyDescent="0.3">
      <c r="A2526" s="7" t="s">
        <v>2538</v>
      </c>
      <c r="B2526" s="8">
        <v>98.790000915527344</v>
      </c>
    </row>
    <row r="2527" spans="1:2" x14ac:dyDescent="0.3">
      <c r="A2527" s="7" t="s">
        <v>2539</v>
      </c>
      <c r="B2527" s="8">
        <v>98.790000915527344</v>
      </c>
    </row>
    <row r="2528" spans="1:2" x14ac:dyDescent="0.3">
      <c r="A2528" s="7" t="s">
        <v>2540</v>
      </c>
      <c r="B2528" s="8">
        <v>98.790000915527344</v>
      </c>
    </row>
    <row r="2529" spans="1:2" x14ac:dyDescent="0.3">
      <c r="A2529" s="7" t="s">
        <v>2541</v>
      </c>
      <c r="B2529" s="8">
        <v>98.860000610351563</v>
      </c>
    </row>
    <row r="2530" spans="1:2" x14ac:dyDescent="0.3">
      <c r="A2530" s="7" t="s">
        <v>2542</v>
      </c>
      <c r="B2530" s="8">
        <v>98.889999389648438</v>
      </c>
    </row>
    <row r="2531" spans="1:2" x14ac:dyDescent="0.3">
      <c r="A2531" s="7" t="s">
        <v>2543</v>
      </c>
      <c r="B2531" s="8">
        <v>98.919998168945313</v>
      </c>
    </row>
    <row r="2532" spans="1:2" x14ac:dyDescent="0.3">
      <c r="A2532" s="7" t="s">
        <v>2544</v>
      </c>
      <c r="B2532" s="8">
        <v>98.94000244140625</v>
      </c>
    </row>
    <row r="2533" spans="1:2" x14ac:dyDescent="0.3">
      <c r="A2533" s="7" t="s">
        <v>2545</v>
      </c>
      <c r="B2533" s="8">
        <v>98.94000244140625</v>
      </c>
    </row>
    <row r="2534" spans="1:2" x14ac:dyDescent="0.3">
      <c r="A2534" s="7" t="s">
        <v>2546</v>
      </c>
      <c r="B2534" s="8">
        <v>98.94000244140625</v>
      </c>
    </row>
    <row r="2535" spans="1:2" x14ac:dyDescent="0.3">
      <c r="A2535" s="7" t="s">
        <v>2547</v>
      </c>
      <c r="B2535" s="8">
        <v>98.94000244140625</v>
      </c>
    </row>
    <row r="2536" spans="1:2" x14ac:dyDescent="0.3">
      <c r="A2536" s="7" t="s">
        <v>2548</v>
      </c>
      <c r="B2536" s="8">
        <v>98.94000244140625</v>
      </c>
    </row>
    <row r="2537" spans="1:2" x14ac:dyDescent="0.3">
      <c r="A2537" s="7" t="s">
        <v>2549</v>
      </c>
      <c r="B2537" s="8">
        <v>99.089996337890625</v>
      </c>
    </row>
    <row r="2538" spans="1:2" x14ac:dyDescent="0.3">
      <c r="A2538" s="7" t="s">
        <v>2550</v>
      </c>
      <c r="B2538" s="8">
        <v>99.120002746582031</v>
      </c>
    </row>
    <row r="2539" spans="1:2" x14ac:dyDescent="0.3">
      <c r="A2539" s="7" t="s">
        <v>2551</v>
      </c>
      <c r="B2539" s="8">
        <v>99.160003662109375</v>
      </c>
    </row>
    <row r="2540" spans="1:2" x14ac:dyDescent="0.3">
      <c r="A2540" s="7" t="s">
        <v>2552</v>
      </c>
      <c r="B2540" s="8">
        <v>99.180000305175781</v>
      </c>
    </row>
    <row r="2541" spans="1:2" x14ac:dyDescent="0.3">
      <c r="A2541" s="7" t="s">
        <v>2553</v>
      </c>
      <c r="B2541" s="8">
        <v>99.180000305175781</v>
      </c>
    </row>
    <row r="2542" spans="1:2" x14ac:dyDescent="0.3">
      <c r="A2542" s="7" t="s">
        <v>2554</v>
      </c>
      <c r="B2542" s="8">
        <v>99.180000305175781</v>
      </c>
    </row>
    <row r="2543" spans="1:2" x14ac:dyDescent="0.3">
      <c r="A2543" s="7" t="s">
        <v>2555</v>
      </c>
      <c r="B2543" s="8">
        <v>99.269996643066406</v>
      </c>
    </row>
    <row r="2544" spans="1:2" x14ac:dyDescent="0.3">
      <c r="A2544" s="7" t="s">
        <v>2556</v>
      </c>
      <c r="B2544" s="8">
        <v>99.30999755859375</v>
      </c>
    </row>
    <row r="2545" spans="1:2" x14ac:dyDescent="0.3">
      <c r="A2545" s="7" t="s">
        <v>2557</v>
      </c>
      <c r="B2545" s="8">
        <v>99.349998474121094</v>
      </c>
    </row>
    <row r="2546" spans="1:2" x14ac:dyDescent="0.3">
      <c r="A2546" s="7" t="s">
        <v>2558</v>
      </c>
      <c r="B2546" s="8">
        <v>99.370002746582031</v>
      </c>
    </row>
    <row r="2547" spans="1:2" x14ac:dyDescent="0.3">
      <c r="A2547" s="7" t="s">
        <v>2559</v>
      </c>
      <c r="B2547" s="8">
        <v>99.389999389648438</v>
      </c>
    </row>
    <row r="2548" spans="1:2" x14ac:dyDescent="0.3">
      <c r="A2548" s="7" t="s">
        <v>2560</v>
      </c>
      <c r="B2548" s="8">
        <v>99.389999389648438</v>
      </c>
    </row>
    <row r="2549" spans="1:2" x14ac:dyDescent="0.3">
      <c r="A2549" s="7" t="s">
        <v>2561</v>
      </c>
      <c r="B2549" s="8">
        <v>99.389999389648438</v>
      </c>
    </row>
    <row r="2550" spans="1:2" x14ac:dyDescent="0.3">
      <c r="A2550" s="7" t="s">
        <v>2562</v>
      </c>
      <c r="B2550" s="8">
        <v>99.480003356933594</v>
      </c>
    </row>
    <row r="2551" spans="1:2" x14ac:dyDescent="0.3">
      <c r="A2551" s="7" t="s">
        <v>2563</v>
      </c>
      <c r="B2551" s="8">
        <v>99.55999755859375</v>
      </c>
    </row>
    <row r="2552" spans="1:2" x14ac:dyDescent="0.3">
      <c r="A2552" s="7" t="s">
        <v>2564</v>
      </c>
      <c r="B2552" s="8">
        <v>99.650001525878906</v>
      </c>
    </row>
    <row r="2553" spans="1:2" x14ac:dyDescent="0.3">
      <c r="A2553" s="7" t="s">
        <v>2565</v>
      </c>
      <c r="B2553" s="8">
        <v>99.69000244140625</v>
      </c>
    </row>
    <row r="2554" spans="1:2" x14ac:dyDescent="0.3">
      <c r="A2554" s="7" t="s">
        <v>2566</v>
      </c>
      <c r="B2554" s="8">
        <v>99.720001220703125</v>
      </c>
    </row>
    <row r="2555" spans="1:2" x14ac:dyDescent="0.3">
      <c r="A2555" s="7" t="s">
        <v>2567</v>
      </c>
      <c r="B2555" s="8">
        <v>99.720001220703125</v>
      </c>
    </row>
    <row r="2556" spans="1:2" x14ac:dyDescent="0.3">
      <c r="A2556" s="7" t="s">
        <v>2568</v>
      </c>
      <c r="B2556" s="8">
        <v>99.720001220703125</v>
      </c>
    </row>
    <row r="2557" spans="1:2" x14ac:dyDescent="0.3">
      <c r="A2557" s="7" t="s">
        <v>2569</v>
      </c>
      <c r="B2557" s="8">
        <v>99.80999755859375</v>
      </c>
    </row>
    <row r="2558" spans="1:2" x14ac:dyDescent="0.3">
      <c r="A2558" s="7" t="s">
        <v>2570</v>
      </c>
      <c r="B2558" s="8">
        <v>99.860000610351563</v>
      </c>
    </row>
    <row r="2559" spans="1:2" x14ac:dyDescent="0.3">
      <c r="A2559" s="7" t="s">
        <v>2571</v>
      </c>
      <c r="B2559" s="8">
        <v>99.910003662109375</v>
      </c>
    </row>
    <row r="2560" spans="1:2" x14ac:dyDescent="0.3">
      <c r="A2560" s="7" t="s">
        <v>2572</v>
      </c>
      <c r="B2560" s="8">
        <v>99.959999084472656</v>
      </c>
    </row>
    <row r="2561" spans="1:2" x14ac:dyDescent="0.3">
      <c r="A2561" s="7" t="s">
        <v>2573</v>
      </c>
      <c r="B2561" s="8">
        <v>99.94000244140625</v>
      </c>
    </row>
    <row r="2562" spans="1:2" x14ac:dyDescent="0.3">
      <c r="A2562" s="7" t="s">
        <v>2574</v>
      </c>
      <c r="B2562" s="8">
        <v>99.94000244140625</v>
      </c>
    </row>
    <row r="2563" spans="1:2" x14ac:dyDescent="0.3">
      <c r="A2563" s="7" t="s">
        <v>2575</v>
      </c>
      <c r="B2563" s="8">
        <v>99.94000244140625</v>
      </c>
    </row>
    <row r="2564" spans="1:2" x14ac:dyDescent="0.3">
      <c r="A2564" s="7" t="s">
        <v>2576</v>
      </c>
      <c r="B2564" s="8">
        <v>100.08000183105469</v>
      </c>
    </row>
    <row r="2565" spans="1:2" x14ac:dyDescent="0.3">
      <c r="A2565" s="7" t="s">
        <v>2577</v>
      </c>
      <c r="B2565" s="8">
        <v>100.11000061035156</v>
      </c>
    </row>
    <row r="2566" spans="1:2" x14ac:dyDescent="0.3">
      <c r="A2566" s="7" t="s">
        <v>2578</v>
      </c>
      <c r="B2566" s="8">
        <v>100.15000152587891</v>
      </c>
    </row>
    <row r="2567" spans="1:2" x14ac:dyDescent="0.3">
      <c r="A2567" s="7" t="s">
        <v>2579</v>
      </c>
      <c r="B2567" s="8">
        <v>100.15000152587891</v>
      </c>
    </row>
    <row r="2568" spans="1:2" x14ac:dyDescent="0.3">
      <c r="A2568" s="7" t="s">
        <v>2580</v>
      </c>
      <c r="B2568" s="8">
        <v>100.22000122070313</v>
      </c>
    </row>
    <row r="2569" spans="1:2" x14ac:dyDescent="0.3">
      <c r="A2569" s="7" t="s">
        <v>2581</v>
      </c>
      <c r="B2569" s="8">
        <v>100.22000122070313</v>
      </c>
    </row>
    <row r="2570" spans="1:2" x14ac:dyDescent="0.3">
      <c r="A2570" s="7" t="s">
        <v>2582</v>
      </c>
      <c r="B2570" s="8">
        <v>100.22000122070313</v>
      </c>
    </row>
    <row r="2571" spans="1:2" x14ac:dyDescent="0.3">
      <c r="A2571" s="7" t="s">
        <v>2583</v>
      </c>
      <c r="B2571" s="8">
        <v>100.26999664306641</v>
      </c>
    </row>
    <row r="2572" spans="1:2" x14ac:dyDescent="0.3">
      <c r="A2572" s="7" t="s">
        <v>2584</v>
      </c>
      <c r="B2572" s="8">
        <v>100.29000091552734</v>
      </c>
    </row>
    <row r="2573" spans="1:2" x14ac:dyDescent="0.3">
      <c r="A2573" s="7" t="s">
        <v>2585</v>
      </c>
      <c r="B2573" s="8">
        <v>100.34999847412109</v>
      </c>
    </row>
    <row r="2574" spans="1:2" x14ac:dyDescent="0.3">
      <c r="A2574" s="7" t="s">
        <v>2586</v>
      </c>
      <c r="B2574" s="8">
        <v>100.41000366210938</v>
      </c>
    </row>
    <row r="2575" spans="1:2" x14ac:dyDescent="0.3">
      <c r="A2575" s="7" t="s">
        <v>2587</v>
      </c>
      <c r="B2575" s="8">
        <v>100.45999908447266</v>
      </c>
    </row>
    <row r="2576" spans="1:2" x14ac:dyDescent="0.3">
      <c r="A2576" s="7" t="s">
        <v>2588</v>
      </c>
      <c r="B2576" s="8">
        <v>100.45999908447266</v>
      </c>
    </row>
    <row r="2577" spans="1:2" x14ac:dyDescent="0.3">
      <c r="A2577" s="7" t="s">
        <v>2589</v>
      </c>
      <c r="B2577" s="8">
        <v>100.45999908447266</v>
      </c>
    </row>
    <row r="2578" spans="1:2" x14ac:dyDescent="0.3">
      <c r="A2578" s="7" t="s">
        <v>2590</v>
      </c>
      <c r="B2578" s="8">
        <v>100.45999908447266</v>
      </c>
    </row>
    <row r="2579" spans="1:2" x14ac:dyDescent="0.3">
      <c r="A2579" s="7" t="s">
        <v>2591</v>
      </c>
      <c r="B2579" s="8">
        <v>100.56999969482422</v>
      </c>
    </row>
    <row r="2580" spans="1:2" x14ac:dyDescent="0.3">
      <c r="A2580" s="7" t="s">
        <v>2592</v>
      </c>
      <c r="B2580" s="8">
        <v>100.62000274658203</v>
      </c>
    </row>
    <row r="2581" spans="1:2" x14ac:dyDescent="0.3">
      <c r="A2581" s="7" t="s">
        <v>2593</v>
      </c>
      <c r="B2581" s="8">
        <v>100.62000274658203</v>
      </c>
    </row>
    <row r="2582" spans="1:2" x14ac:dyDescent="0.3">
      <c r="A2582" s="7" t="s">
        <v>2594</v>
      </c>
      <c r="B2582" s="8">
        <v>100.80000305175781</v>
      </c>
    </row>
    <row r="2583" spans="1:2" x14ac:dyDescent="0.3">
      <c r="A2583" s="7" t="s">
        <v>2595</v>
      </c>
      <c r="B2583" s="8">
        <v>100.80000305175781</v>
      </c>
    </row>
    <row r="2584" spans="1:2" x14ac:dyDescent="0.3">
      <c r="A2584" s="7" t="s">
        <v>2596</v>
      </c>
      <c r="B2584" s="8">
        <v>100.80000305175781</v>
      </c>
    </row>
    <row r="2585" spans="1:2" x14ac:dyDescent="0.3">
      <c r="A2585" s="7" t="s">
        <v>2597</v>
      </c>
      <c r="B2585" s="8">
        <v>100.94000244140625</v>
      </c>
    </row>
    <row r="2586" spans="1:2" x14ac:dyDescent="0.3">
      <c r="A2586" s="7" t="s">
        <v>2598</v>
      </c>
      <c r="B2586" s="8">
        <v>100.95999908447266</v>
      </c>
    </row>
    <row r="2587" spans="1:2" x14ac:dyDescent="0.3">
      <c r="A2587" s="7" t="s">
        <v>2599</v>
      </c>
      <c r="B2587" s="8">
        <v>101</v>
      </c>
    </row>
    <row r="2588" spans="1:2" x14ac:dyDescent="0.3">
      <c r="A2588" s="7" t="s">
        <v>2600</v>
      </c>
      <c r="B2588" s="8">
        <v>101.09999847412109</v>
      </c>
    </row>
    <row r="2589" spans="1:2" x14ac:dyDescent="0.3">
      <c r="A2589" s="7" t="s">
        <v>2601</v>
      </c>
      <c r="B2589" s="8">
        <v>101.16000366210938</v>
      </c>
    </row>
    <row r="2590" spans="1:2" x14ac:dyDescent="0.3">
      <c r="A2590" s="7" t="s">
        <v>2602</v>
      </c>
      <c r="B2590" s="8">
        <v>101.16000366210938</v>
      </c>
    </row>
    <row r="2591" spans="1:2" x14ac:dyDescent="0.3">
      <c r="A2591" s="7" t="s">
        <v>2603</v>
      </c>
      <c r="B2591" s="8">
        <v>101.16000366210938</v>
      </c>
    </row>
    <row r="2592" spans="1:2" x14ac:dyDescent="0.3">
      <c r="A2592" s="7" t="s">
        <v>2604</v>
      </c>
      <c r="B2592" s="8">
        <v>101.27999877929688</v>
      </c>
    </row>
    <row r="2593" spans="1:2" x14ac:dyDescent="0.3">
      <c r="A2593" s="7" t="s">
        <v>2605</v>
      </c>
      <c r="B2593" s="8">
        <v>101.41999816894531</v>
      </c>
    </row>
    <row r="2594" spans="1:2" x14ac:dyDescent="0.3">
      <c r="A2594" s="7" t="s">
        <v>2606</v>
      </c>
      <c r="B2594" s="8">
        <v>101.41999816894531</v>
      </c>
    </row>
    <row r="2595" spans="1:2" x14ac:dyDescent="0.3">
      <c r="A2595" s="7" t="s">
        <v>2607</v>
      </c>
      <c r="B2595" s="8">
        <v>101.54000091552734</v>
      </c>
    </row>
    <row r="2596" spans="1:2" x14ac:dyDescent="0.3">
      <c r="A2596" s="7" t="s">
        <v>2608</v>
      </c>
      <c r="B2596" s="8">
        <v>101.55000305175781</v>
      </c>
    </row>
    <row r="2597" spans="1:2" x14ac:dyDescent="0.3">
      <c r="A2597" s="7" t="s">
        <v>2609</v>
      </c>
      <c r="B2597" s="8">
        <v>101.55000305175781</v>
      </c>
    </row>
    <row r="2598" spans="1:2" x14ac:dyDescent="0.3">
      <c r="A2598" s="7" t="s">
        <v>2610</v>
      </c>
      <c r="B2598" s="8">
        <v>101.55000305175781</v>
      </c>
    </row>
    <row r="2599" spans="1:2" x14ac:dyDescent="0.3">
      <c r="A2599" s="7" t="s">
        <v>2611</v>
      </c>
      <c r="B2599" s="8">
        <v>101.69999694824219</v>
      </c>
    </row>
    <row r="2600" spans="1:2" x14ac:dyDescent="0.3">
      <c r="A2600" s="7" t="s">
        <v>2612</v>
      </c>
      <c r="B2600" s="8">
        <v>101.77999877929688</v>
      </c>
    </row>
    <row r="2601" spans="1:2" x14ac:dyDescent="0.3">
      <c r="A2601" s="7" t="s">
        <v>2613</v>
      </c>
      <c r="B2601" s="8">
        <v>101.81999969482422</v>
      </c>
    </row>
    <row r="2602" spans="1:2" x14ac:dyDescent="0.3">
      <c r="A2602" s="7" t="s">
        <v>2614</v>
      </c>
      <c r="B2602" s="8">
        <v>101.90000152587891</v>
      </c>
    </row>
    <row r="2603" spans="1:2" x14ac:dyDescent="0.3">
      <c r="A2603" s="7" t="s">
        <v>2615</v>
      </c>
      <c r="B2603" s="8">
        <v>101.98000335693359</v>
      </c>
    </row>
    <row r="2604" spans="1:2" x14ac:dyDescent="0.3">
      <c r="A2604" s="7" t="s">
        <v>2616</v>
      </c>
      <c r="B2604" s="8">
        <v>101.98000335693359</v>
      </c>
    </row>
    <row r="2605" spans="1:2" x14ac:dyDescent="0.3">
      <c r="A2605" s="7" t="s">
        <v>2617</v>
      </c>
      <c r="B2605" s="8">
        <v>101.98000335693359</v>
      </c>
    </row>
    <row r="2606" spans="1:2" x14ac:dyDescent="0.3">
      <c r="A2606" s="7" t="s">
        <v>2618</v>
      </c>
      <c r="B2606" s="8">
        <v>102.12999725341797</v>
      </c>
    </row>
    <row r="2607" spans="1:2" x14ac:dyDescent="0.3">
      <c r="A2607" s="7" t="s">
        <v>2619</v>
      </c>
      <c r="B2607" s="8">
        <v>102.23999786376953</v>
      </c>
    </row>
    <row r="2608" spans="1:2" x14ac:dyDescent="0.3">
      <c r="A2608" s="7" t="s">
        <v>2620</v>
      </c>
      <c r="B2608" s="8">
        <v>102.26000213623047</v>
      </c>
    </row>
    <row r="2609" spans="1:2" x14ac:dyDescent="0.3">
      <c r="A2609" s="7" t="s">
        <v>2621</v>
      </c>
      <c r="B2609" s="8">
        <v>102.30000305175781</v>
      </c>
    </row>
    <row r="2610" spans="1:2" x14ac:dyDescent="0.3">
      <c r="A2610" s="7" t="s">
        <v>2622</v>
      </c>
      <c r="B2610" s="8">
        <v>102.30000305175781</v>
      </c>
    </row>
    <row r="2611" spans="1:2" x14ac:dyDescent="0.3">
      <c r="A2611" s="7" t="s">
        <v>2623</v>
      </c>
      <c r="B2611" s="8">
        <v>102.30000305175781</v>
      </c>
    </row>
    <row r="2612" spans="1:2" x14ac:dyDescent="0.3">
      <c r="A2612" s="7" t="s">
        <v>2624</v>
      </c>
      <c r="B2612" s="8">
        <v>102.30000305175781</v>
      </c>
    </row>
    <row r="2613" spans="1:2" x14ac:dyDescent="0.3">
      <c r="A2613" s="7" t="s">
        <v>2625</v>
      </c>
      <c r="B2613" s="8">
        <v>102.54000091552734</v>
      </c>
    </row>
    <row r="2614" spans="1:2" x14ac:dyDescent="0.3">
      <c r="A2614" s="7" t="s">
        <v>2626</v>
      </c>
      <c r="B2614" s="8">
        <v>102.62000274658203</v>
      </c>
    </row>
    <row r="2615" spans="1:2" x14ac:dyDescent="0.3">
      <c r="A2615" s="7" t="s">
        <v>2627</v>
      </c>
      <c r="B2615" s="8">
        <v>102.68000030517578</v>
      </c>
    </row>
    <row r="2616" spans="1:2" x14ac:dyDescent="0.3">
      <c r="A2616" s="7" t="s">
        <v>2628</v>
      </c>
      <c r="B2616" s="8">
        <v>102.72000122070313</v>
      </c>
    </row>
    <row r="2617" spans="1:2" x14ac:dyDescent="0.3">
      <c r="A2617" s="7" t="s">
        <v>2629</v>
      </c>
      <c r="B2617" s="8">
        <v>102.72000122070313</v>
      </c>
    </row>
    <row r="2618" spans="1:2" x14ac:dyDescent="0.3">
      <c r="A2618" s="7" t="s">
        <v>2630</v>
      </c>
      <c r="B2618" s="8">
        <v>102.72000122070313</v>
      </c>
    </row>
    <row r="2619" spans="1:2" x14ac:dyDescent="0.3">
      <c r="A2619" s="7" t="s">
        <v>2631</v>
      </c>
      <c r="B2619" s="8">
        <v>102.72000122070313</v>
      </c>
    </row>
    <row r="2620" spans="1:2" x14ac:dyDescent="0.3">
      <c r="A2620" s="7" t="s">
        <v>2632</v>
      </c>
      <c r="B2620" s="8">
        <v>103</v>
      </c>
    </row>
    <row r="2621" spans="1:2" x14ac:dyDescent="0.3">
      <c r="A2621" s="7" t="s">
        <v>2633</v>
      </c>
      <c r="B2621" s="8">
        <v>103.08999633789063</v>
      </c>
    </row>
    <row r="2622" spans="1:2" x14ac:dyDescent="0.3">
      <c r="A2622" s="7" t="s">
        <v>2634</v>
      </c>
      <c r="B2622" s="8">
        <v>103.13999938964844</v>
      </c>
    </row>
    <row r="2623" spans="1:2" x14ac:dyDescent="0.3">
      <c r="A2623" s="7" t="s">
        <v>2635</v>
      </c>
      <c r="B2623" s="8">
        <v>103.23999786376953</v>
      </c>
    </row>
    <row r="2624" spans="1:2" x14ac:dyDescent="0.3">
      <c r="A2624" s="7" t="s">
        <v>2636</v>
      </c>
      <c r="B2624" s="8">
        <v>103.27999877929688</v>
      </c>
    </row>
    <row r="2625" spans="1:2" x14ac:dyDescent="0.3">
      <c r="A2625" s="7" t="s">
        <v>2637</v>
      </c>
      <c r="B2625" s="8">
        <v>103.27999877929688</v>
      </c>
    </row>
    <row r="2626" spans="1:2" x14ac:dyDescent="0.3">
      <c r="A2626" s="7" t="s">
        <v>2638</v>
      </c>
      <c r="B2626" s="8">
        <v>103.27999877929688</v>
      </c>
    </row>
    <row r="2627" spans="1:2" x14ac:dyDescent="0.3">
      <c r="A2627" s="7" t="s">
        <v>2639</v>
      </c>
      <c r="B2627" s="8">
        <v>103.51000213623047</v>
      </c>
    </row>
    <row r="2628" spans="1:2" x14ac:dyDescent="0.3">
      <c r="A2628" s="7" t="s">
        <v>2640</v>
      </c>
      <c r="B2628" s="8">
        <v>103.55999755859375</v>
      </c>
    </row>
    <row r="2629" spans="1:2" x14ac:dyDescent="0.3">
      <c r="A2629" s="7" t="s">
        <v>2641</v>
      </c>
      <c r="B2629" s="8">
        <v>103.68000030517578</v>
      </c>
    </row>
    <row r="2630" spans="1:2" x14ac:dyDescent="0.3">
      <c r="A2630" s="7" t="s">
        <v>2642</v>
      </c>
      <c r="B2630" s="8">
        <v>103.76999664306641</v>
      </c>
    </row>
    <row r="2631" spans="1:2" x14ac:dyDescent="0.3">
      <c r="A2631" s="7" t="s">
        <v>2643</v>
      </c>
      <c r="B2631" s="8">
        <v>103.83999633789063</v>
      </c>
    </row>
    <row r="2632" spans="1:2" x14ac:dyDescent="0.3">
      <c r="A2632" s="7" t="s">
        <v>2644</v>
      </c>
      <c r="B2632" s="8">
        <v>103.83999633789063</v>
      </c>
    </row>
    <row r="2633" spans="1:2" x14ac:dyDescent="0.3">
      <c r="A2633" s="7" t="s">
        <v>2645</v>
      </c>
      <c r="B2633" s="8">
        <v>103.83999633789063</v>
      </c>
    </row>
    <row r="2634" spans="1:2" x14ac:dyDescent="0.3">
      <c r="A2634" s="7" t="s">
        <v>2646</v>
      </c>
      <c r="B2634" s="8">
        <v>103.83999633789063</v>
      </c>
    </row>
    <row r="2635" spans="1:2" x14ac:dyDescent="0.3">
      <c r="A2635" s="7" t="s">
        <v>2647</v>
      </c>
      <c r="B2635" s="8">
        <v>104.16999816894531</v>
      </c>
    </row>
    <row r="2636" spans="1:2" x14ac:dyDescent="0.3">
      <c r="A2636" s="7" t="s">
        <v>2648</v>
      </c>
      <c r="B2636" s="8">
        <v>104.23999786376953</v>
      </c>
    </row>
    <row r="2637" spans="1:2" x14ac:dyDescent="0.3">
      <c r="A2637" s="7" t="s">
        <v>2649</v>
      </c>
      <c r="B2637" s="8">
        <v>104.30999755859375</v>
      </c>
    </row>
    <row r="2638" spans="1:2" x14ac:dyDescent="0.3">
      <c r="A2638" s="7" t="s">
        <v>2650</v>
      </c>
      <c r="B2638" s="8">
        <v>104.33999633789063</v>
      </c>
    </row>
    <row r="2639" spans="1:2" x14ac:dyDescent="0.3">
      <c r="A2639" s="7" t="s">
        <v>2651</v>
      </c>
      <c r="B2639" s="8">
        <v>104.33999633789063</v>
      </c>
    </row>
    <row r="2640" spans="1:2" x14ac:dyDescent="0.3">
      <c r="A2640" s="7" t="s">
        <v>2652</v>
      </c>
      <c r="B2640" s="8">
        <v>104.33999633789063</v>
      </c>
    </row>
    <row r="2641" spans="1:2" x14ac:dyDescent="0.3">
      <c r="A2641" s="7" t="s">
        <v>2653</v>
      </c>
      <c r="B2641" s="8">
        <v>104.52999877929688</v>
      </c>
    </row>
    <row r="2642" spans="1:2" x14ac:dyDescent="0.3">
      <c r="A2642" s="7" t="s">
        <v>2654</v>
      </c>
      <c r="B2642" s="8">
        <v>104.62000274658203</v>
      </c>
    </row>
    <row r="2643" spans="1:2" x14ac:dyDescent="0.3">
      <c r="A2643" s="7" t="s">
        <v>2655</v>
      </c>
      <c r="B2643" s="8">
        <v>104.69999694824219</v>
      </c>
    </row>
    <row r="2644" spans="1:2" x14ac:dyDescent="0.3">
      <c r="A2644" s="7" t="s">
        <v>2656</v>
      </c>
      <c r="B2644" s="8">
        <v>104.76999664306641</v>
      </c>
    </row>
    <row r="2645" spans="1:2" x14ac:dyDescent="0.3">
      <c r="A2645" s="7" t="s">
        <v>2657</v>
      </c>
      <c r="B2645" s="8">
        <v>104.83999633789063</v>
      </c>
    </row>
    <row r="2646" spans="1:2" x14ac:dyDescent="0.3">
      <c r="A2646" s="7" t="s">
        <v>2658</v>
      </c>
      <c r="B2646" s="8">
        <v>104.83999633789063</v>
      </c>
    </row>
    <row r="2647" spans="1:2" x14ac:dyDescent="0.3">
      <c r="A2647" s="7" t="s">
        <v>2659</v>
      </c>
      <c r="B2647" s="8">
        <v>104.83999633789063</v>
      </c>
    </row>
    <row r="2648" spans="1:2" x14ac:dyDescent="0.3">
      <c r="A2648" s="7" t="s">
        <v>2660</v>
      </c>
      <c r="B2648" s="8">
        <v>105.01999664306641</v>
      </c>
    </row>
    <row r="2649" spans="1:2" x14ac:dyDescent="0.3">
      <c r="A2649" s="7" t="s">
        <v>2661</v>
      </c>
      <c r="B2649" s="8">
        <v>105.12000274658203</v>
      </c>
    </row>
    <row r="2650" spans="1:2" x14ac:dyDescent="0.3">
      <c r="A2650" s="7" t="s">
        <v>2662</v>
      </c>
      <c r="B2650" s="8">
        <v>105.19999694824219</v>
      </c>
    </row>
    <row r="2651" spans="1:2" x14ac:dyDescent="0.3">
      <c r="A2651" s="7" t="s">
        <v>2663</v>
      </c>
      <c r="B2651" s="8">
        <v>105.30999755859375</v>
      </c>
    </row>
    <row r="2652" spans="1:2" x14ac:dyDescent="0.3">
      <c r="A2652" s="7" t="s">
        <v>2664</v>
      </c>
      <c r="B2652" s="8">
        <v>105.41000366210938</v>
      </c>
    </row>
    <row r="2653" spans="1:2" x14ac:dyDescent="0.3">
      <c r="A2653" s="7" t="s">
        <v>2665</v>
      </c>
      <c r="B2653" s="8">
        <v>105.41000366210938</v>
      </c>
    </row>
    <row r="2654" spans="1:2" x14ac:dyDescent="0.3">
      <c r="A2654" s="7" t="s">
        <v>2666</v>
      </c>
      <c r="B2654" s="8">
        <v>105.41000366210938</v>
      </c>
    </row>
    <row r="2655" spans="1:2" x14ac:dyDescent="0.3">
      <c r="A2655" s="7" t="s">
        <v>2667</v>
      </c>
      <c r="B2655" s="8">
        <v>105.68000030517578</v>
      </c>
    </row>
    <row r="2656" spans="1:2" x14ac:dyDescent="0.3">
      <c r="A2656" s="7" t="s">
        <v>2668</v>
      </c>
      <c r="B2656" s="8">
        <v>105.81999969482422</v>
      </c>
    </row>
    <row r="2657" spans="1:2" x14ac:dyDescent="0.3">
      <c r="A2657" s="7" t="s">
        <v>2669</v>
      </c>
      <c r="B2657" s="8">
        <v>105.88999938964844</v>
      </c>
    </row>
    <row r="2658" spans="1:2" x14ac:dyDescent="0.3">
      <c r="A2658" s="7" t="s">
        <v>2670</v>
      </c>
      <c r="B2658" s="8">
        <v>106.01000213623047</v>
      </c>
    </row>
    <row r="2659" spans="1:2" x14ac:dyDescent="0.3">
      <c r="A2659" s="7" t="s">
        <v>2671</v>
      </c>
      <c r="B2659" s="8">
        <v>106.15000152587891</v>
      </c>
    </row>
    <row r="2660" spans="1:2" x14ac:dyDescent="0.3">
      <c r="A2660" s="7" t="s">
        <v>2672</v>
      </c>
      <c r="B2660" s="8">
        <v>106.15000152587891</v>
      </c>
    </row>
    <row r="2661" spans="1:2" x14ac:dyDescent="0.3">
      <c r="A2661" s="7" t="s">
        <v>2673</v>
      </c>
      <c r="B2661" s="8">
        <v>106.15000152587891</v>
      </c>
    </row>
    <row r="2662" spans="1:2" x14ac:dyDescent="0.3">
      <c r="A2662" s="7" t="s">
        <v>2674</v>
      </c>
      <c r="B2662" s="8">
        <v>106.36000061035156</v>
      </c>
    </row>
    <row r="2663" spans="1:2" x14ac:dyDescent="0.3">
      <c r="A2663" s="7" t="s">
        <v>2675</v>
      </c>
      <c r="B2663" s="8">
        <v>106.47000122070313</v>
      </c>
    </row>
    <row r="2664" spans="1:2" x14ac:dyDescent="0.3">
      <c r="A2664" s="7" t="s">
        <v>2676</v>
      </c>
      <c r="B2664" s="8">
        <v>106.58000183105469</v>
      </c>
    </row>
    <row r="2665" spans="1:2" x14ac:dyDescent="0.3">
      <c r="A2665" s="7" t="s">
        <v>2677</v>
      </c>
      <c r="B2665" s="8">
        <v>106.66999816894531</v>
      </c>
    </row>
    <row r="2666" spans="1:2" x14ac:dyDescent="0.3">
      <c r="A2666" s="7" t="s">
        <v>2678</v>
      </c>
      <c r="B2666" s="8">
        <v>106.77999877929688</v>
      </c>
    </row>
    <row r="2667" spans="1:2" x14ac:dyDescent="0.3">
      <c r="A2667" s="7" t="s">
        <v>2679</v>
      </c>
      <c r="B2667" s="8">
        <v>106.77999877929688</v>
      </c>
    </row>
    <row r="2668" spans="1:2" x14ac:dyDescent="0.3">
      <c r="A2668" s="7" t="s">
        <v>2680</v>
      </c>
      <c r="B2668" s="8">
        <v>106.77999877929688</v>
      </c>
    </row>
    <row r="2669" spans="1:2" x14ac:dyDescent="0.3">
      <c r="A2669" s="7" t="s">
        <v>2681</v>
      </c>
      <c r="B2669" s="8">
        <v>106.77999877929688</v>
      </c>
    </row>
    <row r="2670" spans="1:2" x14ac:dyDescent="0.3">
      <c r="A2670" s="7" t="s">
        <v>2682</v>
      </c>
      <c r="B2670" s="8">
        <v>107.19000244140625</v>
      </c>
    </row>
    <row r="2671" spans="1:2" x14ac:dyDescent="0.3">
      <c r="A2671" s="7" t="s">
        <v>2683</v>
      </c>
      <c r="B2671" s="8">
        <v>107.27999877929688</v>
      </c>
    </row>
    <row r="2672" spans="1:2" x14ac:dyDescent="0.3">
      <c r="A2672" s="7" t="s">
        <v>2684</v>
      </c>
      <c r="B2672" s="8">
        <v>107.37999725341797</v>
      </c>
    </row>
    <row r="2673" spans="1:2" x14ac:dyDescent="0.3">
      <c r="A2673" s="7" t="s">
        <v>2685</v>
      </c>
      <c r="B2673" s="8">
        <v>107.44999694824219</v>
      </c>
    </row>
    <row r="2674" spans="1:2" x14ac:dyDescent="0.3">
      <c r="A2674" s="7" t="s">
        <v>2686</v>
      </c>
      <c r="B2674" s="8">
        <v>107.44999694824219</v>
      </c>
    </row>
    <row r="2675" spans="1:2" x14ac:dyDescent="0.3">
      <c r="A2675" s="7" t="s">
        <v>2687</v>
      </c>
      <c r="B2675" s="8">
        <v>107.44999694824219</v>
      </c>
    </row>
    <row r="2676" spans="1:2" x14ac:dyDescent="0.3">
      <c r="A2676" s="7" t="s">
        <v>2688</v>
      </c>
      <c r="B2676" s="8">
        <v>107.44999694824219</v>
      </c>
    </row>
    <row r="2677" spans="1:2" x14ac:dyDescent="0.3">
      <c r="A2677" s="7" t="s">
        <v>2689</v>
      </c>
      <c r="B2677" s="8">
        <v>107.44999694824219</v>
      </c>
    </row>
    <row r="2678" spans="1:2" x14ac:dyDescent="0.3">
      <c r="A2678" s="7" t="s">
        <v>2690</v>
      </c>
      <c r="B2678" s="8">
        <v>107.93000030517578</v>
      </c>
    </row>
    <row r="2679" spans="1:2" x14ac:dyDescent="0.3">
      <c r="A2679" s="7" t="s">
        <v>2691</v>
      </c>
      <c r="B2679" s="8">
        <v>108.02999877929688</v>
      </c>
    </row>
    <row r="2680" spans="1:2" x14ac:dyDescent="0.3">
      <c r="A2680" s="7" t="s">
        <v>2692</v>
      </c>
      <c r="B2680" s="8">
        <v>108.12999725341797</v>
      </c>
    </row>
    <row r="2681" spans="1:2" x14ac:dyDescent="0.3">
      <c r="A2681" s="7" t="s">
        <v>2693</v>
      </c>
      <c r="B2681" s="8">
        <v>108.12999725341797</v>
      </c>
    </row>
    <row r="2682" spans="1:2" x14ac:dyDescent="0.3">
      <c r="A2682" s="7" t="s">
        <v>2694</v>
      </c>
      <c r="B2682" s="8">
        <v>108.12999725341797</v>
      </c>
    </row>
    <row r="2683" spans="1:2" x14ac:dyDescent="0.3">
      <c r="A2683" s="7" t="s">
        <v>2695</v>
      </c>
      <c r="B2683" s="8">
        <v>108.44000244140625</v>
      </c>
    </row>
    <row r="2684" spans="1:2" x14ac:dyDescent="0.3">
      <c r="A2684" s="7" t="s">
        <v>2696</v>
      </c>
      <c r="B2684" s="8">
        <v>108.55999755859375</v>
      </c>
    </row>
    <row r="2685" spans="1:2" x14ac:dyDescent="0.3">
      <c r="A2685" s="7" t="s">
        <v>2697</v>
      </c>
      <c r="B2685" s="8">
        <v>108.68000030517578</v>
      </c>
    </row>
    <row r="2686" spans="1:2" x14ac:dyDescent="0.3">
      <c r="A2686" s="7" t="s">
        <v>2698</v>
      </c>
      <c r="B2686" s="8">
        <v>108.76999664306641</v>
      </c>
    </row>
    <row r="2687" spans="1:2" x14ac:dyDescent="0.3">
      <c r="A2687" s="7" t="s">
        <v>2699</v>
      </c>
      <c r="B2687" s="8">
        <v>108.87999725341797</v>
      </c>
    </row>
    <row r="2688" spans="1:2" x14ac:dyDescent="0.3">
      <c r="A2688" s="7" t="s">
        <v>2700</v>
      </c>
      <c r="B2688" s="8">
        <v>108.87999725341797</v>
      </c>
    </row>
    <row r="2689" spans="1:2" x14ac:dyDescent="0.3">
      <c r="A2689" s="7" t="s">
        <v>2701</v>
      </c>
      <c r="B2689" s="8">
        <v>108.87999725341797</v>
      </c>
    </row>
    <row r="2690" spans="1:2" x14ac:dyDescent="0.3">
      <c r="A2690" s="7" t="s">
        <v>2702</v>
      </c>
      <c r="B2690" s="8">
        <v>109.19999694824219</v>
      </c>
    </row>
    <row r="2691" spans="1:2" x14ac:dyDescent="0.3">
      <c r="A2691" s="7" t="s">
        <v>2703</v>
      </c>
      <c r="B2691" s="8">
        <v>109.31999969482422</v>
      </c>
    </row>
    <row r="2692" spans="1:2" x14ac:dyDescent="0.3">
      <c r="A2692" s="7" t="s">
        <v>2704</v>
      </c>
      <c r="B2692" s="8">
        <v>109.41000366210938</v>
      </c>
    </row>
    <row r="2693" spans="1:2" x14ac:dyDescent="0.3">
      <c r="A2693" s="7" t="s">
        <v>2705</v>
      </c>
      <c r="B2693" s="8">
        <v>109.51000213623047</v>
      </c>
    </row>
    <row r="2694" spans="1:2" x14ac:dyDescent="0.3">
      <c r="A2694" s="7" t="s">
        <v>2706</v>
      </c>
      <c r="B2694" s="8">
        <v>109.69999694824219</v>
      </c>
    </row>
    <row r="2695" spans="1:2" x14ac:dyDescent="0.3">
      <c r="A2695" s="7" t="s">
        <v>2707</v>
      </c>
      <c r="B2695" s="8">
        <v>109.69999694824219</v>
      </c>
    </row>
    <row r="2696" spans="1:2" x14ac:dyDescent="0.3">
      <c r="A2696" s="7" t="s">
        <v>2708</v>
      </c>
      <c r="B2696" s="8">
        <v>109.69999694824219</v>
      </c>
    </row>
    <row r="2697" spans="1:2" x14ac:dyDescent="0.3">
      <c r="A2697" s="7" t="s">
        <v>2709</v>
      </c>
      <c r="B2697" s="8">
        <v>109.97000122070313</v>
      </c>
    </row>
    <row r="2698" spans="1:2" x14ac:dyDescent="0.3">
      <c r="A2698" s="7" t="s">
        <v>2710</v>
      </c>
      <c r="B2698" s="8">
        <v>110.06999969482422</v>
      </c>
    </row>
    <row r="2699" spans="1:2" x14ac:dyDescent="0.3">
      <c r="A2699" s="7" t="s">
        <v>2711</v>
      </c>
      <c r="B2699" s="8">
        <v>110.18000030517578</v>
      </c>
    </row>
    <row r="2700" spans="1:2" x14ac:dyDescent="0.3">
      <c r="A2700" s="7" t="s">
        <v>2712</v>
      </c>
      <c r="B2700" s="8">
        <v>110.18000030517578</v>
      </c>
    </row>
    <row r="2701" spans="1:2" x14ac:dyDescent="0.3">
      <c r="A2701" s="7" t="s">
        <v>2713</v>
      </c>
      <c r="B2701" s="8">
        <v>110.37999725341797</v>
      </c>
    </row>
    <row r="2702" spans="1:2" x14ac:dyDescent="0.3">
      <c r="A2702" s="7" t="s">
        <v>2714</v>
      </c>
      <c r="B2702" s="8">
        <v>110.37999725341797</v>
      </c>
    </row>
    <row r="2703" spans="1:2" x14ac:dyDescent="0.3">
      <c r="A2703" s="7" t="s">
        <v>2715</v>
      </c>
      <c r="B2703" s="8">
        <v>110.37999725341797</v>
      </c>
    </row>
    <row r="2704" spans="1:2" x14ac:dyDescent="0.3">
      <c r="A2704" s="7" t="s">
        <v>2716</v>
      </c>
      <c r="B2704" s="8">
        <v>110.68000030517578</v>
      </c>
    </row>
    <row r="2705" spans="1:2" x14ac:dyDescent="0.3">
      <c r="A2705" s="7" t="s">
        <v>2717</v>
      </c>
      <c r="B2705" s="8">
        <v>110.81999969482422</v>
      </c>
    </row>
    <row r="2706" spans="1:2" x14ac:dyDescent="0.3">
      <c r="A2706" s="7" t="s">
        <v>2718</v>
      </c>
      <c r="B2706" s="8">
        <v>110.88999938964844</v>
      </c>
    </row>
    <row r="2707" spans="1:2" x14ac:dyDescent="0.3">
      <c r="A2707" s="7" t="s">
        <v>2719</v>
      </c>
      <c r="B2707" s="8">
        <v>111.01000213623047</v>
      </c>
    </row>
    <row r="2708" spans="1:2" x14ac:dyDescent="0.3">
      <c r="A2708" s="7" t="s">
        <v>2720</v>
      </c>
      <c r="B2708" s="8">
        <v>111.12000274658203</v>
      </c>
    </row>
    <row r="2709" spans="1:2" x14ac:dyDescent="0.3">
      <c r="A2709" s="7" t="s">
        <v>2721</v>
      </c>
      <c r="B2709" s="8">
        <v>111.12000274658203</v>
      </c>
    </row>
    <row r="2710" spans="1:2" x14ac:dyDescent="0.3">
      <c r="A2710" s="7" t="s">
        <v>2722</v>
      </c>
      <c r="B2710" s="8">
        <v>111.12000274658203</v>
      </c>
    </row>
    <row r="2711" spans="1:2" x14ac:dyDescent="0.3">
      <c r="A2711" s="7" t="s">
        <v>2723</v>
      </c>
      <c r="B2711" s="8">
        <v>111.56999969482422</v>
      </c>
    </row>
    <row r="2712" spans="1:2" x14ac:dyDescent="0.3">
      <c r="A2712" s="7" t="s">
        <v>2724</v>
      </c>
      <c r="B2712" s="8">
        <v>111.69999694824219</v>
      </c>
    </row>
    <row r="2713" spans="1:2" x14ac:dyDescent="0.3">
      <c r="A2713" s="7" t="s">
        <v>2725</v>
      </c>
      <c r="B2713" s="8">
        <v>111.83000183105469</v>
      </c>
    </row>
    <row r="2714" spans="1:2" x14ac:dyDescent="0.3">
      <c r="A2714" s="7" t="s">
        <v>2726</v>
      </c>
      <c r="B2714" s="8">
        <v>111.97000122070313</v>
      </c>
    </row>
    <row r="2715" spans="1:2" x14ac:dyDescent="0.3">
      <c r="A2715" s="7" t="s">
        <v>2727</v>
      </c>
      <c r="B2715" s="8">
        <v>112.16000366210938</v>
      </c>
    </row>
    <row r="2716" spans="1:2" x14ac:dyDescent="0.3">
      <c r="A2716" s="7" t="s">
        <v>2728</v>
      </c>
      <c r="B2716" s="8">
        <v>112.16000366210938</v>
      </c>
    </row>
    <row r="2717" spans="1:2" x14ac:dyDescent="0.3">
      <c r="A2717" s="7" t="s">
        <v>2729</v>
      </c>
      <c r="B2717" s="8">
        <v>112.16000366210938</v>
      </c>
    </row>
    <row r="2718" spans="1:2" x14ac:dyDescent="0.3">
      <c r="A2718" s="7" t="s">
        <v>2730</v>
      </c>
      <c r="B2718" s="8">
        <v>112.58000183105469</v>
      </c>
    </row>
    <row r="2719" spans="1:2" x14ac:dyDescent="0.3">
      <c r="A2719" s="7" t="s">
        <v>2731</v>
      </c>
      <c r="B2719" s="8">
        <v>112.76000213623047</v>
      </c>
    </row>
    <row r="2720" spans="1:2" x14ac:dyDescent="0.3">
      <c r="A2720" s="7" t="s">
        <v>2732</v>
      </c>
      <c r="B2720" s="8">
        <v>112.97000122070313</v>
      </c>
    </row>
    <row r="2721" spans="1:2" x14ac:dyDescent="0.3">
      <c r="A2721" s="7" t="s">
        <v>2733</v>
      </c>
      <c r="B2721" s="8">
        <v>112.97000122070313</v>
      </c>
    </row>
    <row r="2722" spans="1:2" x14ac:dyDescent="0.3">
      <c r="A2722" s="7" t="s">
        <v>2734</v>
      </c>
      <c r="B2722" s="8">
        <v>112.97000122070313</v>
      </c>
    </row>
    <row r="2723" spans="1:2" x14ac:dyDescent="0.3">
      <c r="A2723" s="7" t="s">
        <v>2735</v>
      </c>
      <c r="B2723" s="8">
        <v>112.97000122070313</v>
      </c>
    </row>
    <row r="2724" spans="1:2" x14ac:dyDescent="0.3">
      <c r="A2724" s="7" t="s">
        <v>2736</v>
      </c>
      <c r="B2724" s="8">
        <v>112.97000122070313</v>
      </c>
    </row>
    <row r="2725" spans="1:2" x14ac:dyDescent="0.3">
      <c r="A2725" s="7" t="s">
        <v>2737</v>
      </c>
      <c r="B2725" s="8">
        <v>113.62999725341797</v>
      </c>
    </row>
    <row r="2726" spans="1:2" x14ac:dyDescent="0.3">
      <c r="A2726" s="7" t="s">
        <v>2738</v>
      </c>
      <c r="B2726" s="8">
        <v>113.77999877929688</v>
      </c>
    </row>
    <row r="2727" spans="1:2" x14ac:dyDescent="0.3">
      <c r="A2727" s="7" t="s">
        <v>2739</v>
      </c>
      <c r="B2727" s="8">
        <v>113.95999908447266</v>
      </c>
    </row>
    <row r="2728" spans="1:2" x14ac:dyDescent="0.3">
      <c r="A2728" s="7" t="s">
        <v>2740</v>
      </c>
      <c r="B2728" s="8">
        <v>114.08999633789063</v>
      </c>
    </row>
    <row r="2729" spans="1:2" x14ac:dyDescent="0.3">
      <c r="A2729" s="7" t="s">
        <v>2741</v>
      </c>
      <c r="B2729" s="8">
        <v>114.23000335693359</v>
      </c>
    </row>
    <row r="2730" spans="1:2" x14ac:dyDescent="0.3">
      <c r="A2730" s="7" t="s">
        <v>2742</v>
      </c>
      <c r="B2730" s="8">
        <v>114.23000335693359</v>
      </c>
    </row>
    <row r="2731" spans="1:2" x14ac:dyDescent="0.3">
      <c r="A2731" s="7" t="s">
        <v>2743</v>
      </c>
      <c r="B2731" s="8">
        <v>114.23000335693359</v>
      </c>
    </row>
    <row r="2732" spans="1:2" x14ac:dyDescent="0.3">
      <c r="A2732" s="7" t="s">
        <v>2744</v>
      </c>
      <c r="B2732" s="8">
        <v>114.68000030517578</v>
      </c>
    </row>
    <row r="2733" spans="1:2" x14ac:dyDescent="0.3">
      <c r="A2733" s="7" t="s">
        <v>2745</v>
      </c>
      <c r="B2733" s="8">
        <v>114.84999847412109</v>
      </c>
    </row>
    <row r="2734" spans="1:2" x14ac:dyDescent="0.3">
      <c r="A2734" s="7" t="s">
        <v>2746</v>
      </c>
      <c r="B2734" s="8">
        <v>115.04000091552734</v>
      </c>
    </row>
    <row r="2735" spans="1:2" x14ac:dyDescent="0.3">
      <c r="A2735" s="7" t="s">
        <v>2747</v>
      </c>
      <c r="B2735" s="8">
        <v>115.18000030517578</v>
      </c>
    </row>
    <row r="2736" spans="1:2" x14ac:dyDescent="0.3">
      <c r="A2736" s="7" t="s">
        <v>2748</v>
      </c>
      <c r="B2736" s="8">
        <v>115.30999755859375</v>
      </c>
    </row>
    <row r="2737" spans="1:2" x14ac:dyDescent="0.3">
      <c r="A2737" s="7" t="s">
        <v>2749</v>
      </c>
      <c r="B2737" s="8">
        <v>115.30999755859375</v>
      </c>
    </row>
    <row r="2738" spans="1:2" x14ac:dyDescent="0.3">
      <c r="A2738" s="7" t="s">
        <v>2750</v>
      </c>
      <c r="B2738" s="8">
        <v>115.30999755859375</v>
      </c>
    </row>
    <row r="2739" spans="1:2" x14ac:dyDescent="0.3">
      <c r="A2739" s="7" t="s">
        <v>2751</v>
      </c>
      <c r="B2739" s="8">
        <v>115.73000335693359</v>
      </c>
    </row>
    <row r="2740" spans="1:2" x14ac:dyDescent="0.3">
      <c r="A2740" s="7" t="s">
        <v>2752</v>
      </c>
      <c r="B2740" s="8">
        <v>115.87000274658203</v>
      </c>
    </row>
    <row r="2741" spans="1:2" x14ac:dyDescent="0.3">
      <c r="A2741" s="7" t="s">
        <v>2753</v>
      </c>
      <c r="B2741" s="8">
        <v>116.01999664306641</v>
      </c>
    </row>
    <row r="2742" spans="1:2" x14ac:dyDescent="0.3">
      <c r="A2742" s="7" t="s">
        <v>2754</v>
      </c>
      <c r="B2742" s="8">
        <v>116.16000366210938</v>
      </c>
    </row>
    <row r="2743" spans="1:2" x14ac:dyDescent="0.3">
      <c r="A2743" s="7" t="s">
        <v>2755</v>
      </c>
      <c r="B2743" s="8">
        <v>116.30000305175781</v>
      </c>
    </row>
    <row r="2744" spans="1:2" x14ac:dyDescent="0.3">
      <c r="A2744" s="7" t="s">
        <v>2756</v>
      </c>
      <c r="B2744" s="8">
        <v>116.30000305175781</v>
      </c>
    </row>
    <row r="2745" spans="1:2" x14ac:dyDescent="0.3">
      <c r="A2745" s="7" t="s">
        <v>2757</v>
      </c>
      <c r="B2745" s="8">
        <v>116.30000305175781</v>
      </c>
    </row>
    <row r="2746" spans="1:2" x14ac:dyDescent="0.3">
      <c r="A2746" s="7" t="s">
        <v>2758</v>
      </c>
      <c r="B2746" s="8">
        <v>116.75</v>
      </c>
    </row>
    <row r="2747" spans="1:2" x14ac:dyDescent="0.3">
      <c r="A2747" s="7" t="s">
        <v>2759</v>
      </c>
      <c r="B2747" s="8">
        <v>116.93000030517578</v>
      </c>
    </row>
    <row r="2748" spans="1:2" x14ac:dyDescent="0.3">
      <c r="A2748" s="7" t="s">
        <v>2760</v>
      </c>
      <c r="B2748" s="8">
        <v>117.08000183105469</v>
      </c>
    </row>
    <row r="2749" spans="1:2" x14ac:dyDescent="0.3">
      <c r="A2749" s="7" t="s">
        <v>2761</v>
      </c>
      <c r="B2749" s="8">
        <v>117.25</v>
      </c>
    </row>
    <row r="2750" spans="1:2" x14ac:dyDescent="0.3">
      <c r="A2750" s="7" t="s">
        <v>2762</v>
      </c>
      <c r="B2750" s="8">
        <v>117.43000030517578</v>
      </c>
    </row>
    <row r="2751" spans="1:2" x14ac:dyDescent="0.3">
      <c r="A2751" s="7" t="s">
        <v>2763</v>
      </c>
      <c r="B2751" s="8">
        <v>117.43000030517578</v>
      </c>
    </row>
    <row r="2752" spans="1:2" x14ac:dyDescent="0.3">
      <c r="A2752" s="7" t="s">
        <v>2764</v>
      </c>
      <c r="B2752" s="8">
        <v>117.43000030517578</v>
      </c>
    </row>
    <row r="2753" spans="1:2" x14ac:dyDescent="0.3">
      <c r="A2753" s="7" t="s">
        <v>2765</v>
      </c>
      <c r="B2753" s="8">
        <v>117.86000061035156</v>
      </c>
    </row>
    <row r="2754" spans="1:2" x14ac:dyDescent="0.3">
      <c r="A2754" s="7" t="s">
        <v>2766</v>
      </c>
      <c r="B2754" s="8">
        <v>118.06999969482422</v>
      </c>
    </row>
    <row r="2755" spans="1:2" x14ac:dyDescent="0.3">
      <c r="A2755" s="7" t="s">
        <v>2767</v>
      </c>
      <c r="B2755" s="8">
        <v>118.06999969482422</v>
      </c>
    </row>
    <row r="2756" spans="1:2" x14ac:dyDescent="0.3">
      <c r="A2756" s="7" t="s">
        <v>2768</v>
      </c>
      <c r="B2756" s="8">
        <v>118.33999633789063</v>
      </c>
    </row>
    <row r="2757" spans="1:2" x14ac:dyDescent="0.3">
      <c r="A2757" s="7" t="s">
        <v>2769</v>
      </c>
      <c r="B2757" s="8">
        <v>118.48000335693359</v>
      </c>
    </row>
    <row r="2758" spans="1:2" x14ac:dyDescent="0.3">
      <c r="A2758" s="7" t="s">
        <v>2770</v>
      </c>
      <c r="B2758" s="8">
        <v>118.48000335693359</v>
      </c>
    </row>
    <row r="2759" spans="1:2" x14ac:dyDescent="0.3">
      <c r="A2759" s="7" t="s">
        <v>2771</v>
      </c>
      <c r="B2759" s="8">
        <v>118.48000335693359</v>
      </c>
    </row>
    <row r="2760" spans="1:2" x14ac:dyDescent="0.3">
      <c r="A2760" s="7" t="s">
        <v>2772</v>
      </c>
      <c r="B2760" s="8">
        <v>118.94000244140625</v>
      </c>
    </row>
    <row r="2761" spans="1:2" x14ac:dyDescent="0.3">
      <c r="A2761" s="7" t="s">
        <v>2773</v>
      </c>
      <c r="B2761" s="8">
        <v>119.11000061035156</v>
      </c>
    </row>
    <row r="2762" spans="1:2" x14ac:dyDescent="0.3">
      <c r="A2762" s="7" t="s">
        <v>2774</v>
      </c>
      <c r="B2762" s="8">
        <v>119.11000061035156</v>
      </c>
    </row>
    <row r="2763" spans="1:2" x14ac:dyDescent="0.3">
      <c r="A2763" s="7" t="s">
        <v>2775</v>
      </c>
      <c r="B2763" s="8">
        <v>119.41000366210938</v>
      </c>
    </row>
    <row r="2764" spans="1:2" x14ac:dyDescent="0.3">
      <c r="A2764" s="7" t="s">
        <v>2776</v>
      </c>
      <c r="B2764" s="8">
        <v>119.55000305175781</v>
      </c>
    </row>
    <row r="2765" spans="1:2" x14ac:dyDescent="0.3">
      <c r="A2765" s="7" t="s">
        <v>2777</v>
      </c>
      <c r="B2765" s="8">
        <v>119.55000305175781</v>
      </c>
    </row>
    <row r="2766" spans="1:2" x14ac:dyDescent="0.3">
      <c r="A2766" s="7" t="s">
        <v>2778</v>
      </c>
      <c r="B2766" s="8">
        <v>119.55000305175781</v>
      </c>
    </row>
    <row r="2767" spans="1:2" x14ac:dyDescent="0.3">
      <c r="A2767" s="7" t="s">
        <v>2779</v>
      </c>
      <c r="B2767" s="8">
        <v>119.55000305175781</v>
      </c>
    </row>
    <row r="2768" spans="1:2" x14ac:dyDescent="0.3">
      <c r="A2768" s="7" t="s">
        <v>2780</v>
      </c>
      <c r="B2768" s="8">
        <v>120.19999694824219</v>
      </c>
    </row>
    <row r="2769" spans="1:2" x14ac:dyDescent="0.3">
      <c r="A2769" s="7" t="s">
        <v>2781</v>
      </c>
      <c r="B2769" s="8">
        <v>120.31999969482422</v>
      </c>
    </row>
    <row r="2770" spans="1:2" x14ac:dyDescent="0.3">
      <c r="A2770" s="7" t="s">
        <v>2782</v>
      </c>
      <c r="B2770" s="8">
        <v>120.45999908447266</v>
      </c>
    </row>
    <row r="2771" spans="1:2" x14ac:dyDescent="0.3">
      <c r="A2771" s="7" t="s">
        <v>2783</v>
      </c>
      <c r="B2771" s="8">
        <v>120.68000030517578</v>
      </c>
    </row>
    <row r="2772" spans="1:2" x14ac:dyDescent="0.3">
      <c r="A2772" s="7" t="s">
        <v>2784</v>
      </c>
      <c r="B2772" s="8">
        <v>120.68000030517578</v>
      </c>
    </row>
    <row r="2773" spans="1:2" x14ac:dyDescent="0.3">
      <c r="A2773" s="7" t="s">
        <v>2785</v>
      </c>
      <c r="B2773" s="8">
        <v>120.68000030517578</v>
      </c>
    </row>
    <row r="2774" spans="1:2" x14ac:dyDescent="0.3">
      <c r="A2774" s="7" t="s">
        <v>2786</v>
      </c>
      <c r="B2774" s="8">
        <v>121.11000061035156</v>
      </c>
    </row>
    <row r="2775" spans="1:2" x14ac:dyDescent="0.3">
      <c r="A2775" s="7" t="s">
        <v>2787</v>
      </c>
      <c r="B2775" s="8">
        <v>121.29000091552734</v>
      </c>
    </row>
    <row r="2776" spans="1:2" x14ac:dyDescent="0.3">
      <c r="A2776" s="7" t="s">
        <v>2788</v>
      </c>
      <c r="B2776" s="8">
        <v>121.44999694824219</v>
      </c>
    </row>
    <row r="2777" spans="1:2" x14ac:dyDescent="0.3">
      <c r="A2777" s="7" t="s">
        <v>2789</v>
      </c>
      <c r="B2777" s="8">
        <v>121.62000274658203</v>
      </c>
    </row>
    <row r="2778" spans="1:2" x14ac:dyDescent="0.3">
      <c r="A2778" s="7" t="s">
        <v>2790</v>
      </c>
      <c r="B2778" s="8">
        <v>121.79000091552734</v>
      </c>
    </row>
    <row r="2779" spans="1:2" x14ac:dyDescent="0.3">
      <c r="A2779" s="7" t="s">
        <v>2791</v>
      </c>
      <c r="B2779" s="8">
        <v>121.79000091552734</v>
      </c>
    </row>
    <row r="2780" spans="1:2" x14ac:dyDescent="0.3">
      <c r="A2780" s="7" t="s">
        <v>2792</v>
      </c>
      <c r="B2780" s="8">
        <v>121.79000091552734</v>
      </c>
    </row>
    <row r="2781" spans="1:2" x14ac:dyDescent="0.3">
      <c r="A2781" s="7" t="s">
        <v>2793</v>
      </c>
      <c r="B2781" s="8">
        <v>122.30000305175781</v>
      </c>
    </row>
    <row r="2782" spans="1:2" x14ac:dyDescent="0.3">
      <c r="A2782" s="7" t="s">
        <v>2794</v>
      </c>
      <c r="B2782" s="8">
        <v>122.5</v>
      </c>
    </row>
    <row r="2783" spans="1:2" x14ac:dyDescent="0.3">
      <c r="A2783" s="7" t="s">
        <v>2795</v>
      </c>
      <c r="B2783" s="8">
        <v>122.69999694824219</v>
      </c>
    </row>
    <row r="2784" spans="1:2" x14ac:dyDescent="0.3">
      <c r="A2784" s="7" t="s">
        <v>2796</v>
      </c>
      <c r="B2784" s="8">
        <v>122.91999816894531</v>
      </c>
    </row>
    <row r="2785" spans="1:2" x14ac:dyDescent="0.3">
      <c r="A2785" s="7" t="s">
        <v>2797</v>
      </c>
      <c r="B2785" s="8">
        <v>122.91999816894531</v>
      </c>
    </row>
    <row r="2786" spans="1:2" x14ac:dyDescent="0.3">
      <c r="A2786" s="7" t="s">
        <v>2798</v>
      </c>
      <c r="B2786" s="8">
        <v>122.91999816894531</v>
      </c>
    </row>
    <row r="2787" spans="1:2" x14ac:dyDescent="0.3">
      <c r="A2787" s="7" t="s">
        <v>2799</v>
      </c>
      <c r="B2787" s="8">
        <v>122.91999816894531</v>
      </c>
    </row>
    <row r="2788" spans="1:2" x14ac:dyDescent="0.3">
      <c r="A2788" s="7" t="s">
        <v>2800</v>
      </c>
      <c r="B2788" s="8">
        <v>122.91999816894531</v>
      </c>
    </row>
    <row r="2789" spans="1:2" x14ac:dyDescent="0.3">
      <c r="A2789" s="7" t="s">
        <v>2801</v>
      </c>
      <c r="B2789" s="8">
        <v>123.66999816894531</v>
      </c>
    </row>
    <row r="2790" spans="1:2" x14ac:dyDescent="0.3">
      <c r="A2790" s="7" t="s">
        <v>2802</v>
      </c>
      <c r="B2790" s="8">
        <v>123.84999847412109</v>
      </c>
    </row>
    <row r="2791" spans="1:2" x14ac:dyDescent="0.3">
      <c r="A2791" s="7" t="s">
        <v>2803</v>
      </c>
      <c r="B2791" s="8">
        <v>124.06999969482422</v>
      </c>
    </row>
    <row r="2792" spans="1:2" x14ac:dyDescent="0.3">
      <c r="A2792" s="7" t="s">
        <v>2804</v>
      </c>
      <c r="B2792" s="8">
        <v>124.23999786376953</v>
      </c>
    </row>
    <row r="2793" spans="1:2" x14ac:dyDescent="0.3">
      <c r="A2793" s="7" t="s">
        <v>2805</v>
      </c>
      <c r="B2793" s="8">
        <v>124.23999786376953</v>
      </c>
    </row>
    <row r="2794" spans="1:2" x14ac:dyDescent="0.3">
      <c r="A2794" s="7" t="s">
        <v>2806</v>
      </c>
      <c r="B2794" s="8">
        <v>124.23999786376953</v>
      </c>
    </row>
    <row r="2795" spans="1:2" x14ac:dyDescent="0.3">
      <c r="A2795" s="7" t="s">
        <v>2807</v>
      </c>
      <c r="B2795" s="8">
        <v>124.70999908447266</v>
      </c>
    </row>
    <row r="2796" spans="1:2" x14ac:dyDescent="0.3">
      <c r="A2796" s="7" t="s">
        <v>2808</v>
      </c>
      <c r="B2796" s="8">
        <v>124.87000274658203</v>
      </c>
    </row>
    <row r="2797" spans="1:2" x14ac:dyDescent="0.3">
      <c r="A2797" s="7" t="s">
        <v>2809</v>
      </c>
      <c r="B2797" s="8">
        <v>125.04000091552734</v>
      </c>
    </row>
    <row r="2798" spans="1:2" x14ac:dyDescent="0.3">
      <c r="A2798" s="7" t="s">
        <v>2810</v>
      </c>
      <c r="B2798" s="8">
        <v>125.23000335693359</v>
      </c>
    </row>
    <row r="2799" spans="1:2" x14ac:dyDescent="0.3">
      <c r="A2799" s="7" t="s">
        <v>2811</v>
      </c>
      <c r="B2799" s="8">
        <v>125.44999694824219</v>
      </c>
    </row>
    <row r="2800" spans="1:2" x14ac:dyDescent="0.3">
      <c r="A2800" s="7" t="s">
        <v>2812</v>
      </c>
      <c r="B2800" s="8">
        <v>125.44999694824219</v>
      </c>
    </row>
    <row r="2801" spans="1:2" x14ac:dyDescent="0.3">
      <c r="A2801" s="7" t="s">
        <v>2813</v>
      </c>
      <c r="B2801" s="8">
        <v>125.44999694824219</v>
      </c>
    </row>
    <row r="2802" spans="1:2" x14ac:dyDescent="0.3">
      <c r="A2802" s="7" t="s">
        <v>2814</v>
      </c>
      <c r="B2802" s="8">
        <v>125.44999694824219</v>
      </c>
    </row>
    <row r="2803" spans="1:2" x14ac:dyDescent="0.3">
      <c r="A2803" s="7" t="s">
        <v>2815</v>
      </c>
      <c r="B2803" s="8">
        <v>126.19999694824219</v>
      </c>
    </row>
    <row r="2804" spans="1:2" x14ac:dyDescent="0.3">
      <c r="A2804" s="7" t="s">
        <v>2816</v>
      </c>
      <c r="B2804" s="8">
        <v>126.38999938964844</v>
      </c>
    </row>
    <row r="2805" spans="1:2" x14ac:dyDescent="0.3">
      <c r="A2805" s="7" t="s">
        <v>2817</v>
      </c>
      <c r="B2805" s="8">
        <v>126.55999755859375</v>
      </c>
    </row>
    <row r="2806" spans="1:2" x14ac:dyDescent="0.3">
      <c r="A2806" s="7" t="s">
        <v>2818</v>
      </c>
      <c r="B2806" s="8">
        <v>126.80000305175781</v>
      </c>
    </row>
    <row r="2807" spans="1:2" x14ac:dyDescent="0.3">
      <c r="A2807" s="7" t="s">
        <v>2819</v>
      </c>
      <c r="B2807" s="8">
        <v>126.80000305175781</v>
      </c>
    </row>
    <row r="2808" spans="1:2" x14ac:dyDescent="0.3">
      <c r="A2808" s="7" t="s">
        <v>2820</v>
      </c>
      <c r="B2808" s="8">
        <v>126.80000305175781</v>
      </c>
    </row>
    <row r="2809" spans="1:2" x14ac:dyDescent="0.3">
      <c r="A2809" s="7" t="s">
        <v>2821</v>
      </c>
      <c r="B2809" s="8">
        <v>127.34999847412109</v>
      </c>
    </row>
    <row r="2810" spans="1:2" x14ac:dyDescent="0.3">
      <c r="A2810" s="7" t="s">
        <v>2822</v>
      </c>
      <c r="B2810" s="8">
        <v>127.58999633789063</v>
      </c>
    </row>
    <row r="2811" spans="1:2" x14ac:dyDescent="0.3">
      <c r="A2811" s="7" t="s">
        <v>2823</v>
      </c>
      <c r="B2811" s="8">
        <v>127.81999969482422</v>
      </c>
    </row>
    <row r="2812" spans="1:2" x14ac:dyDescent="0.3">
      <c r="A2812" s="7" t="s">
        <v>2824</v>
      </c>
      <c r="B2812" s="8">
        <v>128</v>
      </c>
    </row>
    <row r="2813" spans="1:2" x14ac:dyDescent="0.3">
      <c r="A2813" s="7" t="s">
        <v>2825</v>
      </c>
      <c r="B2813" s="8">
        <v>128.25</v>
      </c>
    </row>
    <row r="2814" spans="1:2" x14ac:dyDescent="0.3">
      <c r="A2814" s="7" t="s">
        <v>2826</v>
      </c>
      <c r="B2814" s="8">
        <v>128.25</v>
      </c>
    </row>
    <row r="2815" spans="1:2" x14ac:dyDescent="0.3">
      <c r="A2815" s="7" t="s">
        <v>2827</v>
      </c>
      <c r="B2815" s="8">
        <v>128.25</v>
      </c>
    </row>
    <row r="2816" spans="1:2" x14ac:dyDescent="0.3">
      <c r="A2816" s="7" t="s">
        <v>2828</v>
      </c>
      <c r="B2816" s="8">
        <v>128.91000366210938</v>
      </c>
    </row>
    <row r="2817" spans="1:2" x14ac:dyDescent="0.3">
      <c r="A2817" s="7" t="s">
        <v>2829</v>
      </c>
      <c r="B2817" s="8">
        <v>129.13999938964844</v>
      </c>
    </row>
    <row r="2818" spans="1:2" x14ac:dyDescent="0.3">
      <c r="A2818" s="7" t="s">
        <v>2830</v>
      </c>
      <c r="B2818" s="8">
        <v>129.3800048828125</v>
      </c>
    </row>
    <row r="2819" spans="1:2" x14ac:dyDescent="0.3">
      <c r="A2819" s="7" t="s">
        <v>2831</v>
      </c>
      <c r="B2819" s="8">
        <v>129.58000183105469</v>
      </c>
    </row>
    <row r="2820" spans="1:2" x14ac:dyDescent="0.3">
      <c r="A2820" s="7" t="s">
        <v>2832</v>
      </c>
      <c r="B2820" s="8">
        <v>129.74000549316406</v>
      </c>
    </row>
    <row r="2821" spans="1:2" x14ac:dyDescent="0.3">
      <c r="A2821" s="7" t="s">
        <v>2833</v>
      </c>
      <c r="B2821" s="8">
        <v>129.74000549316406</v>
      </c>
    </row>
    <row r="2822" spans="1:2" x14ac:dyDescent="0.3">
      <c r="A2822" s="7" t="s">
        <v>2834</v>
      </c>
      <c r="B2822" s="8">
        <v>129.74000549316406</v>
      </c>
    </row>
    <row r="2823" spans="1:2" x14ac:dyDescent="0.3">
      <c r="A2823" s="7" t="s">
        <v>2835</v>
      </c>
      <c r="B2823" s="8">
        <v>130.39999389648438</v>
      </c>
    </row>
    <row r="2824" spans="1:2" x14ac:dyDescent="0.3">
      <c r="A2824" s="7" t="s">
        <v>2836</v>
      </c>
      <c r="B2824" s="8">
        <v>130.67999267578125</v>
      </c>
    </row>
    <row r="2825" spans="1:2" x14ac:dyDescent="0.3">
      <c r="A2825" s="7" t="s">
        <v>2837</v>
      </c>
      <c r="B2825" s="8">
        <v>130.91000366210938</v>
      </c>
    </row>
    <row r="2826" spans="1:2" x14ac:dyDescent="0.3">
      <c r="A2826" s="7" t="s">
        <v>2838</v>
      </c>
      <c r="B2826" s="8">
        <v>131.1199951171875</v>
      </c>
    </row>
    <row r="2827" spans="1:2" x14ac:dyDescent="0.3">
      <c r="A2827" s="7" t="s">
        <v>2839</v>
      </c>
      <c r="B2827" s="8">
        <v>131.27000427246094</v>
      </c>
    </row>
    <row r="2828" spans="1:2" x14ac:dyDescent="0.3">
      <c r="A2828" s="7" t="s">
        <v>2840</v>
      </c>
      <c r="B2828" s="8">
        <v>131.27000427246094</v>
      </c>
    </row>
    <row r="2829" spans="1:2" x14ac:dyDescent="0.3">
      <c r="A2829" s="7" t="s">
        <v>2841</v>
      </c>
      <c r="B2829" s="8">
        <v>131.27000427246094</v>
      </c>
    </row>
    <row r="2830" spans="1:2" x14ac:dyDescent="0.3">
      <c r="A2830" s="7" t="s">
        <v>2842</v>
      </c>
      <c r="B2830" s="8">
        <v>131.88999938964844</v>
      </c>
    </row>
    <row r="2831" spans="1:2" x14ac:dyDescent="0.3">
      <c r="A2831" s="7" t="s">
        <v>2843</v>
      </c>
      <c r="B2831" s="8">
        <v>132.19999694824219</v>
      </c>
    </row>
    <row r="2832" spans="1:2" x14ac:dyDescent="0.3">
      <c r="A2832" s="7" t="s">
        <v>2844</v>
      </c>
      <c r="B2832" s="8">
        <v>132.41999816894531</v>
      </c>
    </row>
    <row r="2833" spans="1:2" x14ac:dyDescent="0.3">
      <c r="A2833" s="7" t="s">
        <v>2845</v>
      </c>
      <c r="B2833" s="8">
        <v>132.63999938964844</v>
      </c>
    </row>
    <row r="2834" spans="1:2" x14ac:dyDescent="0.3">
      <c r="A2834" s="7" t="s">
        <v>2846</v>
      </c>
      <c r="B2834" s="8">
        <v>132.88999938964844</v>
      </c>
    </row>
    <row r="2835" spans="1:2" x14ac:dyDescent="0.3">
      <c r="A2835" s="7" t="s">
        <v>2847</v>
      </c>
      <c r="B2835" s="8">
        <v>132.88999938964844</v>
      </c>
    </row>
    <row r="2836" spans="1:2" x14ac:dyDescent="0.3">
      <c r="A2836" s="7" t="s">
        <v>2848</v>
      </c>
      <c r="B2836" s="8">
        <v>132.88999938964844</v>
      </c>
    </row>
    <row r="2837" spans="1:2" x14ac:dyDescent="0.3">
      <c r="A2837" s="7" t="s">
        <v>2849</v>
      </c>
      <c r="B2837" s="8">
        <v>133.57000732421875</v>
      </c>
    </row>
    <row r="2838" spans="1:2" x14ac:dyDescent="0.3">
      <c r="A2838" s="7" t="s">
        <v>2850</v>
      </c>
      <c r="B2838" s="8">
        <v>133.85000610351563</v>
      </c>
    </row>
    <row r="2839" spans="1:2" x14ac:dyDescent="0.3">
      <c r="A2839" s="7" t="s">
        <v>2851</v>
      </c>
      <c r="B2839" s="8">
        <v>134.05000305175781</v>
      </c>
    </row>
    <row r="2840" spans="1:2" x14ac:dyDescent="0.3">
      <c r="A2840" s="7" t="s">
        <v>2852</v>
      </c>
      <c r="B2840" s="8">
        <v>134.27000427246094</v>
      </c>
    </row>
    <row r="2841" spans="1:2" x14ac:dyDescent="0.3">
      <c r="A2841" s="7" t="s">
        <v>2853</v>
      </c>
      <c r="B2841" s="8">
        <v>134.58999633789063</v>
      </c>
    </row>
    <row r="2842" spans="1:2" x14ac:dyDescent="0.3">
      <c r="A2842" s="7" t="s">
        <v>2854</v>
      </c>
      <c r="B2842" s="8">
        <v>134.58999633789063</v>
      </c>
    </row>
    <row r="2843" spans="1:2" x14ac:dyDescent="0.3">
      <c r="A2843" s="7" t="s">
        <v>2855</v>
      </c>
      <c r="B2843" s="8">
        <v>134.58999633789063</v>
      </c>
    </row>
    <row r="2844" spans="1:2" x14ac:dyDescent="0.3">
      <c r="A2844" s="7" t="s">
        <v>2856</v>
      </c>
      <c r="B2844" s="8">
        <v>134.58999633789063</v>
      </c>
    </row>
    <row r="2845" spans="1:2" x14ac:dyDescent="0.3">
      <c r="A2845" s="7" t="s">
        <v>2857</v>
      </c>
      <c r="B2845" s="8">
        <v>135.33000183105469</v>
      </c>
    </row>
    <row r="2846" spans="1:2" x14ac:dyDescent="0.3">
      <c r="A2846" s="7" t="s">
        <v>2858</v>
      </c>
      <c r="B2846" s="8">
        <v>135.52999877929688</v>
      </c>
    </row>
    <row r="2847" spans="1:2" x14ac:dyDescent="0.3">
      <c r="A2847" s="7" t="s">
        <v>2859</v>
      </c>
      <c r="B2847" s="8">
        <v>135.80000305175781</v>
      </c>
    </row>
    <row r="2848" spans="1:2" x14ac:dyDescent="0.3">
      <c r="A2848" s="7" t="s">
        <v>2860</v>
      </c>
      <c r="B2848" s="8">
        <v>136.16999816894531</v>
      </c>
    </row>
    <row r="2849" spans="1:2" x14ac:dyDescent="0.3">
      <c r="A2849" s="7" t="s">
        <v>2861</v>
      </c>
      <c r="B2849" s="8">
        <v>136.16999816894531</v>
      </c>
    </row>
    <row r="2850" spans="1:2" x14ac:dyDescent="0.3">
      <c r="A2850" s="7" t="s">
        <v>2862</v>
      </c>
      <c r="B2850" s="8">
        <v>136.16999816894531</v>
      </c>
    </row>
    <row r="2851" spans="1:2" x14ac:dyDescent="0.3">
      <c r="A2851" s="7" t="s">
        <v>2863</v>
      </c>
      <c r="B2851" s="8">
        <v>136.63999938964844</v>
      </c>
    </row>
    <row r="2852" spans="1:2" x14ac:dyDescent="0.3">
      <c r="A2852" s="7" t="s">
        <v>2864</v>
      </c>
      <c r="B2852" s="8">
        <v>136.94999694824219</v>
      </c>
    </row>
    <row r="2853" spans="1:2" x14ac:dyDescent="0.3">
      <c r="A2853" s="7" t="s">
        <v>2865</v>
      </c>
      <c r="B2853" s="8">
        <v>137.14999389648438</v>
      </c>
    </row>
    <row r="2854" spans="1:2" x14ac:dyDescent="0.3">
      <c r="A2854" s="7" t="s">
        <v>2866</v>
      </c>
      <c r="B2854" s="8">
        <v>137.39999389648438</v>
      </c>
    </row>
    <row r="2855" spans="1:2" x14ac:dyDescent="0.3">
      <c r="A2855" s="7" t="s">
        <v>2867</v>
      </c>
      <c r="B2855" s="8">
        <v>137.69999694824219</v>
      </c>
    </row>
    <row r="2856" spans="1:2" x14ac:dyDescent="0.3">
      <c r="A2856" s="7" t="s">
        <v>2868</v>
      </c>
      <c r="B2856" s="8">
        <v>137.69999694824219</v>
      </c>
    </row>
    <row r="2857" spans="1:2" x14ac:dyDescent="0.3">
      <c r="A2857" s="7" t="s">
        <v>2869</v>
      </c>
      <c r="B2857" s="8">
        <v>137.69999694824219</v>
      </c>
    </row>
    <row r="2858" spans="1:2" x14ac:dyDescent="0.3">
      <c r="A2858" s="7" t="s">
        <v>2870</v>
      </c>
      <c r="B2858" s="8">
        <v>138.32000732421875</v>
      </c>
    </row>
    <row r="2859" spans="1:2" x14ac:dyDescent="0.3">
      <c r="A2859" s="7" t="s">
        <v>2871</v>
      </c>
      <c r="B2859" s="8">
        <v>138.60000610351563</v>
      </c>
    </row>
    <row r="2860" spans="1:2" x14ac:dyDescent="0.3">
      <c r="A2860" s="7" t="s">
        <v>2872</v>
      </c>
      <c r="B2860" s="8">
        <v>138.72999572753906</v>
      </c>
    </row>
    <row r="2861" spans="1:2" x14ac:dyDescent="0.3">
      <c r="A2861" s="7" t="s">
        <v>2873</v>
      </c>
      <c r="B2861" s="8">
        <v>139.02999877929688</v>
      </c>
    </row>
    <row r="2862" spans="1:2" x14ac:dyDescent="0.3">
      <c r="A2862" s="7" t="s">
        <v>2874</v>
      </c>
      <c r="B2862" s="8">
        <v>139.02999877929688</v>
      </c>
    </row>
    <row r="2863" spans="1:2" x14ac:dyDescent="0.3">
      <c r="A2863" s="7" t="s">
        <v>2875</v>
      </c>
      <c r="B2863" s="8">
        <v>139.02999877929688</v>
      </c>
    </row>
    <row r="2864" spans="1:2" x14ac:dyDescent="0.3">
      <c r="A2864" s="7" t="s">
        <v>2876</v>
      </c>
      <c r="B2864" s="8">
        <v>139.02999877929688</v>
      </c>
    </row>
    <row r="2865" spans="1:2" x14ac:dyDescent="0.3">
      <c r="A2865" s="7" t="s">
        <v>2877</v>
      </c>
      <c r="B2865" s="8">
        <v>139.02999877929688</v>
      </c>
    </row>
    <row r="2866" spans="1:2" x14ac:dyDescent="0.3">
      <c r="A2866" s="7" t="s">
        <v>2878</v>
      </c>
      <c r="B2866" s="8">
        <v>140.55999755859375</v>
      </c>
    </row>
    <row r="2867" spans="1:2" x14ac:dyDescent="0.3">
      <c r="A2867" s="7" t="s">
        <v>2879</v>
      </c>
      <c r="B2867" s="8">
        <v>140.80000305175781</v>
      </c>
    </row>
    <row r="2868" spans="1:2" x14ac:dyDescent="0.3">
      <c r="A2868" s="7" t="s">
        <v>2880</v>
      </c>
      <c r="B2868" s="8">
        <v>141.14999389648438</v>
      </c>
    </row>
    <row r="2869" spans="1:2" x14ac:dyDescent="0.3">
      <c r="A2869" s="7" t="s">
        <v>2881</v>
      </c>
      <c r="B2869" s="8">
        <v>141.3800048828125</v>
      </c>
    </row>
    <row r="2870" spans="1:2" x14ac:dyDescent="0.3">
      <c r="A2870" s="7" t="s">
        <v>2882</v>
      </c>
      <c r="B2870" s="8">
        <v>141.3800048828125</v>
      </c>
    </row>
    <row r="2871" spans="1:2" x14ac:dyDescent="0.3">
      <c r="A2871" s="7" t="s">
        <v>2883</v>
      </c>
      <c r="B2871" s="8">
        <v>141.3800048828125</v>
      </c>
    </row>
    <row r="2872" spans="1:2" x14ac:dyDescent="0.3">
      <c r="A2872" s="7" t="s">
        <v>2884</v>
      </c>
      <c r="B2872" s="8">
        <v>142.27999877929688</v>
      </c>
    </row>
    <row r="2873" spans="1:2" x14ac:dyDescent="0.3">
      <c r="A2873" s="7" t="s">
        <v>2885</v>
      </c>
      <c r="B2873" s="8">
        <v>142.58000183105469</v>
      </c>
    </row>
    <row r="2874" spans="1:2" x14ac:dyDescent="0.3">
      <c r="A2874" s="7" t="s">
        <v>2886</v>
      </c>
      <c r="B2874" s="8">
        <v>142.8800048828125</v>
      </c>
    </row>
    <row r="2875" spans="1:2" x14ac:dyDescent="0.3">
      <c r="A2875" s="7" t="s">
        <v>2887</v>
      </c>
      <c r="B2875" s="8">
        <v>143.19999694824219</v>
      </c>
    </row>
    <row r="2876" spans="1:2" x14ac:dyDescent="0.3">
      <c r="A2876" s="7" t="s">
        <v>2888</v>
      </c>
      <c r="B2876" s="8">
        <v>143.52000427246094</v>
      </c>
    </row>
    <row r="2877" spans="1:2" x14ac:dyDescent="0.3">
      <c r="A2877" s="7" t="s">
        <v>2889</v>
      </c>
      <c r="B2877" s="8">
        <v>143.52000427246094</v>
      </c>
    </row>
    <row r="2878" spans="1:2" x14ac:dyDescent="0.3">
      <c r="A2878" s="7" t="s">
        <v>2890</v>
      </c>
      <c r="B2878" s="8">
        <v>143.52000427246094</v>
      </c>
    </row>
    <row r="2879" spans="1:2" x14ac:dyDescent="0.3">
      <c r="A2879" s="7" t="s">
        <v>2891</v>
      </c>
      <c r="B2879" s="8">
        <v>144.3699951171875</v>
      </c>
    </row>
    <row r="2880" spans="1:2" x14ac:dyDescent="0.3">
      <c r="A2880" s="7" t="s">
        <v>2892</v>
      </c>
      <c r="B2880" s="8">
        <v>144.63999938964844</v>
      </c>
    </row>
    <row r="2881" spans="1:2" x14ac:dyDescent="0.3">
      <c r="A2881" s="7" t="s">
        <v>2893</v>
      </c>
      <c r="B2881" s="8">
        <v>144.88999938964844</v>
      </c>
    </row>
    <row r="2882" spans="1:2" x14ac:dyDescent="0.3">
      <c r="A2882" s="7" t="s">
        <v>2894</v>
      </c>
      <c r="B2882" s="8">
        <v>145.16000366210938</v>
      </c>
    </row>
    <row r="2883" spans="1:2" x14ac:dyDescent="0.3">
      <c r="A2883" s="7" t="s">
        <v>2895</v>
      </c>
      <c r="B2883" s="8">
        <v>145.44000244140625</v>
      </c>
    </row>
    <row r="2884" spans="1:2" x14ac:dyDescent="0.3">
      <c r="A2884" s="7" t="s">
        <v>2896</v>
      </c>
      <c r="B2884" s="8">
        <v>145.44000244140625</v>
      </c>
    </row>
    <row r="2885" spans="1:2" x14ac:dyDescent="0.3">
      <c r="A2885" s="7" t="s">
        <v>2897</v>
      </c>
      <c r="B2885" s="8">
        <v>145.44000244140625</v>
      </c>
    </row>
    <row r="2886" spans="1:2" x14ac:dyDescent="0.3">
      <c r="A2886" s="7" t="s">
        <v>2898</v>
      </c>
      <c r="B2886" s="8">
        <v>146.27000427246094</v>
      </c>
    </row>
    <row r="2887" spans="1:2" x14ac:dyDescent="0.3">
      <c r="A2887" s="7" t="s">
        <v>2899</v>
      </c>
      <c r="B2887" s="8">
        <v>146.57000732421875</v>
      </c>
    </row>
    <row r="2888" spans="1:2" x14ac:dyDescent="0.3">
      <c r="A2888" s="7" t="s">
        <v>2900</v>
      </c>
      <c r="B2888" s="8">
        <v>146.86000061035156</v>
      </c>
    </row>
    <row r="2889" spans="1:2" x14ac:dyDescent="0.3">
      <c r="A2889" s="7" t="s">
        <v>2901</v>
      </c>
      <c r="B2889" s="8">
        <v>147.07000732421875</v>
      </c>
    </row>
    <row r="2890" spans="1:2" x14ac:dyDescent="0.3">
      <c r="A2890" s="7" t="s">
        <v>2902</v>
      </c>
      <c r="B2890" s="8">
        <v>147.32000732421875</v>
      </c>
    </row>
    <row r="2891" spans="1:2" x14ac:dyDescent="0.3">
      <c r="A2891" s="7" t="s">
        <v>2903</v>
      </c>
      <c r="B2891" s="8">
        <v>147.32000732421875</v>
      </c>
    </row>
    <row r="2892" spans="1:2" x14ac:dyDescent="0.3">
      <c r="A2892" s="7" t="s">
        <v>2904</v>
      </c>
      <c r="B2892" s="8">
        <v>147.32000732421875</v>
      </c>
    </row>
    <row r="2893" spans="1:2" x14ac:dyDescent="0.3">
      <c r="A2893" s="7" t="s">
        <v>2905</v>
      </c>
      <c r="B2893" s="8">
        <v>148.22999572753906</v>
      </c>
    </row>
    <row r="2894" spans="1:2" x14ac:dyDescent="0.3">
      <c r="A2894" s="7" t="s">
        <v>2906</v>
      </c>
      <c r="B2894" s="8">
        <v>148.58999633789063</v>
      </c>
    </row>
    <row r="2895" spans="1:2" x14ac:dyDescent="0.3">
      <c r="A2895" s="7" t="s">
        <v>2907</v>
      </c>
      <c r="B2895" s="8">
        <v>148.8800048828125</v>
      </c>
    </row>
    <row r="2896" spans="1:2" x14ac:dyDescent="0.3">
      <c r="A2896" s="7" t="s">
        <v>2908</v>
      </c>
      <c r="B2896" s="8">
        <v>149.19999694824219</v>
      </c>
    </row>
    <row r="2897" spans="1:2" x14ac:dyDescent="0.3">
      <c r="A2897" s="7" t="s">
        <v>2909</v>
      </c>
      <c r="B2897" s="8">
        <v>149.19999694824219</v>
      </c>
    </row>
    <row r="2898" spans="1:2" x14ac:dyDescent="0.3">
      <c r="A2898" s="7" t="s">
        <v>2910</v>
      </c>
      <c r="B2898" s="8">
        <v>149.19999694824219</v>
      </c>
    </row>
    <row r="2899" spans="1:2" x14ac:dyDescent="0.3">
      <c r="A2899" s="7" t="s">
        <v>2911</v>
      </c>
      <c r="B2899" s="8">
        <v>149.19999694824219</v>
      </c>
    </row>
    <row r="2900" spans="1:2" x14ac:dyDescent="0.3">
      <c r="A2900" s="7" t="s">
        <v>2912</v>
      </c>
      <c r="B2900" s="8">
        <v>149.19999694824219</v>
      </c>
    </row>
    <row r="2901" spans="1:2" x14ac:dyDescent="0.3">
      <c r="A2901" s="7" t="s">
        <v>2913</v>
      </c>
      <c r="B2901" s="8">
        <v>150.69000244140625</v>
      </c>
    </row>
    <row r="2902" spans="1:2" x14ac:dyDescent="0.3">
      <c r="A2902" s="7" t="s">
        <v>2914</v>
      </c>
      <c r="B2902" s="8">
        <v>151.03999328613281</v>
      </c>
    </row>
    <row r="2903" spans="1:2" x14ac:dyDescent="0.3">
      <c r="A2903" s="7" t="s">
        <v>2915</v>
      </c>
      <c r="B2903" s="8">
        <v>151.30000305175781</v>
      </c>
    </row>
    <row r="2904" spans="1:2" x14ac:dyDescent="0.3">
      <c r="A2904" s="7" t="s">
        <v>2916</v>
      </c>
      <c r="B2904" s="8">
        <v>151.63999938964844</v>
      </c>
    </row>
    <row r="2905" spans="1:2" x14ac:dyDescent="0.3">
      <c r="A2905" s="7" t="s">
        <v>2917</v>
      </c>
      <c r="B2905" s="8">
        <v>151.63999938964844</v>
      </c>
    </row>
    <row r="2906" spans="1:2" x14ac:dyDescent="0.3">
      <c r="A2906" s="7" t="s">
        <v>2918</v>
      </c>
      <c r="B2906" s="8">
        <v>151.63999938964844</v>
      </c>
    </row>
    <row r="2907" spans="1:2" x14ac:dyDescent="0.3">
      <c r="A2907" s="7" t="s">
        <v>2919</v>
      </c>
      <c r="B2907" s="8">
        <v>152.5</v>
      </c>
    </row>
    <row r="2908" spans="1:2" x14ac:dyDescent="0.3">
      <c r="A2908" s="7" t="s">
        <v>2920</v>
      </c>
      <c r="B2908" s="8">
        <v>152.82000732421875</v>
      </c>
    </row>
    <row r="2909" spans="1:2" x14ac:dyDescent="0.3">
      <c r="A2909" s="7" t="s">
        <v>2921</v>
      </c>
      <c r="B2909" s="8">
        <v>153.17999267578125</v>
      </c>
    </row>
    <row r="2910" spans="1:2" x14ac:dyDescent="0.3">
      <c r="A2910" s="7" t="s">
        <v>2922</v>
      </c>
      <c r="B2910" s="8">
        <v>153.50999450683594</v>
      </c>
    </row>
    <row r="2911" spans="1:2" x14ac:dyDescent="0.3">
      <c r="A2911" s="7" t="s">
        <v>2923</v>
      </c>
      <c r="B2911" s="8">
        <v>153.78999328613281</v>
      </c>
    </row>
    <row r="2912" spans="1:2" x14ac:dyDescent="0.3">
      <c r="A2912" s="7" t="s">
        <v>2924</v>
      </c>
      <c r="B2912" s="8">
        <v>153.78999328613281</v>
      </c>
    </row>
    <row r="2913" spans="1:2" x14ac:dyDescent="0.3">
      <c r="A2913" s="7" t="s">
        <v>2925</v>
      </c>
      <c r="B2913" s="8">
        <v>153.78999328613281</v>
      </c>
    </row>
    <row r="2914" spans="1:2" x14ac:dyDescent="0.3">
      <c r="A2914" s="7" t="s">
        <v>2926</v>
      </c>
      <c r="B2914" s="8">
        <v>154.74000549316406</v>
      </c>
    </row>
    <row r="2915" spans="1:2" x14ac:dyDescent="0.3">
      <c r="A2915" s="7" t="s">
        <v>2927</v>
      </c>
      <c r="B2915" s="8">
        <v>155.08000183105469</v>
      </c>
    </row>
    <row r="2916" spans="1:2" x14ac:dyDescent="0.3">
      <c r="A2916" s="7" t="s">
        <v>2928</v>
      </c>
      <c r="B2916" s="8">
        <v>155.38999938964844</v>
      </c>
    </row>
    <row r="2917" spans="1:2" x14ac:dyDescent="0.3">
      <c r="A2917" s="7" t="s">
        <v>2929</v>
      </c>
      <c r="B2917" s="8">
        <v>155.69000244140625</v>
      </c>
    </row>
    <row r="2918" spans="1:2" x14ac:dyDescent="0.3">
      <c r="A2918" s="7" t="s">
        <v>2930</v>
      </c>
      <c r="B2918" s="8">
        <v>156.02000427246094</v>
      </c>
    </row>
    <row r="2919" spans="1:2" x14ac:dyDescent="0.3">
      <c r="A2919" s="7" t="s">
        <v>2931</v>
      </c>
      <c r="B2919" s="8">
        <v>156.02000427246094</v>
      </c>
    </row>
    <row r="2920" spans="1:2" x14ac:dyDescent="0.3">
      <c r="A2920" s="7" t="s">
        <v>2932</v>
      </c>
      <c r="B2920" s="8">
        <v>156.02000427246094</v>
      </c>
    </row>
    <row r="2921" spans="1:2" x14ac:dyDescent="0.3">
      <c r="A2921" s="7" t="s">
        <v>2933</v>
      </c>
      <c r="B2921" s="8">
        <v>156.91000366210938</v>
      </c>
    </row>
    <row r="2922" spans="1:2" x14ac:dyDescent="0.3">
      <c r="A2922" s="7" t="s">
        <v>2934</v>
      </c>
      <c r="B2922" s="8">
        <v>157.27999877929688</v>
      </c>
    </row>
    <row r="2923" spans="1:2" x14ac:dyDescent="0.3">
      <c r="A2923" s="7" t="s">
        <v>2935</v>
      </c>
      <c r="B2923" s="8">
        <v>157.60000610351563</v>
      </c>
    </row>
    <row r="2924" spans="1:2" x14ac:dyDescent="0.3">
      <c r="A2924" s="7" t="s">
        <v>2936</v>
      </c>
      <c r="B2924" s="8">
        <v>157.91999816894531</v>
      </c>
    </row>
    <row r="2925" spans="1:2" x14ac:dyDescent="0.3">
      <c r="A2925" s="7" t="s">
        <v>2937</v>
      </c>
      <c r="B2925" s="8">
        <v>158.27999877929688</v>
      </c>
    </row>
    <row r="2926" spans="1:2" x14ac:dyDescent="0.3">
      <c r="A2926" s="7" t="s">
        <v>2938</v>
      </c>
      <c r="B2926" s="8">
        <v>158.27999877929688</v>
      </c>
    </row>
    <row r="2927" spans="1:2" x14ac:dyDescent="0.3">
      <c r="A2927" s="7" t="s">
        <v>2939</v>
      </c>
      <c r="B2927" s="8">
        <v>158.27999877929688</v>
      </c>
    </row>
    <row r="2928" spans="1:2" x14ac:dyDescent="0.3">
      <c r="A2928" s="7" t="s">
        <v>2940</v>
      </c>
      <c r="B2928" s="8">
        <v>159.3699951171875</v>
      </c>
    </row>
    <row r="2929" spans="1:2" x14ac:dyDescent="0.3">
      <c r="A2929" s="7" t="s">
        <v>2941</v>
      </c>
      <c r="B2929" s="8">
        <v>159.71000671386719</v>
      </c>
    </row>
    <row r="2930" spans="1:2" x14ac:dyDescent="0.3">
      <c r="A2930" s="7" t="s">
        <v>2942</v>
      </c>
      <c r="B2930" s="8">
        <v>160.02000427246094</v>
      </c>
    </row>
    <row r="2931" spans="1:2" x14ac:dyDescent="0.3">
      <c r="A2931" s="7" t="s">
        <v>2943</v>
      </c>
      <c r="B2931" s="8">
        <v>160.38999938964844</v>
      </c>
    </row>
    <row r="2932" spans="1:2" x14ac:dyDescent="0.3">
      <c r="A2932" s="7" t="s">
        <v>2944</v>
      </c>
      <c r="B2932" s="8">
        <v>160.38999938964844</v>
      </c>
    </row>
    <row r="2933" spans="1:2" x14ac:dyDescent="0.3">
      <c r="A2933" s="7" t="s">
        <v>2945</v>
      </c>
      <c r="B2933" s="8">
        <v>160.38999938964844</v>
      </c>
    </row>
    <row r="2934" spans="1:2" x14ac:dyDescent="0.3">
      <c r="A2934" s="7" t="s">
        <v>2946</v>
      </c>
      <c r="B2934" s="8">
        <v>160.38999938964844</v>
      </c>
    </row>
    <row r="2935" spans="1:2" x14ac:dyDescent="0.3">
      <c r="A2935" s="7" t="s">
        <v>2947</v>
      </c>
      <c r="B2935" s="8">
        <v>161.77999877929688</v>
      </c>
    </row>
    <row r="2936" spans="1:2" x14ac:dyDescent="0.3">
      <c r="A2936" s="7" t="s">
        <v>2948</v>
      </c>
      <c r="B2936" s="8">
        <v>162.1199951171875</v>
      </c>
    </row>
    <row r="2937" spans="1:2" x14ac:dyDescent="0.3">
      <c r="A2937" s="7" t="s">
        <v>2949</v>
      </c>
      <c r="B2937" s="8">
        <v>162.47000122070313</v>
      </c>
    </row>
    <row r="2938" spans="1:2" x14ac:dyDescent="0.3">
      <c r="A2938" s="7" t="s">
        <v>2950</v>
      </c>
      <c r="B2938" s="8">
        <v>162.77999877929688</v>
      </c>
    </row>
    <row r="2939" spans="1:2" x14ac:dyDescent="0.3">
      <c r="A2939" s="7" t="s">
        <v>2951</v>
      </c>
      <c r="B2939" s="8">
        <v>163.17999267578125</v>
      </c>
    </row>
    <row r="2940" spans="1:2" x14ac:dyDescent="0.3">
      <c r="A2940" s="7" t="s">
        <v>2952</v>
      </c>
      <c r="B2940" s="8">
        <v>163.17999267578125</v>
      </c>
    </row>
    <row r="2941" spans="1:2" x14ac:dyDescent="0.3">
      <c r="A2941" s="7" t="s">
        <v>2953</v>
      </c>
      <c r="B2941" s="8">
        <v>163.17999267578125</v>
      </c>
    </row>
    <row r="2942" spans="1:2" x14ac:dyDescent="0.3">
      <c r="A2942" s="7" t="s">
        <v>2954</v>
      </c>
      <c r="B2942" s="8">
        <v>163.17999267578125</v>
      </c>
    </row>
    <row r="2943" spans="1:2" x14ac:dyDescent="0.3">
      <c r="A2943" s="7" t="s">
        <v>2955</v>
      </c>
      <c r="B2943" s="8">
        <v>164.50999450683594</v>
      </c>
    </row>
    <row r="2944" spans="1:2" x14ac:dyDescent="0.3">
      <c r="A2944" s="7" t="s">
        <v>2956</v>
      </c>
      <c r="B2944" s="8">
        <v>164.83999633789063</v>
      </c>
    </row>
    <row r="2945" spans="1:2" x14ac:dyDescent="0.3">
      <c r="A2945" s="7" t="s">
        <v>2957</v>
      </c>
      <c r="B2945" s="8">
        <v>164.83999633789063</v>
      </c>
    </row>
    <row r="2946" spans="1:2" x14ac:dyDescent="0.3">
      <c r="A2946" s="7" t="s">
        <v>2958</v>
      </c>
      <c r="B2946" s="8">
        <v>165.58999633789063</v>
      </c>
    </row>
    <row r="2947" spans="1:2" x14ac:dyDescent="0.3">
      <c r="A2947" s="7" t="s">
        <v>2959</v>
      </c>
      <c r="B2947" s="8">
        <v>165.58999633789063</v>
      </c>
    </row>
    <row r="2948" spans="1:2" x14ac:dyDescent="0.3">
      <c r="A2948" s="7" t="s">
        <v>2960</v>
      </c>
      <c r="B2948" s="8">
        <v>165.58999633789063</v>
      </c>
    </row>
    <row r="2949" spans="1:2" x14ac:dyDescent="0.3">
      <c r="A2949" s="7" t="s">
        <v>2961</v>
      </c>
      <c r="B2949" s="8">
        <v>166.60000610351563</v>
      </c>
    </row>
    <row r="2950" spans="1:2" x14ac:dyDescent="0.3">
      <c r="A2950" s="7" t="s">
        <v>2962</v>
      </c>
      <c r="B2950" s="8">
        <v>166.96000671386719</v>
      </c>
    </row>
    <row r="2951" spans="1:2" x14ac:dyDescent="0.3">
      <c r="A2951" s="7" t="s">
        <v>2963</v>
      </c>
      <c r="B2951" s="8">
        <v>167.27999877929688</v>
      </c>
    </row>
    <row r="2952" spans="1:2" x14ac:dyDescent="0.3">
      <c r="A2952" s="7" t="s">
        <v>2964</v>
      </c>
      <c r="B2952" s="8">
        <v>167.72000122070313</v>
      </c>
    </row>
    <row r="2953" spans="1:2" x14ac:dyDescent="0.3">
      <c r="A2953" s="7" t="s">
        <v>2965</v>
      </c>
      <c r="B2953" s="8">
        <v>168.08999633789063</v>
      </c>
    </row>
    <row r="2954" spans="1:2" x14ac:dyDescent="0.3">
      <c r="A2954" s="7" t="s">
        <v>2966</v>
      </c>
      <c r="B2954" s="8">
        <v>168.08999633789063</v>
      </c>
    </row>
    <row r="2955" spans="1:2" x14ac:dyDescent="0.3">
      <c r="A2955" s="7" t="s">
        <v>2967</v>
      </c>
      <c r="B2955" s="8">
        <v>168.08999633789063</v>
      </c>
    </row>
    <row r="2956" spans="1:2" x14ac:dyDescent="0.3">
      <c r="A2956" s="7" t="s">
        <v>2968</v>
      </c>
      <c r="B2956" s="8">
        <v>169.16000366210938</v>
      </c>
    </row>
    <row r="2957" spans="1:2" x14ac:dyDescent="0.3">
      <c r="A2957" s="7" t="s">
        <v>2969</v>
      </c>
      <c r="B2957" s="8">
        <v>169.49000549316406</v>
      </c>
    </row>
    <row r="2958" spans="1:2" x14ac:dyDescent="0.3">
      <c r="A2958" s="7" t="s">
        <v>2970</v>
      </c>
      <c r="B2958" s="8">
        <v>169.89999389648438</v>
      </c>
    </row>
    <row r="2959" spans="1:2" x14ac:dyDescent="0.3">
      <c r="A2959" s="7" t="s">
        <v>2971</v>
      </c>
      <c r="B2959" s="8">
        <v>169.89999389648438</v>
      </c>
    </row>
    <row r="2960" spans="1:2" x14ac:dyDescent="0.3">
      <c r="A2960" s="7" t="s">
        <v>2972</v>
      </c>
      <c r="B2960" s="8">
        <v>169.89999389648438</v>
      </c>
    </row>
    <row r="2961" spans="1:2" x14ac:dyDescent="0.3">
      <c r="A2961" s="7" t="s">
        <v>2973</v>
      </c>
      <c r="B2961" s="8">
        <v>169.89999389648438</v>
      </c>
    </row>
    <row r="2962" spans="1:2" x14ac:dyDescent="0.3">
      <c r="A2962" s="7" t="s">
        <v>2974</v>
      </c>
      <c r="B2962" s="8">
        <v>169.89999389648438</v>
      </c>
    </row>
    <row r="2963" spans="1:2" x14ac:dyDescent="0.3">
      <c r="A2963" s="7" t="s">
        <v>2975</v>
      </c>
      <c r="B2963" s="8">
        <v>171.3699951171875</v>
      </c>
    </row>
    <row r="2964" spans="1:2" x14ac:dyDescent="0.3">
      <c r="A2964" s="7" t="s">
        <v>2976</v>
      </c>
      <c r="B2964" s="8">
        <v>171.80999755859375</v>
      </c>
    </row>
    <row r="2965" spans="1:2" x14ac:dyDescent="0.3">
      <c r="A2965" s="7" t="s">
        <v>2977</v>
      </c>
      <c r="B2965" s="8">
        <v>172.05000305175781</v>
      </c>
    </row>
    <row r="2966" spans="1:2" x14ac:dyDescent="0.3">
      <c r="A2966" s="7" t="s">
        <v>2978</v>
      </c>
      <c r="B2966" s="8">
        <v>172.38999938964844</v>
      </c>
    </row>
    <row r="2967" spans="1:2" x14ac:dyDescent="0.3">
      <c r="A2967" s="7" t="s">
        <v>2979</v>
      </c>
      <c r="B2967" s="8">
        <v>172.69999694824219</v>
      </c>
    </row>
    <row r="2968" spans="1:2" x14ac:dyDescent="0.3">
      <c r="A2968" s="7" t="s">
        <v>2980</v>
      </c>
      <c r="B2968" s="8">
        <v>172.69999694824219</v>
      </c>
    </row>
    <row r="2969" spans="1:2" x14ac:dyDescent="0.3">
      <c r="A2969" s="7" t="s">
        <v>2981</v>
      </c>
      <c r="B2969" s="8">
        <v>172.69999694824219</v>
      </c>
    </row>
    <row r="2970" spans="1:2" x14ac:dyDescent="0.3">
      <c r="A2970" s="7" t="s">
        <v>2982</v>
      </c>
      <c r="B2970" s="8">
        <v>173.60000610351563</v>
      </c>
    </row>
    <row r="2971" spans="1:2" x14ac:dyDescent="0.3">
      <c r="A2971" s="7" t="s">
        <v>2983</v>
      </c>
      <c r="B2971" s="8">
        <v>173.92999267578125</v>
      </c>
    </row>
    <row r="2972" spans="1:2" x14ac:dyDescent="0.3">
      <c r="A2972" s="7" t="s">
        <v>2984</v>
      </c>
      <c r="B2972" s="8">
        <v>174.27999877929688</v>
      </c>
    </row>
    <row r="2973" spans="1:2" x14ac:dyDescent="0.3">
      <c r="A2973" s="7" t="s">
        <v>2985</v>
      </c>
      <c r="B2973" s="8">
        <v>174.52999877929688</v>
      </c>
    </row>
    <row r="2974" spans="1:2" x14ac:dyDescent="0.3">
      <c r="A2974" s="7" t="s">
        <v>2986</v>
      </c>
      <c r="B2974" s="8">
        <v>174.83999633789063</v>
      </c>
    </row>
    <row r="2975" spans="1:2" x14ac:dyDescent="0.3">
      <c r="A2975" s="7" t="s">
        <v>2987</v>
      </c>
      <c r="B2975" s="8">
        <v>174.83999633789063</v>
      </c>
    </row>
    <row r="2976" spans="1:2" x14ac:dyDescent="0.3">
      <c r="A2976" s="7" t="s">
        <v>2988</v>
      </c>
      <c r="B2976" s="8">
        <v>174.83999633789063</v>
      </c>
    </row>
    <row r="2977" spans="1:2" x14ac:dyDescent="0.3">
      <c r="A2977" s="7" t="s">
        <v>2989</v>
      </c>
      <c r="B2977" s="8">
        <v>174.83999633789063</v>
      </c>
    </row>
    <row r="2978" spans="1:2" x14ac:dyDescent="0.3">
      <c r="A2978" s="7" t="s">
        <v>2990</v>
      </c>
      <c r="B2978" s="8">
        <v>176.05000305175781</v>
      </c>
    </row>
    <row r="2979" spans="1:2" x14ac:dyDescent="0.3">
      <c r="A2979" s="7" t="s">
        <v>2991</v>
      </c>
      <c r="B2979" s="8">
        <v>176.39999389648438</v>
      </c>
    </row>
    <row r="2980" spans="1:2" x14ac:dyDescent="0.3">
      <c r="A2980" s="7" t="s">
        <v>2992</v>
      </c>
      <c r="B2980" s="8">
        <v>176.77999877929688</v>
      </c>
    </row>
    <row r="2981" spans="1:2" x14ac:dyDescent="0.3">
      <c r="A2981" s="7" t="s">
        <v>2993</v>
      </c>
      <c r="B2981" s="8">
        <v>177.16000366210938</v>
      </c>
    </row>
    <row r="2982" spans="1:2" x14ac:dyDescent="0.3">
      <c r="A2982" s="7" t="s">
        <v>2994</v>
      </c>
      <c r="B2982" s="8">
        <v>177.16000366210938</v>
      </c>
    </row>
    <row r="2983" spans="1:2" x14ac:dyDescent="0.3">
      <c r="A2983" s="7" t="s">
        <v>2995</v>
      </c>
      <c r="B2983" s="8">
        <v>177.16000366210938</v>
      </c>
    </row>
    <row r="2984" spans="1:2" x14ac:dyDescent="0.3">
      <c r="A2984" s="7" t="s">
        <v>2996</v>
      </c>
      <c r="B2984" s="8">
        <v>177.16000366210938</v>
      </c>
    </row>
    <row r="2985" spans="1:2" x14ac:dyDescent="0.3">
      <c r="A2985" s="7" t="s">
        <v>2997</v>
      </c>
      <c r="B2985" s="8">
        <v>178.36000061035156</v>
      </c>
    </row>
    <row r="2986" spans="1:2" x14ac:dyDescent="0.3">
      <c r="A2986" s="7" t="s">
        <v>2998</v>
      </c>
      <c r="B2986" s="8">
        <v>178.66000366210938</v>
      </c>
    </row>
    <row r="2987" spans="1:2" x14ac:dyDescent="0.3">
      <c r="A2987" s="7" t="s">
        <v>2999</v>
      </c>
      <c r="B2987" s="8">
        <v>178.94000244140625</v>
      </c>
    </row>
    <row r="2988" spans="1:2" x14ac:dyDescent="0.3">
      <c r="A2988" s="7" t="s">
        <v>3000</v>
      </c>
      <c r="B2988" s="8">
        <v>179.25</v>
      </c>
    </row>
    <row r="2989" spans="1:2" x14ac:dyDescent="0.3">
      <c r="A2989" s="7" t="s">
        <v>3001</v>
      </c>
      <c r="B2989" s="8">
        <v>179.25</v>
      </c>
    </row>
    <row r="2990" spans="1:2" x14ac:dyDescent="0.3">
      <c r="A2990" s="7" t="s">
        <v>3002</v>
      </c>
      <c r="B2990" s="8">
        <v>179.25</v>
      </c>
    </row>
    <row r="2991" spans="1:2" x14ac:dyDescent="0.3">
      <c r="A2991" s="7" t="s">
        <v>3003</v>
      </c>
      <c r="B2991" s="8">
        <v>180.08999633789063</v>
      </c>
    </row>
    <row r="2992" spans="1:2" x14ac:dyDescent="0.3">
      <c r="A2992" s="7" t="s">
        <v>3004</v>
      </c>
      <c r="B2992" s="8">
        <v>180.3800048828125</v>
      </c>
    </row>
    <row r="2993" spans="1:2" x14ac:dyDescent="0.3">
      <c r="A2993" s="7" t="s">
        <v>3005</v>
      </c>
      <c r="B2993" s="8">
        <v>180.66999816894531</v>
      </c>
    </row>
    <row r="2994" spans="1:2" x14ac:dyDescent="0.3">
      <c r="A2994" s="7" t="s">
        <v>3006</v>
      </c>
      <c r="B2994" s="8">
        <v>180.97000122070313</v>
      </c>
    </row>
    <row r="2995" spans="1:2" x14ac:dyDescent="0.3">
      <c r="A2995" s="7" t="s">
        <v>3007</v>
      </c>
      <c r="B2995" s="8">
        <v>181.27000427246094</v>
      </c>
    </row>
    <row r="2996" spans="1:2" x14ac:dyDescent="0.3">
      <c r="A2996" s="7" t="s">
        <v>3008</v>
      </c>
      <c r="B2996" s="8">
        <v>181.27000427246094</v>
      </c>
    </row>
    <row r="2997" spans="1:2" x14ac:dyDescent="0.3">
      <c r="A2997" s="7" t="s">
        <v>3009</v>
      </c>
      <c r="B2997" s="8">
        <v>181.27000427246094</v>
      </c>
    </row>
    <row r="2998" spans="1:2" x14ac:dyDescent="0.3">
      <c r="A2998" s="7" t="s">
        <v>3010</v>
      </c>
      <c r="B2998" s="8">
        <v>181.27000427246094</v>
      </c>
    </row>
    <row r="2999" spans="1:2" x14ac:dyDescent="0.3">
      <c r="A2999" s="7" t="s">
        <v>3011</v>
      </c>
      <c r="B2999" s="8">
        <v>182.49000549316406</v>
      </c>
    </row>
    <row r="3000" spans="1:2" x14ac:dyDescent="0.3">
      <c r="A3000" s="7" t="s">
        <v>3012</v>
      </c>
      <c r="B3000" s="8">
        <v>182.80999755859375</v>
      </c>
    </row>
    <row r="3001" spans="1:2" x14ac:dyDescent="0.3">
      <c r="A3001" s="7" t="s">
        <v>3013</v>
      </c>
      <c r="B3001" s="8">
        <v>183.11000061035156</v>
      </c>
    </row>
    <row r="3002" spans="1:2" x14ac:dyDescent="0.3">
      <c r="A3002" s="7" t="s">
        <v>3014</v>
      </c>
      <c r="B3002" s="8">
        <v>183.44999694824219</v>
      </c>
    </row>
    <row r="3003" spans="1:2" x14ac:dyDescent="0.3">
      <c r="A3003" s="7" t="s">
        <v>3015</v>
      </c>
      <c r="B3003" s="8">
        <v>183.44999694824219</v>
      </c>
    </row>
    <row r="3004" spans="1:2" x14ac:dyDescent="0.3">
      <c r="A3004" s="7" t="s">
        <v>3016</v>
      </c>
      <c r="B3004" s="8">
        <v>183.44999694824219</v>
      </c>
    </row>
    <row r="3005" spans="1:2" x14ac:dyDescent="0.3">
      <c r="A3005" s="7" t="s">
        <v>3017</v>
      </c>
      <c r="B3005" s="8">
        <v>184.3699951171875</v>
      </c>
    </row>
    <row r="3006" spans="1:2" x14ac:dyDescent="0.3">
      <c r="A3006" s="7" t="s">
        <v>3018</v>
      </c>
      <c r="B3006" s="8">
        <v>184.69000244140625</v>
      </c>
    </row>
    <row r="3007" spans="1:2" x14ac:dyDescent="0.3">
      <c r="A3007" s="7" t="s">
        <v>3019</v>
      </c>
      <c r="B3007" s="8">
        <v>185.02999877929688</v>
      </c>
    </row>
    <row r="3008" spans="1:2" x14ac:dyDescent="0.3">
      <c r="A3008" s="7" t="s">
        <v>3020</v>
      </c>
      <c r="B3008" s="8">
        <v>185.32000732421875</v>
      </c>
    </row>
    <row r="3009" spans="1:2" x14ac:dyDescent="0.3">
      <c r="A3009" s="7" t="s">
        <v>3021</v>
      </c>
      <c r="B3009" s="8">
        <v>185.61000061035156</v>
      </c>
    </row>
    <row r="3010" spans="1:2" x14ac:dyDescent="0.3">
      <c r="A3010" s="7" t="s">
        <v>3022</v>
      </c>
      <c r="B3010" s="8">
        <v>185.61000061035156</v>
      </c>
    </row>
    <row r="3011" spans="1:2" x14ac:dyDescent="0.3">
      <c r="A3011" s="7" t="s">
        <v>3023</v>
      </c>
      <c r="B3011" s="8">
        <v>185.61000061035156</v>
      </c>
    </row>
    <row r="3012" spans="1:2" x14ac:dyDescent="0.3">
      <c r="A3012" s="7" t="s">
        <v>3024</v>
      </c>
      <c r="B3012" s="8">
        <v>186.55999755859375</v>
      </c>
    </row>
    <row r="3013" spans="1:2" x14ac:dyDescent="0.3">
      <c r="A3013" s="7" t="s">
        <v>3025</v>
      </c>
      <c r="B3013" s="8">
        <v>187</v>
      </c>
    </row>
    <row r="3014" spans="1:2" x14ac:dyDescent="0.3">
      <c r="A3014" s="7" t="s">
        <v>3026</v>
      </c>
      <c r="B3014" s="8">
        <v>187.28999328613281</v>
      </c>
    </row>
    <row r="3015" spans="1:2" x14ac:dyDescent="0.3">
      <c r="A3015" s="7" t="s">
        <v>3027</v>
      </c>
      <c r="B3015" s="8">
        <v>187.57000732421875</v>
      </c>
    </row>
    <row r="3016" spans="1:2" x14ac:dyDescent="0.3">
      <c r="A3016" s="7" t="s">
        <v>3028</v>
      </c>
      <c r="B3016" s="8">
        <v>188.02000427246094</v>
      </c>
    </row>
    <row r="3017" spans="1:2" x14ac:dyDescent="0.3">
      <c r="A3017" s="7" t="s">
        <v>3029</v>
      </c>
      <c r="B3017" s="8">
        <v>188.02000427246094</v>
      </c>
    </row>
    <row r="3018" spans="1:2" x14ac:dyDescent="0.3">
      <c r="A3018" s="7" t="s">
        <v>3030</v>
      </c>
      <c r="B3018" s="8">
        <v>188.02000427246094</v>
      </c>
    </row>
    <row r="3019" spans="1:2" x14ac:dyDescent="0.3">
      <c r="A3019" s="7" t="s">
        <v>3031</v>
      </c>
      <c r="B3019" s="8">
        <v>189.11000061035156</v>
      </c>
    </row>
    <row r="3020" spans="1:2" x14ac:dyDescent="0.3">
      <c r="A3020" s="7" t="s">
        <v>3032</v>
      </c>
      <c r="B3020" s="8">
        <v>189.52000427246094</v>
      </c>
    </row>
    <row r="3021" spans="1:2" x14ac:dyDescent="0.3">
      <c r="A3021" s="7" t="s">
        <v>3033</v>
      </c>
      <c r="B3021" s="8">
        <v>189.85000610351563</v>
      </c>
    </row>
    <row r="3022" spans="1:2" x14ac:dyDescent="0.3">
      <c r="A3022" s="7" t="s">
        <v>3034</v>
      </c>
      <c r="B3022" s="8">
        <v>190.21000671386719</v>
      </c>
    </row>
    <row r="3023" spans="1:2" x14ac:dyDescent="0.3">
      <c r="A3023" s="7" t="s">
        <v>3035</v>
      </c>
      <c r="B3023" s="8">
        <v>190.50999450683594</v>
      </c>
    </row>
    <row r="3024" spans="1:2" x14ac:dyDescent="0.3">
      <c r="A3024" s="7" t="s">
        <v>3036</v>
      </c>
      <c r="B3024" s="8">
        <v>190.50999450683594</v>
      </c>
    </row>
    <row r="3025" spans="1:2" x14ac:dyDescent="0.3">
      <c r="A3025" s="7" t="s">
        <v>3037</v>
      </c>
      <c r="B3025" s="8">
        <v>190.50999450683594</v>
      </c>
    </row>
    <row r="3026" spans="1:2" x14ac:dyDescent="0.3">
      <c r="A3026" s="7" t="s">
        <v>3038</v>
      </c>
      <c r="B3026" s="8">
        <v>191.64999389648438</v>
      </c>
    </row>
    <row r="3027" spans="1:2" x14ac:dyDescent="0.3">
      <c r="A3027" s="7" t="s">
        <v>3039</v>
      </c>
      <c r="B3027" s="8">
        <v>191.99000549316406</v>
      </c>
    </row>
    <row r="3028" spans="1:2" x14ac:dyDescent="0.3">
      <c r="A3028" s="7" t="s">
        <v>3040</v>
      </c>
      <c r="B3028" s="8">
        <v>192.3800048828125</v>
      </c>
    </row>
    <row r="3029" spans="1:2" x14ac:dyDescent="0.3">
      <c r="A3029" s="7" t="s">
        <v>3041</v>
      </c>
      <c r="B3029" s="8">
        <v>192.83000183105469</v>
      </c>
    </row>
    <row r="3030" spans="1:2" x14ac:dyDescent="0.3">
      <c r="A3030" s="7" t="s">
        <v>3042</v>
      </c>
      <c r="B3030" s="8">
        <v>193.19000244140625</v>
      </c>
    </row>
    <row r="3031" spans="1:2" x14ac:dyDescent="0.3">
      <c r="A3031" s="7" t="s">
        <v>3043</v>
      </c>
      <c r="B3031" s="8">
        <v>193.19000244140625</v>
      </c>
    </row>
    <row r="3032" spans="1:2" x14ac:dyDescent="0.3">
      <c r="A3032" s="7" t="s">
        <v>3044</v>
      </c>
      <c r="B3032" s="8">
        <v>193.19000244140625</v>
      </c>
    </row>
    <row r="3033" spans="1:2" x14ac:dyDescent="0.3">
      <c r="A3033" s="7" t="s">
        <v>3045</v>
      </c>
      <c r="B3033" s="8">
        <v>193.19000244140625</v>
      </c>
    </row>
    <row r="3034" spans="1:2" x14ac:dyDescent="0.3">
      <c r="A3034" s="7" t="s">
        <v>3046</v>
      </c>
      <c r="B3034" s="8">
        <v>193.19000244140625</v>
      </c>
    </row>
    <row r="3035" spans="1:2" x14ac:dyDescent="0.3">
      <c r="A3035" s="7" t="s">
        <v>3047</v>
      </c>
      <c r="B3035" s="8">
        <v>194.94999694824219</v>
      </c>
    </row>
    <row r="3036" spans="1:2" x14ac:dyDescent="0.3">
      <c r="A3036" s="7" t="s">
        <v>3048</v>
      </c>
      <c r="B3036" s="8">
        <v>195.30999755859375</v>
      </c>
    </row>
    <row r="3037" spans="1:2" x14ac:dyDescent="0.3">
      <c r="A3037" s="7" t="s">
        <v>3049</v>
      </c>
      <c r="B3037" s="8">
        <v>195.67999267578125</v>
      </c>
    </row>
    <row r="3038" spans="1:2" x14ac:dyDescent="0.3">
      <c r="A3038" s="7" t="s">
        <v>3050</v>
      </c>
      <c r="B3038" s="8">
        <v>195.67999267578125</v>
      </c>
    </row>
    <row r="3039" spans="1:2" x14ac:dyDescent="0.3">
      <c r="A3039" s="7" t="s">
        <v>3051</v>
      </c>
      <c r="B3039" s="8">
        <v>195.67999267578125</v>
      </c>
    </row>
    <row r="3040" spans="1:2" x14ac:dyDescent="0.3">
      <c r="A3040" s="7" t="s">
        <v>3052</v>
      </c>
      <c r="B3040" s="8">
        <v>196.80999755859375</v>
      </c>
    </row>
    <row r="3041" spans="1:2" x14ac:dyDescent="0.3">
      <c r="A3041" s="7" t="s">
        <v>3053</v>
      </c>
      <c r="B3041" s="8">
        <v>197.14999389648438</v>
      </c>
    </row>
    <row r="3042" spans="1:2" x14ac:dyDescent="0.3">
      <c r="A3042" s="7" t="s">
        <v>3054</v>
      </c>
      <c r="B3042" s="8">
        <v>197.57000732421875</v>
      </c>
    </row>
    <row r="3043" spans="1:2" x14ac:dyDescent="0.3">
      <c r="A3043" s="7" t="s">
        <v>3055</v>
      </c>
      <c r="B3043" s="8">
        <v>197.8699951171875</v>
      </c>
    </row>
    <row r="3044" spans="1:2" x14ac:dyDescent="0.3">
      <c r="A3044" s="7" t="s">
        <v>3056</v>
      </c>
      <c r="B3044" s="8">
        <v>198.27999877929688</v>
      </c>
    </row>
    <row r="3045" spans="1:2" x14ac:dyDescent="0.3">
      <c r="A3045" s="7" t="s">
        <v>3057</v>
      </c>
      <c r="B3045" s="8">
        <v>198.27999877929688</v>
      </c>
    </row>
    <row r="3046" spans="1:2" x14ac:dyDescent="0.3">
      <c r="A3046" s="7" t="s">
        <v>3058</v>
      </c>
      <c r="B3046" s="8">
        <v>198.27999877929688</v>
      </c>
    </row>
    <row r="3047" spans="1:2" x14ac:dyDescent="0.3">
      <c r="A3047" s="7" t="s">
        <v>3059</v>
      </c>
      <c r="B3047" s="8">
        <v>199.33999633789063</v>
      </c>
    </row>
    <row r="3048" spans="1:2" x14ac:dyDescent="0.3">
      <c r="A3048" s="7" t="s">
        <v>3060</v>
      </c>
      <c r="B3048" s="8">
        <v>199.67999267578125</v>
      </c>
    </row>
    <row r="3049" spans="1:2" x14ac:dyDescent="0.3">
      <c r="A3049" s="7" t="s">
        <v>3061</v>
      </c>
      <c r="B3049" s="8">
        <v>199.94999694824219</v>
      </c>
    </row>
    <row r="3050" spans="1:2" x14ac:dyDescent="0.3">
      <c r="A3050" s="7" t="s">
        <v>3062</v>
      </c>
      <c r="B3050" s="8">
        <v>200.36000061035156</v>
      </c>
    </row>
    <row r="3051" spans="1:2" x14ac:dyDescent="0.3">
      <c r="A3051" s="7" t="s">
        <v>3063</v>
      </c>
      <c r="B3051" s="8">
        <v>200.72999572753906</v>
      </c>
    </row>
    <row r="3052" spans="1:2" x14ac:dyDescent="0.3">
      <c r="A3052" s="7" t="s">
        <v>3064</v>
      </c>
      <c r="B3052" s="8">
        <v>200.72999572753906</v>
      </c>
    </row>
    <row r="3053" spans="1:2" x14ac:dyDescent="0.3">
      <c r="A3053" s="7" t="s">
        <v>3065</v>
      </c>
      <c r="B3053" s="8">
        <v>200.72999572753906</v>
      </c>
    </row>
    <row r="3054" spans="1:2" x14ac:dyDescent="0.3">
      <c r="A3054" s="7" t="s">
        <v>3066</v>
      </c>
      <c r="B3054" s="8">
        <v>201.86000061035156</v>
      </c>
    </row>
    <row r="3055" spans="1:2" x14ac:dyDescent="0.3">
      <c r="A3055" s="7" t="s">
        <v>3067</v>
      </c>
      <c r="B3055" s="8">
        <v>202.07000732421875</v>
      </c>
    </row>
    <row r="3056" spans="1:2" x14ac:dyDescent="0.3">
      <c r="A3056" s="7" t="s">
        <v>3068</v>
      </c>
      <c r="B3056" s="8">
        <v>202.55999755859375</v>
      </c>
    </row>
    <row r="3057" spans="1:2" x14ac:dyDescent="0.3">
      <c r="A3057" s="7" t="s">
        <v>3069</v>
      </c>
      <c r="B3057" s="8">
        <v>202.94000244140625</v>
      </c>
    </row>
    <row r="3058" spans="1:2" x14ac:dyDescent="0.3">
      <c r="A3058" s="7" t="s">
        <v>3070</v>
      </c>
      <c r="B3058" s="8">
        <v>203.33999633789063</v>
      </c>
    </row>
    <row r="3059" spans="1:2" x14ac:dyDescent="0.3">
      <c r="A3059" s="7" t="s">
        <v>3071</v>
      </c>
      <c r="B3059" s="8">
        <v>203.33999633789063</v>
      </c>
    </row>
    <row r="3060" spans="1:2" x14ac:dyDescent="0.3">
      <c r="A3060" s="7" t="s">
        <v>3072</v>
      </c>
      <c r="B3060" s="8">
        <v>203.33999633789063</v>
      </c>
    </row>
    <row r="3061" spans="1:2" x14ac:dyDescent="0.3">
      <c r="A3061" s="7" t="s">
        <v>3073</v>
      </c>
      <c r="B3061" s="8">
        <v>204.52999877929688</v>
      </c>
    </row>
    <row r="3062" spans="1:2" x14ac:dyDescent="0.3">
      <c r="A3062" s="7" t="s">
        <v>3074</v>
      </c>
      <c r="B3062" s="8">
        <v>205.02000427246094</v>
      </c>
    </row>
    <row r="3063" spans="1:2" x14ac:dyDescent="0.3">
      <c r="A3063" s="7" t="s">
        <v>3075</v>
      </c>
      <c r="B3063" s="8">
        <v>205.3800048828125</v>
      </c>
    </row>
    <row r="3064" spans="1:2" x14ac:dyDescent="0.3">
      <c r="A3064" s="7" t="s">
        <v>3076</v>
      </c>
      <c r="B3064" s="8">
        <v>205.77999877929688</v>
      </c>
    </row>
    <row r="3065" spans="1:2" x14ac:dyDescent="0.3">
      <c r="A3065" s="7" t="s">
        <v>3077</v>
      </c>
      <c r="B3065" s="8">
        <v>205.77999877929688</v>
      </c>
    </row>
    <row r="3066" spans="1:2" x14ac:dyDescent="0.3">
      <c r="A3066" s="7" t="s">
        <v>3078</v>
      </c>
      <c r="B3066" s="8">
        <v>205.77999877929688</v>
      </c>
    </row>
    <row r="3067" spans="1:2" x14ac:dyDescent="0.3">
      <c r="A3067" s="7" t="s">
        <v>3079</v>
      </c>
      <c r="B3067" s="8">
        <v>205.77999877929688</v>
      </c>
    </row>
    <row r="3068" spans="1:2" x14ac:dyDescent="0.3">
      <c r="A3068" s="7" t="s">
        <v>3080</v>
      </c>
      <c r="B3068" s="8">
        <v>207.41999816894531</v>
      </c>
    </row>
    <row r="3069" spans="1:2" x14ac:dyDescent="0.3">
      <c r="A3069" s="7" t="s">
        <v>3081</v>
      </c>
      <c r="B3069" s="8">
        <v>207.83999633789063</v>
      </c>
    </row>
    <row r="3070" spans="1:2" x14ac:dyDescent="0.3">
      <c r="A3070" s="7" t="s">
        <v>3082</v>
      </c>
      <c r="B3070" s="8">
        <v>208.30000305175781</v>
      </c>
    </row>
    <row r="3071" spans="1:2" x14ac:dyDescent="0.3">
      <c r="A3071" s="7" t="s">
        <v>3083</v>
      </c>
      <c r="B3071" s="8">
        <v>208.58999633789063</v>
      </c>
    </row>
    <row r="3072" spans="1:2" x14ac:dyDescent="0.3">
      <c r="A3072" s="7" t="s">
        <v>3084</v>
      </c>
      <c r="B3072" s="8">
        <v>209.00999450683594</v>
      </c>
    </row>
    <row r="3073" spans="1:2" x14ac:dyDescent="0.3">
      <c r="A3073" s="7" t="s">
        <v>3085</v>
      </c>
      <c r="B3073" s="8">
        <v>209.00999450683594</v>
      </c>
    </row>
    <row r="3074" spans="1:2" x14ac:dyDescent="0.3">
      <c r="A3074" s="7" t="s">
        <v>3086</v>
      </c>
      <c r="B3074" s="8">
        <v>209.00999450683594</v>
      </c>
    </row>
    <row r="3075" spans="1:2" x14ac:dyDescent="0.3">
      <c r="A3075" s="7" t="s">
        <v>3087</v>
      </c>
      <c r="B3075" s="8">
        <v>210.3699951171875</v>
      </c>
    </row>
    <row r="3076" spans="1:2" x14ac:dyDescent="0.3">
      <c r="A3076" s="7" t="s">
        <v>3088</v>
      </c>
      <c r="B3076" s="8">
        <v>210.77999877929688</v>
      </c>
    </row>
    <row r="3077" spans="1:2" x14ac:dyDescent="0.3">
      <c r="A3077" s="7" t="s">
        <v>3089</v>
      </c>
      <c r="B3077" s="8">
        <v>211.22000122070313</v>
      </c>
    </row>
    <row r="3078" spans="1:2" x14ac:dyDescent="0.3">
      <c r="A3078" s="7" t="s">
        <v>3090</v>
      </c>
      <c r="B3078" s="8">
        <v>211.22000122070313</v>
      </c>
    </row>
    <row r="3079" spans="1:2" x14ac:dyDescent="0.3">
      <c r="A3079" s="7" t="s">
        <v>3091</v>
      </c>
      <c r="B3079" s="8">
        <v>211.22000122070313</v>
      </c>
    </row>
    <row r="3080" spans="1:2" x14ac:dyDescent="0.3">
      <c r="A3080" s="7" t="s">
        <v>3092</v>
      </c>
      <c r="B3080" s="8">
        <v>211.22000122070313</v>
      </c>
    </row>
    <row r="3081" spans="1:2" x14ac:dyDescent="0.3">
      <c r="A3081" s="7" t="s">
        <v>3093</v>
      </c>
      <c r="B3081" s="8">
        <v>211.22000122070313</v>
      </c>
    </row>
    <row r="3082" spans="1:2" x14ac:dyDescent="0.3">
      <c r="A3082" s="7" t="s">
        <v>3094</v>
      </c>
      <c r="B3082" s="8">
        <v>213.38999938964844</v>
      </c>
    </row>
    <row r="3083" spans="1:2" x14ac:dyDescent="0.3">
      <c r="A3083" s="7" t="s">
        <v>3095</v>
      </c>
      <c r="B3083" s="8">
        <v>213.75999450683594</v>
      </c>
    </row>
    <row r="3084" spans="1:2" x14ac:dyDescent="0.3">
      <c r="A3084" s="7" t="s">
        <v>3096</v>
      </c>
      <c r="B3084" s="8">
        <v>214.24000549316406</v>
      </c>
    </row>
    <row r="3085" spans="1:2" x14ac:dyDescent="0.3">
      <c r="A3085" s="7" t="s">
        <v>3097</v>
      </c>
      <c r="B3085" s="8">
        <v>214.67999267578125</v>
      </c>
    </row>
    <row r="3086" spans="1:2" x14ac:dyDescent="0.3">
      <c r="A3086" s="7" t="s">
        <v>3098</v>
      </c>
      <c r="B3086" s="8">
        <v>215.10000610351563</v>
      </c>
    </row>
    <row r="3087" spans="1:2" x14ac:dyDescent="0.3">
      <c r="A3087" s="7" t="s">
        <v>3099</v>
      </c>
      <c r="B3087" s="8">
        <v>215.10000610351563</v>
      </c>
    </row>
    <row r="3088" spans="1:2" x14ac:dyDescent="0.3">
      <c r="A3088" s="7" t="s">
        <v>3100</v>
      </c>
      <c r="B3088" s="8">
        <v>215.10000610351563</v>
      </c>
    </row>
    <row r="3089" spans="1:2" x14ac:dyDescent="0.3">
      <c r="A3089" s="7" t="s">
        <v>3101</v>
      </c>
      <c r="B3089" s="8">
        <v>216.3800048828125</v>
      </c>
    </row>
    <row r="3090" spans="1:2" x14ac:dyDescent="0.3">
      <c r="A3090" s="7" t="s">
        <v>3102</v>
      </c>
      <c r="B3090" s="8">
        <v>216.94000244140625</v>
      </c>
    </row>
    <row r="3091" spans="1:2" x14ac:dyDescent="0.3">
      <c r="A3091" s="7" t="s">
        <v>3103</v>
      </c>
      <c r="B3091" s="8">
        <v>217.47999572753906</v>
      </c>
    </row>
    <row r="3092" spans="1:2" x14ac:dyDescent="0.3">
      <c r="A3092" s="7" t="s">
        <v>3104</v>
      </c>
      <c r="B3092" s="8">
        <v>217.99000549316406</v>
      </c>
    </row>
    <row r="3093" spans="1:2" x14ac:dyDescent="0.3">
      <c r="A3093" s="7" t="s">
        <v>3105</v>
      </c>
      <c r="B3093" s="8">
        <v>218.52999877929688</v>
      </c>
    </row>
    <row r="3094" spans="1:2" x14ac:dyDescent="0.3">
      <c r="A3094" s="7" t="s">
        <v>3106</v>
      </c>
      <c r="B3094" s="8">
        <v>218.52999877929688</v>
      </c>
    </row>
    <row r="3095" spans="1:2" x14ac:dyDescent="0.3">
      <c r="A3095" s="7" t="s">
        <v>3107</v>
      </c>
      <c r="B3095" s="8">
        <v>218.52999877929688</v>
      </c>
    </row>
    <row r="3096" spans="1:2" x14ac:dyDescent="0.3">
      <c r="A3096" s="7" t="s">
        <v>3108</v>
      </c>
      <c r="B3096" s="8">
        <v>220.21000671386719</v>
      </c>
    </row>
    <row r="3097" spans="1:2" x14ac:dyDescent="0.3">
      <c r="A3097" s="7" t="s">
        <v>3109</v>
      </c>
      <c r="B3097" s="8">
        <v>220.8699951171875</v>
      </c>
    </row>
    <row r="3098" spans="1:2" x14ac:dyDescent="0.3">
      <c r="A3098" s="7" t="s">
        <v>3110</v>
      </c>
      <c r="B3098" s="8">
        <v>221.57000732421875</v>
      </c>
    </row>
    <row r="3099" spans="1:2" x14ac:dyDescent="0.3">
      <c r="A3099" s="7" t="s">
        <v>3111</v>
      </c>
      <c r="B3099" s="8">
        <v>222</v>
      </c>
    </row>
    <row r="3100" spans="1:2" x14ac:dyDescent="0.3">
      <c r="A3100" s="7" t="s">
        <v>3112</v>
      </c>
      <c r="B3100" s="8">
        <v>222.67999267578125</v>
      </c>
    </row>
    <row r="3101" spans="1:2" x14ac:dyDescent="0.3">
      <c r="A3101" s="7" t="s">
        <v>3113</v>
      </c>
      <c r="B3101" s="8">
        <v>222.67999267578125</v>
      </c>
    </row>
    <row r="3102" spans="1:2" x14ac:dyDescent="0.3">
      <c r="A3102" s="7" t="s">
        <v>3114</v>
      </c>
      <c r="B3102" s="8">
        <v>222.67999267578125</v>
      </c>
    </row>
    <row r="3103" spans="1:2" x14ac:dyDescent="0.3">
      <c r="A3103" s="7" t="s">
        <v>3115</v>
      </c>
      <c r="B3103" s="8">
        <v>222.67999267578125</v>
      </c>
    </row>
    <row r="3104" spans="1:2" x14ac:dyDescent="0.3">
      <c r="A3104" s="7" t="s">
        <v>3116</v>
      </c>
      <c r="B3104" s="8">
        <v>224.64999389648438</v>
      </c>
    </row>
    <row r="3105" spans="1:2" x14ac:dyDescent="0.3">
      <c r="A3105" s="7" t="s">
        <v>3117</v>
      </c>
      <c r="B3105" s="8">
        <v>225.19999694824219</v>
      </c>
    </row>
    <row r="3106" spans="1:2" x14ac:dyDescent="0.3">
      <c r="A3106" s="7" t="s">
        <v>3118</v>
      </c>
      <c r="B3106" s="8">
        <v>225.69999694824219</v>
      </c>
    </row>
    <row r="3107" spans="1:2" x14ac:dyDescent="0.3">
      <c r="A3107" s="7" t="s">
        <v>3119</v>
      </c>
      <c r="B3107" s="8">
        <v>226.25</v>
      </c>
    </row>
    <row r="3108" spans="1:2" x14ac:dyDescent="0.3">
      <c r="A3108" s="7" t="s">
        <v>3120</v>
      </c>
      <c r="B3108" s="8">
        <v>226.25</v>
      </c>
    </row>
    <row r="3109" spans="1:2" x14ac:dyDescent="0.3">
      <c r="A3109" s="7" t="s">
        <v>3121</v>
      </c>
      <c r="B3109" s="8">
        <v>226.25</v>
      </c>
    </row>
    <row r="3110" spans="1:2" x14ac:dyDescent="0.3">
      <c r="A3110" s="7" t="s">
        <v>3122</v>
      </c>
      <c r="B3110" s="8">
        <v>227.64999389648438</v>
      </c>
    </row>
    <row r="3111" spans="1:2" x14ac:dyDescent="0.3">
      <c r="A3111" s="7" t="s">
        <v>3123</v>
      </c>
      <c r="B3111" s="8">
        <v>228.05000305175781</v>
      </c>
    </row>
    <row r="3112" spans="1:2" x14ac:dyDescent="0.3">
      <c r="A3112" s="7" t="s">
        <v>3124</v>
      </c>
      <c r="B3112" s="8">
        <v>228.5</v>
      </c>
    </row>
    <row r="3113" spans="1:2" x14ac:dyDescent="0.3">
      <c r="A3113" s="7" t="s">
        <v>3125</v>
      </c>
      <c r="B3113" s="8">
        <v>229</v>
      </c>
    </row>
    <row r="3114" spans="1:2" x14ac:dyDescent="0.3">
      <c r="A3114" s="7" t="s">
        <v>3126</v>
      </c>
      <c r="B3114" s="8">
        <v>229.19999694824219</v>
      </c>
    </row>
    <row r="3115" spans="1:2" x14ac:dyDescent="0.3">
      <c r="A3115" s="7" t="s">
        <v>3127</v>
      </c>
      <c r="B3115" s="8">
        <v>229.19999694824219</v>
      </c>
    </row>
    <row r="3116" spans="1:2" x14ac:dyDescent="0.3">
      <c r="A3116" s="7" t="s">
        <v>3128</v>
      </c>
      <c r="B3116" s="8">
        <v>229.19999694824219</v>
      </c>
    </row>
    <row r="3117" spans="1:2" x14ac:dyDescent="0.3">
      <c r="A3117" s="7" t="s">
        <v>3129</v>
      </c>
      <c r="B3117" s="8">
        <v>230.69999694824219</v>
      </c>
    </row>
    <row r="3118" spans="1:2" x14ac:dyDescent="0.3">
      <c r="A3118" s="7" t="s">
        <v>3130</v>
      </c>
      <c r="B3118" s="8">
        <v>231.10000610351563</v>
      </c>
    </row>
    <row r="3119" spans="1:2" x14ac:dyDescent="0.3">
      <c r="A3119" s="7" t="s">
        <v>3131</v>
      </c>
      <c r="B3119" s="8">
        <v>231.64999389648438</v>
      </c>
    </row>
    <row r="3120" spans="1:2" x14ac:dyDescent="0.3">
      <c r="A3120" s="7" t="s">
        <v>3132</v>
      </c>
      <c r="B3120" s="8">
        <v>232.10000610351563</v>
      </c>
    </row>
    <row r="3121" spans="1:2" x14ac:dyDescent="0.3">
      <c r="A3121" s="7" t="s">
        <v>3133</v>
      </c>
      <c r="B3121" s="8">
        <v>232.75</v>
      </c>
    </row>
    <row r="3122" spans="1:2" x14ac:dyDescent="0.3">
      <c r="A3122" s="7" t="s">
        <v>3134</v>
      </c>
      <c r="B3122" s="8">
        <v>232.75</v>
      </c>
    </row>
    <row r="3123" spans="1:2" x14ac:dyDescent="0.3">
      <c r="A3123" s="7" t="s">
        <v>3135</v>
      </c>
      <c r="B3123" s="8">
        <v>232.75</v>
      </c>
    </row>
    <row r="3124" spans="1:2" x14ac:dyDescent="0.3">
      <c r="A3124" s="7" t="s">
        <v>3136</v>
      </c>
      <c r="B3124" s="8">
        <v>234.35000610351563</v>
      </c>
    </row>
    <row r="3125" spans="1:2" x14ac:dyDescent="0.3">
      <c r="A3125" s="7" t="s">
        <v>3137</v>
      </c>
      <c r="B3125" s="8">
        <v>234.94999694824219</v>
      </c>
    </row>
    <row r="3126" spans="1:2" x14ac:dyDescent="0.3">
      <c r="A3126" s="7" t="s">
        <v>3138</v>
      </c>
      <c r="B3126" s="8">
        <v>235.75</v>
      </c>
    </row>
    <row r="3127" spans="1:2" x14ac:dyDescent="0.3">
      <c r="A3127" s="7" t="s">
        <v>3139</v>
      </c>
      <c r="B3127" s="8">
        <v>235.75</v>
      </c>
    </row>
    <row r="3128" spans="1:2" x14ac:dyDescent="0.3">
      <c r="A3128" s="7" t="s">
        <v>3140</v>
      </c>
      <c r="B3128" s="8">
        <v>235.75</v>
      </c>
    </row>
    <row r="3129" spans="1:2" x14ac:dyDescent="0.3">
      <c r="A3129" s="7" t="s">
        <v>3141</v>
      </c>
      <c r="B3129" s="8">
        <v>235.75</v>
      </c>
    </row>
    <row r="3130" spans="1:2" x14ac:dyDescent="0.3">
      <c r="A3130" s="7" t="s">
        <v>3142</v>
      </c>
      <c r="B3130" s="8">
        <v>235.75</v>
      </c>
    </row>
    <row r="3131" spans="1:2" x14ac:dyDescent="0.3">
      <c r="A3131" s="7" t="s">
        <v>3143</v>
      </c>
      <c r="B3131" s="8">
        <v>235.75</v>
      </c>
    </row>
    <row r="3132" spans="1:2" x14ac:dyDescent="0.3">
      <c r="A3132" s="7" t="s">
        <v>3144</v>
      </c>
      <c r="B3132" s="8">
        <v>238.85000610351563</v>
      </c>
    </row>
    <row r="3133" spans="1:2" x14ac:dyDescent="0.3">
      <c r="A3133" s="7" t="s">
        <v>3145</v>
      </c>
      <c r="B3133" s="8">
        <v>239.5</v>
      </c>
    </row>
    <row r="3134" spans="1:2" x14ac:dyDescent="0.3">
      <c r="A3134" s="7" t="s">
        <v>3146</v>
      </c>
      <c r="B3134" s="8">
        <v>240.25</v>
      </c>
    </row>
    <row r="3135" spans="1:2" x14ac:dyDescent="0.3">
      <c r="A3135" s="7" t="s">
        <v>3147</v>
      </c>
      <c r="B3135" s="8">
        <v>240.85000610351563</v>
      </c>
    </row>
    <row r="3136" spans="1:2" x14ac:dyDescent="0.3">
      <c r="A3136" s="7" t="s">
        <v>3148</v>
      </c>
      <c r="B3136" s="8">
        <v>240.85000610351563</v>
      </c>
    </row>
    <row r="3137" spans="1:2" x14ac:dyDescent="0.3">
      <c r="A3137" s="7" t="s">
        <v>3149</v>
      </c>
      <c r="B3137" s="8">
        <v>240.85000610351563</v>
      </c>
    </row>
    <row r="3138" spans="1:2" x14ac:dyDescent="0.3">
      <c r="A3138" s="7" t="s">
        <v>3150</v>
      </c>
      <c r="B3138" s="8">
        <v>242.5</v>
      </c>
    </row>
    <row r="3139" spans="1:2" x14ac:dyDescent="0.3">
      <c r="A3139" s="7" t="s">
        <v>3151</v>
      </c>
      <c r="B3139" s="8">
        <v>243.25</v>
      </c>
    </row>
    <row r="3140" spans="1:2" x14ac:dyDescent="0.3">
      <c r="A3140" s="7" t="s">
        <v>3152</v>
      </c>
      <c r="B3140" s="8">
        <v>243.5</v>
      </c>
    </row>
    <row r="3141" spans="1:2" x14ac:dyDescent="0.3">
      <c r="A3141" s="7" t="s">
        <v>3153</v>
      </c>
      <c r="B3141" s="8">
        <v>244.44999694824219</v>
      </c>
    </row>
    <row r="3142" spans="1:2" x14ac:dyDescent="0.3">
      <c r="A3142" s="7" t="s">
        <v>3154</v>
      </c>
      <c r="B3142" s="8">
        <v>244.94999694824219</v>
      </c>
    </row>
    <row r="3143" spans="1:2" x14ac:dyDescent="0.3">
      <c r="A3143" s="7" t="s">
        <v>3155</v>
      </c>
      <c r="B3143" s="8">
        <v>244.94999694824219</v>
      </c>
    </row>
    <row r="3144" spans="1:2" x14ac:dyDescent="0.3">
      <c r="A3144" s="7" t="s">
        <v>3156</v>
      </c>
      <c r="B3144" s="8">
        <v>244.94999694824219</v>
      </c>
    </row>
    <row r="3145" spans="1:2" x14ac:dyDescent="0.3">
      <c r="A3145" s="7" t="s">
        <v>3157</v>
      </c>
      <c r="B3145" s="8">
        <v>246.80000305175781</v>
      </c>
    </row>
    <row r="3146" spans="1:2" x14ac:dyDescent="0.3">
      <c r="A3146" s="7" t="s">
        <v>3158</v>
      </c>
      <c r="B3146" s="8">
        <v>247.10000610351563</v>
      </c>
    </row>
    <row r="3147" spans="1:2" x14ac:dyDescent="0.3">
      <c r="A3147" s="7" t="s">
        <v>3159</v>
      </c>
      <c r="B3147" s="8">
        <v>248</v>
      </c>
    </row>
    <row r="3148" spans="1:2" x14ac:dyDescent="0.3">
      <c r="A3148" s="7" t="s">
        <v>3160</v>
      </c>
      <c r="B3148" s="8">
        <v>248.35000610351563</v>
      </c>
    </row>
    <row r="3149" spans="1:2" x14ac:dyDescent="0.3">
      <c r="A3149" s="7" t="s">
        <v>3161</v>
      </c>
      <c r="B3149" s="8">
        <v>249.44999694824219</v>
      </c>
    </row>
    <row r="3150" spans="1:2" x14ac:dyDescent="0.3">
      <c r="A3150" s="7" t="s">
        <v>3162</v>
      </c>
      <c r="B3150" s="8">
        <v>249.44999694824219</v>
      </c>
    </row>
    <row r="3151" spans="1:2" x14ac:dyDescent="0.3">
      <c r="A3151" s="7" t="s">
        <v>3163</v>
      </c>
      <c r="B3151" s="8">
        <v>249.44999694824219</v>
      </c>
    </row>
    <row r="3152" spans="1:2" x14ac:dyDescent="0.3">
      <c r="A3152" s="7" t="s">
        <v>3164</v>
      </c>
      <c r="B3152" s="8">
        <v>249.44999694824219</v>
      </c>
    </row>
    <row r="3153" spans="1:2" x14ac:dyDescent="0.3">
      <c r="A3153" s="7" t="s">
        <v>3165</v>
      </c>
      <c r="B3153" s="8">
        <v>249.44999694824219</v>
      </c>
    </row>
    <row r="3154" spans="1:2" x14ac:dyDescent="0.3">
      <c r="A3154" s="7" t="s">
        <v>3166</v>
      </c>
      <c r="B3154" s="8">
        <v>251.85000610351563</v>
      </c>
    </row>
    <row r="3155" spans="1:2" x14ac:dyDescent="0.3">
      <c r="A3155" s="7" t="s">
        <v>3167</v>
      </c>
      <c r="B3155" s="8">
        <v>252.60000610351563</v>
      </c>
    </row>
    <row r="3156" spans="1:2" x14ac:dyDescent="0.3">
      <c r="A3156" s="7" t="s">
        <v>3168</v>
      </c>
      <c r="B3156" s="8">
        <v>253</v>
      </c>
    </row>
    <row r="3157" spans="1:2" x14ac:dyDescent="0.3">
      <c r="A3157" s="7" t="s">
        <v>3169</v>
      </c>
      <c r="B3157" s="8">
        <v>253</v>
      </c>
    </row>
    <row r="3158" spans="1:2" x14ac:dyDescent="0.3">
      <c r="A3158" s="7" t="s">
        <v>3170</v>
      </c>
      <c r="B3158" s="8">
        <v>253</v>
      </c>
    </row>
    <row r="3159" spans="1:2" x14ac:dyDescent="0.3">
      <c r="A3159" s="7" t="s">
        <v>3171</v>
      </c>
      <c r="B3159" s="8">
        <v>254.60000610351563</v>
      </c>
    </row>
    <row r="3160" spans="1:2" x14ac:dyDescent="0.3">
      <c r="A3160" s="7" t="s">
        <v>3172</v>
      </c>
      <c r="B3160" s="8">
        <v>255.25</v>
      </c>
    </row>
    <row r="3161" spans="1:2" x14ac:dyDescent="0.3">
      <c r="A3161" s="7" t="s">
        <v>3173</v>
      </c>
      <c r="B3161" s="8">
        <v>255.85000610351563</v>
      </c>
    </row>
    <row r="3162" spans="1:2" x14ac:dyDescent="0.3">
      <c r="A3162" s="7" t="s">
        <v>3174</v>
      </c>
      <c r="B3162" s="8">
        <v>256.20001220703125</v>
      </c>
    </row>
    <row r="3163" spans="1:2" x14ac:dyDescent="0.3">
      <c r="A3163" s="7" t="s">
        <v>3175</v>
      </c>
      <c r="B3163" s="8">
        <v>256.70001220703125</v>
      </c>
    </row>
    <row r="3164" spans="1:2" x14ac:dyDescent="0.3">
      <c r="A3164" s="7" t="s">
        <v>3176</v>
      </c>
      <c r="B3164" s="8">
        <v>256.70001220703125</v>
      </c>
    </row>
    <row r="3165" spans="1:2" x14ac:dyDescent="0.3">
      <c r="A3165" s="7" t="s">
        <v>3177</v>
      </c>
      <c r="B3165" s="8">
        <v>256.70001220703125</v>
      </c>
    </row>
    <row r="3166" spans="1:2" x14ac:dyDescent="0.3">
      <c r="A3166" s="7" t="s">
        <v>3178</v>
      </c>
      <c r="B3166" s="8">
        <v>257.89999389648438</v>
      </c>
    </row>
    <row r="3167" spans="1:2" x14ac:dyDescent="0.3">
      <c r="A3167" s="7" t="s">
        <v>3179</v>
      </c>
      <c r="B3167" s="8">
        <v>257.89999389648438</v>
      </c>
    </row>
    <row r="3168" spans="1:2" x14ac:dyDescent="0.3">
      <c r="A3168" s="7" t="s">
        <v>3180</v>
      </c>
      <c r="B3168" s="8">
        <v>259.5</v>
      </c>
    </row>
    <row r="3169" spans="1:2" x14ac:dyDescent="0.3">
      <c r="A3169" s="7" t="s">
        <v>3181</v>
      </c>
      <c r="B3169" s="8">
        <v>260.39999389648438</v>
      </c>
    </row>
    <row r="3170" spans="1:2" x14ac:dyDescent="0.3">
      <c r="A3170" s="7" t="s">
        <v>3182</v>
      </c>
      <c r="B3170" s="8">
        <v>261</v>
      </c>
    </row>
    <row r="3171" spans="1:2" x14ac:dyDescent="0.3">
      <c r="A3171" s="7" t="s">
        <v>3183</v>
      </c>
      <c r="B3171" s="8">
        <v>261</v>
      </c>
    </row>
    <row r="3172" spans="1:2" x14ac:dyDescent="0.3">
      <c r="A3172" s="7" t="s">
        <v>3184</v>
      </c>
      <c r="B3172" s="8">
        <v>261</v>
      </c>
    </row>
    <row r="3173" spans="1:2" x14ac:dyDescent="0.3">
      <c r="A3173" s="7" t="s">
        <v>3185</v>
      </c>
      <c r="B3173" s="8">
        <v>262.5</v>
      </c>
    </row>
    <row r="3174" spans="1:2" x14ac:dyDescent="0.3">
      <c r="A3174" s="7" t="s">
        <v>3186</v>
      </c>
      <c r="B3174" s="8">
        <v>263.20001220703125</v>
      </c>
    </row>
    <row r="3175" spans="1:2" x14ac:dyDescent="0.3">
      <c r="A3175" s="7" t="s">
        <v>3187</v>
      </c>
      <c r="B3175" s="8">
        <v>264.04998779296875</v>
      </c>
    </row>
    <row r="3176" spans="1:2" x14ac:dyDescent="0.3">
      <c r="A3176" s="7" t="s">
        <v>3188</v>
      </c>
      <c r="B3176" s="8">
        <v>264.35000610351563</v>
      </c>
    </row>
    <row r="3177" spans="1:2" x14ac:dyDescent="0.3">
      <c r="A3177" s="7" t="s">
        <v>3189</v>
      </c>
      <c r="B3177" s="8">
        <v>265.04998779296875</v>
      </c>
    </row>
    <row r="3178" spans="1:2" x14ac:dyDescent="0.3">
      <c r="A3178" s="7" t="s">
        <v>3190</v>
      </c>
      <c r="B3178" s="8">
        <v>265.04998779296875</v>
      </c>
    </row>
    <row r="3179" spans="1:2" x14ac:dyDescent="0.3">
      <c r="A3179" s="7" t="s">
        <v>3191</v>
      </c>
      <c r="B3179" s="8">
        <v>265.04998779296875</v>
      </c>
    </row>
    <row r="3180" spans="1:2" x14ac:dyDescent="0.3">
      <c r="A3180" s="7" t="s">
        <v>3192</v>
      </c>
      <c r="B3180" s="8">
        <v>266.75</v>
      </c>
    </row>
    <row r="3181" spans="1:2" x14ac:dyDescent="0.3">
      <c r="A3181" s="7" t="s">
        <v>3193</v>
      </c>
      <c r="B3181" s="8">
        <v>267.64999389648438</v>
      </c>
    </row>
    <row r="3182" spans="1:2" x14ac:dyDescent="0.3">
      <c r="A3182" s="7" t="s">
        <v>3194</v>
      </c>
      <c r="B3182" s="8">
        <v>267.95001220703125</v>
      </c>
    </row>
    <row r="3183" spans="1:2" x14ac:dyDescent="0.3">
      <c r="A3183" s="7" t="s">
        <v>3195</v>
      </c>
      <c r="B3183" s="8">
        <v>268.70001220703125</v>
      </c>
    </row>
    <row r="3184" spans="1:2" x14ac:dyDescent="0.3">
      <c r="A3184" s="7" t="s">
        <v>3196</v>
      </c>
      <c r="B3184" s="8">
        <v>269.45001220703125</v>
      </c>
    </row>
    <row r="3185" spans="1:2" x14ac:dyDescent="0.3">
      <c r="A3185" s="7" t="s">
        <v>3197</v>
      </c>
      <c r="B3185" s="8">
        <v>269.45001220703125</v>
      </c>
    </row>
    <row r="3186" spans="1:2" x14ac:dyDescent="0.3">
      <c r="A3186" s="7" t="s">
        <v>3198</v>
      </c>
      <c r="B3186" s="8">
        <v>269.45001220703125</v>
      </c>
    </row>
    <row r="3187" spans="1:2" x14ac:dyDescent="0.3">
      <c r="A3187" s="7" t="s">
        <v>3199</v>
      </c>
      <c r="B3187" s="8">
        <v>271</v>
      </c>
    </row>
    <row r="3188" spans="1:2" x14ac:dyDescent="0.3">
      <c r="A3188" s="7" t="s">
        <v>3200</v>
      </c>
      <c r="B3188" s="8">
        <v>271.60000610351563</v>
      </c>
    </row>
    <row r="3189" spans="1:2" x14ac:dyDescent="0.3">
      <c r="A3189" s="7" t="s">
        <v>3201</v>
      </c>
      <c r="B3189" s="8">
        <v>272.5</v>
      </c>
    </row>
    <row r="3190" spans="1:2" x14ac:dyDescent="0.3">
      <c r="A3190" s="7" t="s">
        <v>3202</v>
      </c>
      <c r="B3190" s="8">
        <v>273.10000610351563</v>
      </c>
    </row>
    <row r="3191" spans="1:2" x14ac:dyDescent="0.3">
      <c r="A3191" s="7" t="s">
        <v>3203</v>
      </c>
      <c r="B3191" s="8">
        <v>273.70001220703125</v>
      </c>
    </row>
    <row r="3192" spans="1:2" x14ac:dyDescent="0.3">
      <c r="A3192" s="7" t="s">
        <v>3204</v>
      </c>
      <c r="B3192" s="8">
        <v>273.70001220703125</v>
      </c>
    </row>
    <row r="3193" spans="1:2" x14ac:dyDescent="0.3">
      <c r="A3193" s="7" t="s">
        <v>3205</v>
      </c>
      <c r="B3193" s="8">
        <v>273.70001220703125</v>
      </c>
    </row>
    <row r="3194" spans="1:2" x14ac:dyDescent="0.3">
      <c r="A3194" s="7" t="s">
        <v>3206</v>
      </c>
      <c r="B3194" s="8">
        <v>275.25</v>
      </c>
    </row>
    <row r="3195" spans="1:2" x14ac:dyDescent="0.3">
      <c r="A3195" s="7" t="s">
        <v>3207</v>
      </c>
      <c r="B3195" s="8">
        <v>276.14999389648438</v>
      </c>
    </row>
    <row r="3196" spans="1:2" x14ac:dyDescent="0.3">
      <c r="A3196" s="7" t="s">
        <v>3208</v>
      </c>
      <c r="B3196" s="8">
        <v>277.39999389648438</v>
      </c>
    </row>
    <row r="3197" spans="1:2" x14ac:dyDescent="0.3">
      <c r="A3197" s="7" t="s">
        <v>3209</v>
      </c>
      <c r="B3197" s="8">
        <v>278.10000610351563</v>
      </c>
    </row>
    <row r="3198" spans="1:2" x14ac:dyDescent="0.3">
      <c r="A3198" s="7" t="s">
        <v>3210</v>
      </c>
      <c r="B3198" s="8">
        <v>279.35000610351563</v>
      </c>
    </row>
    <row r="3199" spans="1:2" x14ac:dyDescent="0.3">
      <c r="A3199" s="7" t="s">
        <v>3211</v>
      </c>
      <c r="B3199" s="8">
        <v>279.35000610351563</v>
      </c>
    </row>
    <row r="3200" spans="1:2" x14ac:dyDescent="0.3">
      <c r="A3200" s="7" t="s">
        <v>3212</v>
      </c>
      <c r="B3200" s="8">
        <v>279.35000610351563</v>
      </c>
    </row>
    <row r="3201" spans="1:2" x14ac:dyDescent="0.3">
      <c r="A3201" s="7" t="s">
        <v>3213</v>
      </c>
      <c r="B3201" s="8">
        <v>283.20001220703125</v>
      </c>
    </row>
    <row r="3202" spans="1:2" x14ac:dyDescent="0.3">
      <c r="A3202" s="7" t="s">
        <v>3214</v>
      </c>
      <c r="B3202" s="8">
        <v>284.20001220703125</v>
      </c>
    </row>
    <row r="3203" spans="1:2" x14ac:dyDescent="0.3">
      <c r="A3203" s="7" t="s">
        <v>3215</v>
      </c>
      <c r="B3203" s="8">
        <v>285.14999389648438</v>
      </c>
    </row>
    <row r="3204" spans="1:2" x14ac:dyDescent="0.3">
      <c r="A3204" s="7" t="s">
        <v>3216</v>
      </c>
      <c r="B3204" s="8">
        <v>286.20001220703125</v>
      </c>
    </row>
    <row r="3205" spans="1:2" x14ac:dyDescent="0.3">
      <c r="A3205" s="7" t="s">
        <v>3217</v>
      </c>
      <c r="B3205" s="8">
        <v>287.35000610351563</v>
      </c>
    </row>
    <row r="3206" spans="1:2" x14ac:dyDescent="0.3">
      <c r="A3206" s="7" t="s">
        <v>3218</v>
      </c>
      <c r="B3206" s="8">
        <v>287.35000610351563</v>
      </c>
    </row>
    <row r="3207" spans="1:2" x14ac:dyDescent="0.3">
      <c r="A3207" s="7" t="s">
        <v>3219</v>
      </c>
      <c r="B3207" s="8">
        <v>287.35000610351563</v>
      </c>
    </row>
    <row r="3208" spans="1:2" x14ac:dyDescent="0.3">
      <c r="A3208" s="7" t="s">
        <v>3220</v>
      </c>
      <c r="B3208" s="8">
        <v>349.95010375976563</v>
      </c>
    </row>
    <row r="3209" spans="1:2" x14ac:dyDescent="0.3">
      <c r="A3209" s="7" t="s">
        <v>3221</v>
      </c>
      <c r="B3209" s="8">
        <v>350</v>
      </c>
    </row>
    <row r="3210" spans="1:2" x14ac:dyDescent="0.3">
      <c r="A3210" s="7" t="s">
        <v>3222</v>
      </c>
      <c r="B3210" s="8">
        <v>349.95010375976563</v>
      </c>
    </row>
    <row r="3211" spans="1:2" x14ac:dyDescent="0.3">
      <c r="A3211" s="7" t="s">
        <v>3223</v>
      </c>
      <c r="B3211" s="8">
        <v>349.95010375976563</v>
      </c>
    </row>
    <row r="3212" spans="1:2" x14ac:dyDescent="0.3">
      <c r="A3212" s="7" t="s">
        <v>3224</v>
      </c>
      <c r="B3212" s="8">
        <v>349.95010375976563</v>
      </c>
    </row>
    <row r="3213" spans="1:2" x14ac:dyDescent="0.3">
      <c r="A3213" s="7" t="s">
        <v>3225</v>
      </c>
      <c r="B3213" s="8">
        <v>349.95010375976563</v>
      </c>
    </row>
    <row r="3214" spans="1:2" x14ac:dyDescent="0.3">
      <c r="A3214" s="7" t="s">
        <v>3226</v>
      </c>
      <c r="B3214" s="8">
        <v>349.95010375976563</v>
      </c>
    </row>
    <row r="3215" spans="1:2" x14ac:dyDescent="0.3">
      <c r="A3215" s="7" t="s">
        <v>3227</v>
      </c>
      <c r="B3215" s="8">
        <v>349.95010375976563</v>
      </c>
    </row>
    <row r="3216" spans="1:2" x14ac:dyDescent="0.3">
      <c r="A3216" s="7" t="s">
        <v>3228</v>
      </c>
      <c r="B3216" s="8">
        <v>349.95010375976563</v>
      </c>
    </row>
    <row r="3217" spans="1:2" x14ac:dyDescent="0.3">
      <c r="A3217" s="7" t="s">
        <v>3229</v>
      </c>
      <c r="B3217" s="8">
        <v>349.95010375976563</v>
      </c>
    </row>
    <row r="3218" spans="1:2" x14ac:dyDescent="0.3">
      <c r="A3218" s="7" t="s">
        <v>3230</v>
      </c>
      <c r="B3218" s="8">
        <v>350</v>
      </c>
    </row>
    <row r="3219" spans="1:2" x14ac:dyDescent="0.3">
      <c r="A3219" s="7" t="s">
        <v>3231</v>
      </c>
      <c r="B3219" s="8">
        <v>350.10000610351563</v>
      </c>
    </row>
    <row r="3220" spans="1:2" x14ac:dyDescent="0.3">
      <c r="A3220" s="7" t="s">
        <v>3232</v>
      </c>
      <c r="B3220" s="8">
        <v>350.10000610351563</v>
      </c>
    </row>
    <row r="3221" spans="1:2" x14ac:dyDescent="0.3">
      <c r="A3221" s="7" t="s">
        <v>3233</v>
      </c>
      <c r="B3221" s="8">
        <v>350.10000610351563</v>
      </c>
    </row>
    <row r="3222" spans="1:2" x14ac:dyDescent="0.3">
      <c r="A3222" s="7" t="s">
        <v>3234</v>
      </c>
      <c r="B3222" s="8">
        <v>349.95010375976563</v>
      </c>
    </row>
    <row r="3223" spans="1:2" x14ac:dyDescent="0.3">
      <c r="A3223" s="7" t="s">
        <v>3235</v>
      </c>
      <c r="B3223" s="8">
        <v>350</v>
      </c>
    </row>
    <row r="3224" spans="1:2" x14ac:dyDescent="0.3">
      <c r="A3224" s="7" t="s">
        <v>3236</v>
      </c>
      <c r="B3224" s="8">
        <v>350</v>
      </c>
    </row>
    <row r="3225" spans="1:2" x14ac:dyDescent="0.3">
      <c r="A3225" s="7" t="s">
        <v>3237</v>
      </c>
      <c r="B3225" s="8">
        <v>350</v>
      </c>
    </row>
    <row r="3226" spans="1:2" x14ac:dyDescent="0.3">
      <c r="A3226" s="7" t="s">
        <v>3238</v>
      </c>
      <c r="B3226" s="8">
        <v>350.10000610351563</v>
      </c>
    </row>
    <row r="3227" spans="1:2" x14ac:dyDescent="0.3">
      <c r="A3227" s="7" t="s">
        <v>3239</v>
      </c>
      <c r="B3227" s="8">
        <v>350.10000610351563</v>
      </c>
    </row>
    <row r="3228" spans="1:2" x14ac:dyDescent="0.3">
      <c r="A3228" s="7" t="s">
        <v>3240</v>
      </c>
      <c r="B3228" s="8">
        <v>350.10000610351563</v>
      </c>
    </row>
    <row r="3229" spans="1:2" x14ac:dyDescent="0.3">
      <c r="A3229" s="7" t="s">
        <v>3241</v>
      </c>
      <c r="B3229" s="8">
        <v>350.10000610351563</v>
      </c>
    </row>
    <row r="3230" spans="1:2" x14ac:dyDescent="0.3">
      <c r="A3230" s="7" t="s">
        <v>3242</v>
      </c>
      <c r="B3230" s="8">
        <v>350</v>
      </c>
    </row>
    <row r="3231" spans="1:2" x14ac:dyDescent="0.3">
      <c r="A3231" s="7" t="s">
        <v>3243</v>
      </c>
      <c r="B3231" s="8">
        <v>350</v>
      </c>
    </row>
    <row r="3232" spans="1:2" x14ac:dyDescent="0.3">
      <c r="A3232" s="7" t="s">
        <v>3244</v>
      </c>
      <c r="B3232" s="8">
        <v>349.95010375976563</v>
      </c>
    </row>
    <row r="3233" spans="1:2" x14ac:dyDescent="0.3">
      <c r="A3233" s="7" t="s">
        <v>3245</v>
      </c>
      <c r="B3233" s="8">
        <v>349.95010375976563</v>
      </c>
    </row>
    <row r="3234" spans="1:2" x14ac:dyDescent="0.3">
      <c r="A3234" s="7" t="s">
        <v>3246</v>
      </c>
      <c r="B3234" s="8">
        <v>349.95010375976563</v>
      </c>
    </row>
    <row r="3235" spans="1:2" x14ac:dyDescent="0.3">
      <c r="A3235" s="7" t="s">
        <v>3247</v>
      </c>
      <c r="B3235" s="8">
        <v>349.95010375976563</v>
      </c>
    </row>
    <row r="3236" spans="1:2" x14ac:dyDescent="0.3">
      <c r="A3236" s="7" t="s">
        <v>3248</v>
      </c>
      <c r="B3236" s="8">
        <v>349.95010375976563</v>
      </c>
    </row>
    <row r="3237" spans="1:2" x14ac:dyDescent="0.3">
      <c r="A3237" s="7" t="s">
        <v>3249</v>
      </c>
      <c r="B3237" s="8">
        <v>349.95010375976563</v>
      </c>
    </row>
    <row r="3238" spans="1:2" x14ac:dyDescent="0.3">
      <c r="A3238" s="7" t="s">
        <v>3250</v>
      </c>
      <c r="B3238" s="8">
        <v>350.04998779296875</v>
      </c>
    </row>
    <row r="3239" spans="1:2" x14ac:dyDescent="0.3">
      <c r="A3239" s="7" t="s">
        <v>3251</v>
      </c>
      <c r="B3239" s="8">
        <v>350</v>
      </c>
    </row>
    <row r="3240" spans="1:2" x14ac:dyDescent="0.3">
      <c r="A3240" s="7" t="s">
        <v>3252</v>
      </c>
      <c r="B3240" s="8">
        <v>350</v>
      </c>
    </row>
    <row r="3241" spans="1:2" x14ac:dyDescent="0.3">
      <c r="A3241" s="7" t="s">
        <v>3253</v>
      </c>
      <c r="B3241" s="8">
        <v>350</v>
      </c>
    </row>
    <row r="3242" spans="1:2" x14ac:dyDescent="0.3">
      <c r="A3242" s="7" t="s">
        <v>3254</v>
      </c>
      <c r="B3242" s="8">
        <v>350</v>
      </c>
    </row>
    <row r="3243" spans="1:2" x14ac:dyDescent="0.3">
      <c r="A3243" s="7" t="s">
        <v>3255</v>
      </c>
      <c r="B3243" s="8">
        <v>350</v>
      </c>
    </row>
    <row r="3244" spans="1:2" x14ac:dyDescent="0.3">
      <c r="A3244" s="7" t="s">
        <v>3256</v>
      </c>
      <c r="B3244" s="8">
        <v>349.95010375976563</v>
      </c>
    </row>
    <row r="3245" spans="1:2" x14ac:dyDescent="0.3">
      <c r="A3245" s="7" t="s">
        <v>3257</v>
      </c>
      <c r="B3245" s="8">
        <v>350.10000610351563</v>
      </c>
    </row>
    <row r="3246" spans="1:2" x14ac:dyDescent="0.3">
      <c r="A3246" s="7" t="s">
        <v>3258</v>
      </c>
      <c r="B3246" s="8">
        <v>350</v>
      </c>
    </row>
    <row r="3247" spans="1:2" x14ac:dyDescent="0.3">
      <c r="A3247" s="7" t="s">
        <v>3259</v>
      </c>
      <c r="B3247" s="8">
        <v>350.04998779296875</v>
      </c>
    </row>
    <row r="3248" spans="1:2" x14ac:dyDescent="0.3">
      <c r="A3248" s="7" t="s">
        <v>3260</v>
      </c>
      <c r="B3248" s="8">
        <v>350.04998779296875</v>
      </c>
    </row>
    <row r="3249" spans="1:2" x14ac:dyDescent="0.3">
      <c r="A3249" s="7" t="s">
        <v>3261</v>
      </c>
      <c r="B3249" s="8">
        <v>350.04998779296875</v>
      </c>
    </row>
    <row r="3250" spans="1:2" x14ac:dyDescent="0.3">
      <c r="A3250" s="7" t="s">
        <v>3262</v>
      </c>
      <c r="B3250" s="8">
        <v>350.04998779296875</v>
      </c>
    </row>
    <row r="3251" spans="1:2" x14ac:dyDescent="0.3">
      <c r="A3251" s="7" t="s">
        <v>3263</v>
      </c>
      <c r="B3251" s="8">
        <v>350</v>
      </c>
    </row>
    <row r="3252" spans="1:2" x14ac:dyDescent="0.3">
      <c r="A3252" s="7" t="s">
        <v>3264</v>
      </c>
      <c r="B3252" s="8">
        <v>350</v>
      </c>
    </row>
    <row r="3253" spans="1:2" x14ac:dyDescent="0.3">
      <c r="A3253" s="7" t="s">
        <v>3265</v>
      </c>
      <c r="B3253" s="8">
        <v>350.04998779296875</v>
      </c>
    </row>
    <row r="3254" spans="1:2" x14ac:dyDescent="0.3">
      <c r="A3254" s="7" t="s">
        <v>3266</v>
      </c>
      <c r="B3254" s="8">
        <v>349.95010375976563</v>
      </c>
    </row>
    <row r="3255" spans="1:2" x14ac:dyDescent="0.3">
      <c r="A3255" s="7" t="s">
        <v>3267</v>
      </c>
      <c r="B3255" s="8">
        <v>349.95010375976563</v>
      </c>
    </row>
    <row r="3256" spans="1:2" x14ac:dyDescent="0.3">
      <c r="A3256" s="7" t="s">
        <v>3268</v>
      </c>
      <c r="B3256" s="8">
        <v>349.95010375976563</v>
      </c>
    </row>
    <row r="3257" spans="1:2" x14ac:dyDescent="0.3">
      <c r="A3257" s="7" t="s">
        <v>3269</v>
      </c>
      <c r="B3257" s="8">
        <v>350.04998779296875</v>
      </c>
    </row>
    <row r="3258" spans="1:2" x14ac:dyDescent="0.3">
      <c r="A3258" s="7" t="s">
        <v>3270</v>
      </c>
      <c r="B3258" s="8">
        <v>350.04998779296875</v>
      </c>
    </row>
    <row r="3259" spans="1:2" x14ac:dyDescent="0.3">
      <c r="A3259" s="7" t="s">
        <v>3271</v>
      </c>
      <c r="B3259" s="8">
        <v>350</v>
      </c>
    </row>
    <row r="3260" spans="1:2" x14ac:dyDescent="0.3">
      <c r="A3260" s="7" t="s">
        <v>3272</v>
      </c>
      <c r="B3260" s="8">
        <v>350</v>
      </c>
    </row>
    <row r="3261" spans="1:2" x14ac:dyDescent="0.3">
      <c r="A3261" s="7" t="s">
        <v>3273</v>
      </c>
      <c r="B3261" s="8">
        <v>350.10000610351563</v>
      </c>
    </row>
    <row r="3262" spans="1:2" x14ac:dyDescent="0.3">
      <c r="A3262" s="7" t="s">
        <v>3274</v>
      </c>
      <c r="B3262" s="8">
        <v>350.10000610351563</v>
      </c>
    </row>
    <row r="3263" spans="1:2" x14ac:dyDescent="0.3">
      <c r="A3263" s="7" t="s">
        <v>3275</v>
      </c>
      <c r="B3263" s="8">
        <v>350.10000610351563</v>
      </c>
    </row>
    <row r="3264" spans="1:2" x14ac:dyDescent="0.3">
      <c r="A3264" s="7" t="s">
        <v>3276</v>
      </c>
      <c r="B3264" s="8">
        <v>350.10000610351563</v>
      </c>
    </row>
    <row r="3265" spans="1:2" x14ac:dyDescent="0.3">
      <c r="A3265" s="7" t="s">
        <v>3277</v>
      </c>
      <c r="B3265" s="8">
        <v>350.10000610351563</v>
      </c>
    </row>
    <row r="3266" spans="1:2" x14ac:dyDescent="0.3">
      <c r="A3266" s="7" t="s">
        <v>3278</v>
      </c>
      <c r="B3266" s="8">
        <v>350.10000610351563</v>
      </c>
    </row>
    <row r="3267" spans="1:2" x14ac:dyDescent="0.3">
      <c r="A3267" s="7" t="s">
        <v>3279</v>
      </c>
      <c r="B3267" s="8">
        <v>349.95010375976563</v>
      </c>
    </row>
    <row r="3268" spans="1:2" x14ac:dyDescent="0.3">
      <c r="A3268" s="7" t="s">
        <v>3280</v>
      </c>
      <c r="B3268" s="8">
        <v>349.95010375976563</v>
      </c>
    </row>
    <row r="3269" spans="1:2" x14ac:dyDescent="0.3">
      <c r="A3269" s="7" t="s">
        <v>3281</v>
      </c>
      <c r="B3269" s="8">
        <v>349.95010375976563</v>
      </c>
    </row>
    <row r="3270" spans="1:2" x14ac:dyDescent="0.3">
      <c r="A3270" s="7" t="s">
        <v>3282</v>
      </c>
      <c r="B3270" s="8">
        <v>349.95010375976563</v>
      </c>
    </row>
    <row r="3271" spans="1:2" x14ac:dyDescent="0.3">
      <c r="A3271" s="7" t="s">
        <v>3283</v>
      </c>
      <c r="B3271" s="8">
        <v>349.95010375976563</v>
      </c>
    </row>
    <row r="3272" spans="1:2" x14ac:dyDescent="0.3">
      <c r="A3272" s="7" t="s">
        <v>3284</v>
      </c>
      <c r="B3272" s="8">
        <v>350.10000610351563</v>
      </c>
    </row>
    <row r="3273" spans="1:2" x14ac:dyDescent="0.3">
      <c r="A3273" s="7" t="s">
        <v>3285</v>
      </c>
      <c r="B3273" s="8">
        <v>350.10000610351563</v>
      </c>
    </row>
    <row r="3274" spans="1:2" x14ac:dyDescent="0.3">
      <c r="A3274" s="7" t="s">
        <v>3286</v>
      </c>
      <c r="B3274" s="8">
        <v>349.95010375976563</v>
      </c>
    </row>
    <row r="3275" spans="1:2" x14ac:dyDescent="0.3">
      <c r="A3275" s="7" t="s">
        <v>3287</v>
      </c>
      <c r="B3275" s="8">
        <v>349.95010375976563</v>
      </c>
    </row>
    <row r="3276" spans="1:2" x14ac:dyDescent="0.3">
      <c r="A3276" s="7" t="s">
        <v>3288</v>
      </c>
      <c r="B3276" s="8">
        <v>349.95010375976563</v>
      </c>
    </row>
    <row r="3277" spans="1:2" x14ac:dyDescent="0.3">
      <c r="A3277" s="7" t="s">
        <v>3289</v>
      </c>
      <c r="B3277" s="8">
        <v>349.95010375976563</v>
      </c>
    </row>
    <row r="3278" spans="1:2" x14ac:dyDescent="0.3">
      <c r="A3278" s="7" t="s">
        <v>3290</v>
      </c>
      <c r="B3278" s="8">
        <v>349.95010375976563</v>
      </c>
    </row>
    <row r="3279" spans="1:2" x14ac:dyDescent="0.3">
      <c r="A3279" s="7" t="s">
        <v>3291</v>
      </c>
      <c r="B3279" s="8">
        <v>349.95010375976563</v>
      </c>
    </row>
    <row r="3280" spans="1:2" x14ac:dyDescent="0.3">
      <c r="A3280" s="7" t="s">
        <v>3292</v>
      </c>
      <c r="B3280" s="8">
        <v>350.10000610351563</v>
      </c>
    </row>
    <row r="3281" spans="1:2" x14ac:dyDescent="0.3">
      <c r="A3281" s="7" t="s">
        <v>3293</v>
      </c>
      <c r="B3281" s="8">
        <v>349.95010375976563</v>
      </c>
    </row>
    <row r="3282" spans="1:2" x14ac:dyDescent="0.3">
      <c r="A3282" s="7" t="s">
        <v>3294</v>
      </c>
      <c r="B3282" s="8">
        <v>349.95010375976563</v>
      </c>
    </row>
    <row r="3283" spans="1:2" x14ac:dyDescent="0.3">
      <c r="A3283" s="7" t="s">
        <v>3295</v>
      </c>
      <c r="B3283" s="8">
        <v>349.95010375976563</v>
      </c>
    </row>
    <row r="3284" spans="1:2" x14ac:dyDescent="0.3">
      <c r="A3284" s="7" t="s">
        <v>3296</v>
      </c>
      <c r="B3284" s="8">
        <v>349.95010375976563</v>
      </c>
    </row>
    <row r="3285" spans="1:2" x14ac:dyDescent="0.3">
      <c r="A3285" s="7" t="s">
        <v>3297</v>
      </c>
      <c r="B3285" s="8">
        <v>349.95010375976563</v>
      </c>
    </row>
    <row r="3286" spans="1:2" x14ac:dyDescent="0.3">
      <c r="A3286" s="7" t="s">
        <v>3298</v>
      </c>
      <c r="B3286" s="8">
        <v>350</v>
      </c>
    </row>
    <row r="3287" spans="1:2" x14ac:dyDescent="0.3">
      <c r="A3287" s="7" t="s">
        <v>3299</v>
      </c>
      <c r="B3287" s="8">
        <v>349.95010375976563</v>
      </c>
    </row>
    <row r="3288" spans="1:2" x14ac:dyDescent="0.3">
      <c r="A3288" s="7" t="s">
        <v>3300</v>
      </c>
      <c r="B3288" s="8">
        <v>350.10000610351563</v>
      </c>
    </row>
    <row r="3289" spans="1:2" x14ac:dyDescent="0.3">
      <c r="A3289" s="7" t="s">
        <v>3301</v>
      </c>
      <c r="B3289" s="8">
        <v>350.10000610351563</v>
      </c>
    </row>
    <row r="3290" spans="1:2" x14ac:dyDescent="0.3">
      <c r="A3290" s="7" t="s">
        <v>3302</v>
      </c>
      <c r="B3290" s="8">
        <v>350.10000610351563</v>
      </c>
    </row>
    <row r="3291" spans="1:2" x14ac:dyDescent="0.3">
      <c r="A3291" s="7" t="s">
        <v>3303</v>
      </c>
      <c r="B3291" s="8">
        <v>350.10000610351563</v>
      </c>
    </row>
    <row r="3292" spans="1:2" x14ac:dyDescent="0.3">
      <c r="A3292" s="7" t="s">
        <v>3304</v>
      </c>
      <c r="B3292" s="8">
        <v>350.10000610351563</v>
      </c>
    </row>
    <row r="3293" spans="1:2" x14ac:dyDescent="0.3">
      <c r="A3293" s="7" t="s">
        <v>3305</v>
      </c>
      <c r="B3293" s="8">
        <v>350</v>
      </c>
    </row>
    <row r="3294" spans="1:2" x14ac:dyDescent="0.3">
      <c r="A3294" s="7" t="s">
        <v>3306</v>
      </c>
      <c r="B3294" s="8">
        <v>349.95010375976563</v>
      </c>
    </row>
    <row r="3295" spans="1:2" x14ac:dyDescent="0.3">
      <c r="A3295" s="7" t="s">
        <v>3307</v>
      </c>
      <c r="B3295" s="8">
        <v>349.95010375976563</v>
      </c>
    </row>
    <row r="3296" spans="1:2" x14ac:dyDescent="0.3">
      <c r="A3296" s="7" t="s">
        <v>3308</v>
      </c>
      <c r="B3296" s="8">
        <v>349.95010375976563</v>
      </c>
    </row>
    <row r="3297" spans="1:2" x14ac:dyDescent="0.3">
      <c r="A3297" s="7" t="s">
        <v>3309</v>
      </c>
      <c r="B3297" s="8">
        <v>349.95010375976563</v>
      </c>
    </row>
    <row r="3298" spans="1:2" x14ac:dyDescent="0.3">
      <c r="A3298" s="7" t="s">
        <v>3310</v>
      </c>
      <c r="B3298" s="8">
        <v>349.95010375976563</v>
      </c>
    </row>
    <row r="3299" spans="1:2" x14ac:dyDescent="0.3">
      <c r="A3299" s="7" t="s">
        <v>3311</v>
      </c>
      <c r="B3299" s="8">
        <v>349.95010375976563</v>
      </c>
    </row>
    <row r="3300" spans="1:2" x14ac:dyDescent="0.3">
      <c r="A3300" s="7" t="s">
        <v>3312</v>
      </c>
      <c r="B3300" s="8">
        <v>350.10000610351563</v>
      </c>
    </row>
    <row r="3301" spans="1:2" x14ac:dyDescent="0.3">
      <c r="A3301" s="7" t="s">
        <v>3313</v>
      </c>
      <c r="B3301" s="8">
        <v>352.95010375976563</v>
      </c>
    </row>
    <row r="3302" spans="1:2" x14ac:dyDescent="0.3">
      <c r="A3302" s="7" t="s">
        <v>3314</v>
      </c>
      <c r="B3302" s="8">
        <v>353.45010375976563</v>
      </c>
    </row>
    <row r="3303" spans="1:2" x14ac:dyDescent="0.3">
      <c r="A3303" s="7" t="s">
        <v>3315</v>
      </c>
      <c r="B3303" s="8">
        <v>353.95010375976563</v>
      </c>
    </row>
    <row r="3304" spans="1:2" x14ac:dyDescent="0.3">
      <c r="A3304" s="7" t="s">
        <v>3316</v>
      </c>
      <c r="B3304" s="8">
        <v>353.95010375976563</v>
      </c>
    </row>
    <row r="3305" spans="1:2" x14ac:dyDescent="0.3">
      <c r="A3305" s="7" t="s">
        <v>3317</v>
      </c>
      <c r="B3305" s="8">
        <v>353.95010375976563</v>
      </c>
    </row>
    <row r="3306" spans="1:2" x14ac:dyDescent="0.3">
      <c r="A3306" s="7" t="s">
        <v>3318</v>
      </c>
      <c r="B3306" s="8">
        <v>353.95010375976563</v>
      </c>
    </row>
    <row r="3307" spans="1:2" x14ac:dyDescent="0.3">
      <c r="A3307" s="7" t="s">
        <v>3319</v>
      </c>
      <c r="B3307" s="8">
        <v>355.95010375976563</v>
      </c>
    </row>
    <row r="3308" spans="1:2" x14ac:dyDescent="0.3">
      <c r="A3308" s="7" t="s">
        <v>3320</v>
      </c>
      <c r="B3308" s="8">
        <v>356.45010375976563</v>
      </c>
    </row>
    <row r="3309" spans="1:2" x14ac:dyDescent="0.3">
      <c r="A3309" s="7" t="s">
        <v>3321</v>
      </c>
      <c r="B3309" s="8">
        <v>356.45010375976563</v>
      </c>
    </row>
    <row r="3310" spans="1:2" x14ac:dyDescent="0.3">
      <c r="A3310" s="7" t="s">
        <v>3322</v>
      </c>
      <c r="B3310" s="8">
        <v>357.60000610351563</v>
      </c>
    </row>
    <row r="3311" spans="1:2" x14ac:dyDescent="0.3">
      <c r="A3311" s="7" t="s">
        <v>3323</v>
      </c>
      <c r="B3311" s="8">
        <v>357.60000610351563</v>
      </c>
    </row>
    <row r="3312" spans="1:2" x14ac:dyDescent="0.3">
      <c r="A3312" s="7" t="s">
        <v>3324</v>
      </c>
      <c r="B3312" s="8">
        <v>357.60000610351563</v>
      </c>
    </row>
    <row r="3313" spans="1:2" x14ac:dyDescent="0.3">
      <c r="A3313" s="7" t="s">
        <v>3325</v>
      </c>
      <c r="B3313" s="8">
        <v>359</v>
      </c>
    </row>
    <row r="3314" spans="1:2" x14ac:dyDescent="0.3">
      <c r="A3314" s="7" t="s">
        <v>3326</v>
      </c>
      <c r="B3314" s="8">
        <v>359.5</v>
      </c>
    </row>
    <row r="3315" spans="1:2" x14ac:dyDescent="0.3">
      <c r="A3315" s="7" t="s">
        <v>3327</v>
      </c>
      <c r="B3315" s="8">
        <v>360</v>
      </c>
    </row>
    <row r="3316" spans="1:2" x14ac:dyDescent="0.3">
      <c r="A3316" s="7" t="s">
        <v>3328</v>
      </c>
      <c r="B3316" s="8">
        <v>360.5</v>
      </c>
    </row>
    <row r="3317" spans="1:2" x14ac:dyDescent="0.3">
      <c r="A3317" s="7" t="s">
        <v>3329</v>
      </c>
      <c r="B3317" s="8">
        <v>361.10000610351563</v>
      </c>
    </row>
    <row r="3318" spans="1:2" x14ac:dyDescent="0.3">
      <c r="A3318" s="7" t="s">
        <v>3330</v>
      </c>
      <c r="B3318" s="8">
        <v>361.10000610351563</v>
      </c>
    </row>
    <row r="3319" spans="1:2" x14ac:dyDescent="0.3">
      <c r="A3319" s="7" t="s">
        <v>3331</v>
      </c>
      <c r="B3319" s="8">
        <v>361.10000610351563</v>
      </c>
    </row>
    <row r="3320" spans="1:2" x14ac:dyDescent="0.3">
      <c r="A3320" s="7" t="s">
        <v>3332</v>
      </c>
      <c r="B3320" s="8">
        <v>362.45010375976563</v>
      </c>
    </row>
    <row r="3321" spans="1:2" x14ac:dyDescent="0.3">
      <c r="A3321" s="7" t="s">
        <v>3333</v>
      </c>
      <c r="B3321" s="8">
        <v>363.10000610351563</v>
      </c>
    </row>
    <row r="3322" spans="1:2" x14ac:dyDescent="0.3">
      <c r="A3322" s="7" t="s">
        <v>3334</v>
      </c>
      <c r="B3322" s="8">
        <v>363.70010375976563</v>
      </c>
    </row>
    <row r="3323" spans="1:2" x14ac:dyDescent="0.3">
      <c r="A3323" s="7" t="s">
        <v>3335</v>
      </c>
      <c r="B3323" s="8">
        <v>385</v>
      </c>
    </row>
    <row r="3324" spans="1:2" x14ac:dyDescent="0.3">
      <c r="A3324" s="7" t="s">
        <v>3336</v>
      </c>
      <c r="B3324" s="8">
        <v>385</v>
      </c>
    </row>
    <row r="3325" spans="1:2" x14ac:dyDescent="0.3">
      <c r="A3325" s="7" t="s">
        <v>3337</v>
      </c>
      <c r="B3325" s="8">
        <v>385</v>
      </c>
    </row>
    <row r="3326" spans="1:2" x14ac:dyDescent="0.3">
      <c r="A3326" s="7" t="s">
        <v>3338</v>
      </c>
      <c r="B3326" s="8">
        <v>385</v>
      </c>
    </row>
    <row r="3327" spans="1:2" x14ac:dyDescent="0.3">
      <c r="A3327" s="7" t="s">
        <v>3339</v>
      </c>
      <c r="B3327" s="8">
        <v>365.95010375976563</v>
      </c>
    </row>
    <row r="3328" spans="1:2" x14ac:dyDescent="0.3">
      <c r="A3328" s="7" t="s">
        <v>3340</v>
      </c>
      <c r="B3328" s="8">
        <v>366.45010375976563</v>
      </c>
    </row>
    <row r="3329" spans="1:2" x14ac:dyDescent="0.3">
      <c r="A3329" s="7" t="s">
        <v>3341</v>
      </c>
      <c r="B3329" s="8">
        <v>799.9500732421875</v>
      </c>
    </row>
    <row r="3330" spans="1:2" x14ac:dyDescent="0.3">
      <c r="A3330" s="7" t="s">
        <v>3342</v>
      </c>
      <c r="B3330" s="8">
        <v>800.5001220703125</v>
      </c>
    </row>
    <row r="3331" spans="1:2" x14ac:dyDescent="0.3">
      <c r="A3331" s="7" t="s">
        <v>3343</v>
      </c>
      <c r="B3331" s="8">
        <v>801.10009765625</v>
      </c>
    </row>
    <row r="3332" spans="1:2" x14ac:dyDescent="0.3">
      <c r="A3332" s="7" t="s">
        <v>3344</v>
      </c>
      <c r="B3332" s="8">
        <v>801.10009765625</v>
      </c>
    </row>
    <row r="3333" spans="1:2" x14ac:dyDescent="0.3">
      <c r="A3333" s="7" t="s">
        <v>3345</v>
      </c>
      <c r="B3333" s="8">
        <v>801.10009765625</v>
      </c>
    </row>
    <row r="3334" spans="1:2" x14ac:dyDescent="0.3">
      <c r="A3334" s="7" t="s">
        <v>3346</v>
      </c>
      <c r="B3334" s="8">
        <v>802.60009765625</v>
      </c>
    </row>
    <row r="3335" spans="1:2" x14ac:dyDescent="0.3">
      <c r="A3335" s="7" t="s">
        <v>3347</v>
      </c>
      <c r="B3335" s="8">
        <v>803.15008544921875</v>
      </c>
    </row>
    <row r="3336" spans="1:2" x14ac:dyDescent="0.3">
      <c r="A3336" s="7" t="s">
        <v>3348</v>
      </c>
      <c r="B3336" s="8">
        <v>803.7000732421875</v>
      </c>
    </row>
    <row r="3337" spans="1:2" x14ac:dyDescent="0.3">
      <c r="A3337" s="7" t="s">
        <v>3349</v>
      </c>
      <c r="B3337" s="8">
        <v>804.2000732421875</v>
      </c>
    </row>
    <row r="3338" spans="1:2" x14ac:dyDescent="0.3">
      <c r="A3338" s="7" t="s">
        <v>3350</v>
      </c>
      <c r="B3338" s="8">
        <v>804.7501220703125</v>
      </c>
    </row>
    <row r="3339" spans="1:2" x14ac:dyDescent="0.3">
      <c r="A3339" s="7" t="s">
        <v>3351</v>
      </c>
      <c r="B3339" s="8">
        <v>804.7501220703125</v>
      </c>
    </row>
    <row r="3340" spans="1:2" x14ac:dyDescent="0.3">
      <c r="A3340" s="7" t="s">
        <v>3352</v>
      </c>
      <c r="B3340" s="8">
        <v>804.7501220703125</v>
      </c>
    </row>
    <row r="3341" spans="1:2" x14ac:dyDescent="0.3">
      <c r="A3341" s="7" t="s">
        <v>3353</v>
      </c>
      <c r="B3341" s="8">
        <v>804.7501220703125</v>
      </c>
    </row>
    <row r="3342" spans="1:2" x14ac:dyDescent="0.3">
      <c r="A3342" s="7" t="s">
        <v>3354</v>
      </c>
      <c r="B3342" s="8">
        <v>806.85009765625</v>
      </c>
    </row>
    <row r="3343" spans="1:2" x14ac:dyDescent="0.3">
      <c r="A3343" s="7" t="s">
        <v>3355</v>
      </c>
      <c r="B3343" s="8">
        <v>807.40008544921875</v>
      </c>
    </row>
    <row r="3344" spans="1:2" x14ac:dyDescent="0.3">
      <c r="A3344" s="7" t="s">
        <v>3356</v>
      </c>
      <c r="B3344" s="8">
        <v>827.75</v>
      </c>
    </row>
    <row r="3345" spans="1:2" x14ac:dyDescent="0.3">
      <c r="A3345" s="7" t="s">
        <v>3357</v>
      </c>
      <c r="B3345" s="8">
        <v>828.25</v>
      </c>
    </row>
    <row r="3346" spans="1:2" x14ac:dyDescent="0.3">
      <c r="A3346" s="7" t="s">
        <v>3358</v>
      </c>
      <c r="B3346" s="8">
        <v>828.25</v>
      </c>
    </row>
    <row r="3347" spans="1:2" x14ac:dyDescent="0.3">
      <c r="A3347" s="7" t="s">
        <v>3359</v>
      </c>
      <c r="B3347" s="8">
        <v>828.25</v>
      </c>
    </row>
    <row r="3348" spans="1:2" x14ac:dyDescent="0.3">
      <c r="A3348" s="7" t="s">
        <v>3360</v>
      </c>
      <c r="B3348" s="8">
        <v>828.25</v>
      </c>
    </row>
    <row r="3349" spans="1:2" x14ac:dyDescent="0.3">
      <c r="A3349" s="7" t="s">
        <v>3361</v>
      </c>
      <c r="B3349" s="8">
        <v>830.25</v>
      </c>
    </row>
    <row r="3350" spans="1:2" x14ac:dyDescent="0.3">
      <c r="A3350" s="7" t="s">
        <v>3362</v>
      </c>
      <c r="B3350" s="8">
        <v>831</v>
      </c>
    </row>
    <row r="3351" spans="1:2" x14ac:dyDescent="0.3">
      <c r="A3351" s="7" t="s">
        <v>3363</v>
      </c>
      <c r="B3351" s="8">
        <v>831.5</v>
      </c>
    </row>
    <row r="3352" spans="1:2" x14ac:dyDescent="0.3">
      <c r="A3352" s="7" t="s">
        <v>3364</v>
      </c>
      <c r="B3352" s="8">
        <v>832</v>
      </c>
    </row>
    <row r="3353" spans="1:2" x14ac:dyDescent="0.3">
      <c r="A3353" s="7" t="s">
        <v>3365</v>
      </c>
      <c r="B3353" s="8">
        <v>832</v>
      </c>
    </row>
    <row r="3354" spans="1:2" x14ac:dyDescent="0.3">
      <c r="A3354" s="7" t="s">
        <v>3366</v>
      </c>
      <c r="B3354" s="8">
        <v>832</v>
      </c>
    </row>
    <row r="3355" spans="1:2" x14ac:dyDescent="0.3">
      <c r="A3355" s="7" t="s">
        <v>3367</v>
      </c>
      <c r="B3355" s="8">
        <v>833.5</v>
      </c>
    </row>
    <row r="3356" spans="1:2" x14ac:dyDescent="0.3">
      <c r="A3356" s="7" t="s">
        <v>3368</v>
      </c>
      <c r="B3356" s="8">
        <v>834</v>
      </c>
    </row>
    <row r="3357" spans="1:2" x14ac:dyDescent="0.3">
      <c r="A3357" s="7" t="s">
        <v>3369</v>
      </c>
      <c r="B3357" s="8">
        <v>834.5</v>
      </c>
    </row>
    <row r="3358" spans="1:2" x14ac:dyDescent="0.3">
      <c r="A3358" s="7" t="s">
        <v>3370</v>
      </c>
      <c r="B3358" s="8">
        <v>835</v>
      </c>
    </row>
    <row r="3359" spans="1:2" x14ac:dyDescent="0.3">
      <c r="A3359" s="7" t="s">
        <v>3371</v>
      </c>
      <c r="B3359" s="8">
        <v>835.5</v>
      </c>
    </row>
    <row r="3360" spans="1:2" x14ac:dyDescent="0.3">
      <c r="A3360" s="7" t="s">
        <v>3372</v>
      </c>
      <c r="B3360" s="8">
        <v>835.5</v>
      </c>
    </row>
    <row r="3361" spans="1:2" x14ac:dyDescent="0.3">
      <c r="A3361" s="7" t="s">
        <v>3373</v>
      </c>
      <c r="B3361" s="8">
        <v>835.5</v>
      </c>
    </row>
    <row r="3362" spans="1:2" x14ac:dyDescent="0.3">
      <c r="A3362" s="7" t="s">
        <v>3374</v>
      </c>
      <c r="B3362" s="8">
        <v>837.25</v>
      </c>
    </row>
    <row r="3363" spans="1:2" x14ac:dyDescent="0.3">
      <c r="A3363" s="7" t="s">
        <v>3375</v>
      </c>
      <c r="B3363" s="8">
        <v>837.75</v>
      </c>
    </row>
    <row r="3364" spans="1:2" x14ac:dyDescent="0.3">
      <c r="A3364" s="7" t="s">
        <v>3376</v>
      </c>
      <c r="B3364" s="8">
        <v>838.25</v>
      </c>
    </row>
    <row r="3365" spans="1:2" x14ac:dyDescent="0.3">
      <c r="A3365" s="7" t="s">
        <v>3377</v>
      </c>
      <c r="B3365" s="8">
        <v>838.75</v>
      </c>
    </row>
    <row r="3366" spans="1:2" x14ac:dyDescent="0.3">
      <c r="A3366" s="7" t="s">
        <v>3378</v>
      </c>
      <c r="B3366" s="8">
        <v>839.25</v>
      </c>
    </row>
    <row r="3367" spans="1:2" x14ac:dyDescent="0.3">
      <c r="A3367" s="7" t="s">
        <v>3379</v>
      </c>
      <c r="B3367" s="8">
        <v>839.25</v>
      </c>
    </row>
    <row r="3368" spans="1:2" x14ac:dyDescent="0.3">
      <c r="A3368" s="7" t="s">
        <v>3380</v>
      </c>
      <c r="B3368" s="8">
        <v>839.25</v>
      </c>
    </row>
    <row r="3369" spans="1:2" x14ac:dyDescent="0.3">
      <c r="A3369" s="7" t="s">
        <v>3381</v>
      </c>
      <c r="B3369" s="8">
        <v>840.75</v>
      </c>
    </row>
    <row r="3370" spans="1:2" x14ac:dyDescent="0.3">
      <c r="A3370" s="7" t="s">
        <v>3382</v>
      </c>
      <c r="B3370" s="8">
        <v>841.25</v>
      </c>
    </row>
    <row r="3371" spans="1:2" x14ac:dyDescent="0.3">
      <c r="A3371" s="7" t="s">
        <v>3383</v>
      </c>
      <c r="B3371" s="8">
        <v>841.75</v>
      </c>
    </row>
    <row r="3372" spans="1:2" x14ac:dyDescent="0.3">
      <c r="A3372" s="7" t="s">
        <v>3384</v>
      </c>
      <c r="B3372" s="8">
        <v>842.25</v>
      </c>
    </row>
    <row r="3373" spans="1:2" x14ac:dyDescent="0.3">
      <c r="A3373" s="7" t="s">
        <v>3385</v>
      </c>
      <c r="B3373" s="8">
        <v>842.75</v>
      </c>
    </row>
    <row r="3374" spans="1:2" x14ac:dyDescent="0.3">
      <c r="A3374" s="7" t="s">
        <v>3386</v>
      </c>
      <c r="B3374" s="8">
        <v>842.75</v>
      </c>
    </row>
    <row r="3375" spans="1:2" x14ac:dyDescent="0.3">
      <c r="A3375" s="7" t="s">
        <v>3387</v>
      </c>
      <c r="B3375" s="8">
        <v>842.75</v>
      </c>
    </row>
    <row r="3376" spans="1:2" x14ac:dyDescent="0.3">
      <c r="A3376" s="7" t="s">
        <v>3388</v>
      </c>
      <c r="B3376" s="8">
        <v>844.5</v>
      </c>
    </row>
    <row r="3377" spans="1:2" x14ac:dyDescent="0.3">
      <c r="A3377" s="7" t="s">
        <v>3389</v>
      </c>
      <c r="B3377" s="8">
        <v>845</v>
      </c>
    </row>
    <row r="3378" spans="1:2" x14ac:dyDescent="0.3">
      <c r="A3378" s="7" t="s">
        <v>3390</v>
      </c>
      <c r="B3378" s="8">
        <v>845.5</v>
      </c>
    </row>
    <row r="3379" spans="1:2" x14ac:dyDescent="0.3">
      <c r="A3379" s="7" t="s">
        <v>3391</v>
      </c>
      <c r="B3379" s="8">
        <v>846</v>
      </c>
    </row>
    <row r="3380" spans="1:2" x14ac:dyDescent="0.3">
      <c r="A3380" s="7" t="s">
        <v>3392</v>
      </c>
      <c r="B3380" s="8">
        <v>846.5</v>
      </c>
    </row>
    <row r="3381" spans="1:2" x14ac:dyDescent="0.3">
      <c r="A3381" s="7" t="s">
        <v>3393</v>
      </c>
      <c r="B3381" s="8">
        <v>846.5</v>
      </c>
    </row>
    <row r="3382" spans="1:2" x14ac:dyDescent="0.3">
      <c r="A3382" s="7" t="s">
        <v>3394</v>
      </c>
      <c r="B3382" s="8">
        <v>846.5</v>
      </c>
    </row>
    <row r="3383" spans="1:2" x14ac:dyDescent="0.3">
      <c r="A3383" s="7" t="s">
        <v>3395</v>
      </c>
      <c r="B3383" s="8">
        <v>848</v>
      </c>
    </row>
    <row r="3384" spans="1:2" x14ac:dyDescent="0.3">
      <c r="A3384" s="7" t="s">
        <v>3396</v>
      </c>
      <c r="B3384" s="8">
        <v>848.5</v>
      </c>
    </row>
    <row r="3385" spans="1:2" x14ac:dyDescent="0.3">
      <c r="A3385" s="7" t="s">
        <v>3397</v>
      </c>
      <c r="B3385" s="8">
        <v>849</v>
      </c>
    </row>
    <row r="3386" spans="1:2" x14ac:dyDescent="0.3">
      <c r="A3386" s="7" t="s">
        <v>3398</v>
      </c>
      <c r="B3386" s="8">
        <v>849.5</v>
      </c>
    </row>
    <row r="3387" spans="1:2" x14ac:dyDescent="0.3">
      <c r="A3387" s="7" t="s">
        <v>3399</v>
      </c>
      <c r="B3387" s="8">
        <v>850</v>
      </c>
    </row>
    <row r="3388" spans="1:2" x14ac:dyDescent="0.3">
      <c r="A3388" s="7" t="s">
        <v>3400</v>
      </c>
      <c r="B3388" s="8">
        <v>850</v>
      </c>
    </row>
    <row r="3389" spans="1:2" x14ac:dyDescent="0.3">
      <c r="A3389" s="7" t="s">
        <v>3401</v>
      </c>
      <c r="B3389" s="8">
        <v>850</v>
      </c>
    </row>
    <row r="3390" spans="1:2" x14ac:dyDescent="0.3">
      <c r="A3390" s="7" t="s">
        <v>3402</v>
      </c>
      <c r="B3390" s="8">
        <v>850</v>
      </c>
    </row>
    <row r="3391" spans="1:2" x14ac:dyDescent="0.3">
      <c r="A3391" s="7" t="s">
        <v>3403</v>
      </c>
      <c r="B3391" s="8">
        <v>850</v>
      </c>
    </row>
    <row r="3392" spans="1:2" x14ac:dyDescent="0.3">
      <c r="A3392" s="7" t="s">
        <v>3404</v>
      </c>
      <c r="B3392" s="8">
        <v>853</v>
      </c>
    </row>
    <row r="3393" spans="1:2" x14ac:dyDescent="0.3">
      <c r="A3393" s="7" t="s">
        <v>3405</v>
      </c>
      <c r="B3393" s="8">
        <v>853.5</v>
      </c>
    </row>
    <row r="3394" spans="1:2" x14ac:dyDescent="0.3">
      <c r="A3394" s="7" t="s">
        <v>3406</v>
      </c>
      <c r="B3394" s="8">
        <v>854</v>
      </c>
    </row>
    <row r="3395" spans="1:2" x14ac:dyDescent="0.3">
      <c r="A3395" s="7" t="s">
        <v>3407</v>
      </c>
      <c r="B3395" s="8">
        <v>854</v>
      </c>
    </row>
    <row r="3396" spans="1:2" x14ac:dyDescent="0.3">
      <c r="A3396" s="7" t="s">
        <v>3408</v>
      </c>
      <c r="B3396" s="8">
        <v>854</v>
      </c>
    </row>
    <row r="3397" spans="1:2" x14ac:dyDescent="0.3">
      <c r="A3397" s="7" t="s">
        <v>3409</v>
      </c>
      <c r="B3397" s="8">
        <v>855.5</v>
      </c>
    </row>
    <row r="3398" spans="1:2" x14ac:dyDescent="0.3">
      <c r="A3398" s="7" t="s">
        <v>3410</v>
      </c>
      <c r="B3398" s="8">
        <v>856</v>
      </c>
    </row>
    <row r="3399" spans="1:2" x14ac:dyDescent="0.3">
      <c r="A3399" s="7" t="s">
        <v>3411</v>
      </c>
      <c r="B3399" s="8">
        <v>856.5</v>
      </c>
    </row>
    <row r="3400" spans="1:2" x14ac:dyDescent="0.3">
      <c r="A3400" s="7" t="s">
        <v>3412</v>
      </c>
      <c r="B3400" s="8">
        <v>857</v>
      </c>
    </row>
    <row r="3401" spans="1:2" x14ac:dyDescent="0.3">
      <c r="A3401" s="7" t="s">
        <v>3413</v>
      </c>
      <c r="B3401" s="8">
        <v>857.5</v>
      </c>
    </row>
    <row r="3402" spans="1:2" x14ac:dyDescent="0.3">
      <c r="A3402" s="7" t="s">
        <v>3414</v>
      </c>
      <c r="B3402" s="8">
        <v>857.5</v>
      </c>
    </row>
    <row r="3403" spans="1:2" x14ac:dyDescent="0.3">
      <c r="A3403" s="7" t="s">
        <v>3415</v>
      </c>
      <c r="B3403" s="8">
        <v>857.5</v>
      </c>
    </row>
    <row r="3404" spans="1:2" x14ac:dyDescent="0.3">
      <c r="A3404" s="7" t="s">
        <v>3416</v>
      </c>
      <c r="B3404" s="8">
        <v>859.5</v>
      </c>
    </row>
    <row r="3405" spans="1:2" x14ac:dyDescent="0.3">
      <c r="A3405" s="7" t="s">
        <v>3417</v>
      </c>
      <c r="B3405" s="8">
        <v>860</v>
      </c>
    </row>
    <row r="3406" spans="1:2" x14ac:dyDescent="0.3">
      <c r="A3406" s="7" t="s">
        <v>3418</v>
      </c>
      <c r="B3406" s="8">
        <v>860.5</v>
      </c>
    </row>
    <row r="3407" spans="1:2" x14ac:dyDescent="0.3">
      <c r="A3407" s="7" t="s">
        <v>3419</v>
      </c>
      <c r="B3407" s="8">
        <v>861</v>
      </c>
    </row>
    <row r="3408" spans="1:2" x14ac:dyDescent="0.3">
      <c r="A3408" s="7" t="s">
        <v>3420</v>
      </c>
      <c r="B3408" s="8">
        <v>861.5</v>
      </c>
    </row>
    <row r="3409" spans="1:2" x14ac:dyDescent="0.3">
      <c r="A3409" s="7" t="s">
        <v>3421</v>
      </c>
      <c r="B3409" s="8">
        <v>861.5</v>
      </c>
    </row>
    <row r="3410" spans="1:2" x14ac:dyDescent="0.3">
      <c r="A3410" s="7" t="s">
        <v>3422</v>
      </c>
      <c r="B3410" s="8">
        <v>861.5</v>
      </c>
    </row>
    <row r="3411" spans="1:2" x14ac:dyDescent="0.3">
      <c r="A3411" s="7" t="s">
        <v>3423</v>
      </c>
      <c r="B3411" s="8">
        <v>863</v>
      </c>
    </row>
    <row r="3412" spans="1:2" x14ac:dyDescent="0.3">
      <c r="A3412" s="7" t="s">
        <v>3424</v>
      </c>
      <c r="B3412" s="8">
        <v>864</v>
      </c>
    </row>
    <row r="3413" spans="1:2" x14ac:dyDescent="0.3">
      <c r="A3413" s="7" t="s">
        <v>3425</v>
      </c>
      <c r="B3413" s="8">
        <v>864.5</v>
      </c>
    </row>
    <row r="3414" spans="1:2" x14ac:dyDescent="0.3">
      <c r="A3414" s="7" t="s">
        <v>3426</v>
      </c>
      <c r="B3414" s="8">
        <v>865</v>
      </c>
    </row>
    <row r="3415" spans="1:2" x14ac:dyDescent="0.3">
      <c r="A3415" s="7" t="s">
        <v>3427</v>
      </c>
      <c r="B3415" s="8">
        <v>865.5</v>
      </c>
    </row>
    <row r="3416" spans="1:2" x14ac:dyDescent="0.3">
      <c r="A3416" s="7" t="s">
        <v>3428</v>
      </c>
      <c r="B3416" s="8">
        <v>865.5</v>
      </c>
    </row>
    <row r="3417" spans="1:2" x14ac:dyDescent="0.3">
      <c r="A3417" s="7" t="s">
        <v>3429</v>
      </c>
      <c r="B3417" s="8">
        <v>865.5</v>
      </c>
    </row>
    <row r="3418" spans="1:2" x14ac:dyDescent="0.3">
      <c r="A3418" s="7" t="s">
        <v>3430</v>
      </c>
      <c r="B3418" s="8">
        <v>867</v>
      </c>
    </row>
    <row r="3419" spans="1:2" x14ac:dyDescent="0.3">
      <c r="A3419" s="7" t="s">
        <v>3431</v>
      </c>
      <c r="B3419" s="8">
        <v>867.5</v>
      </c>
    </row>
    <row r="3420" spans="1:2" x14ac:dyDescent="0.3">
      <c r="A3420" s="7" t="s">
        <v>3432</v>
      </c>
      <c r="B3420" s="8">
        <v>868.5</v>
      </c>
    </row>
    <row r="3421" spans="1:2" x14ac:dyDescent="0.3">
      <c r="A3421" s="7" t="s">
        <v>3433</v>
      </c>
      <c r="B3421" s="8">
        <v>869</v>
      </c>
    </row>
    <row r="3422" spans="1:2" x14ac:dyDescent="0.3">
      <c r="A3422" s="7" t="s">
        <v>3434</v>
      </c>
      <c r="B3422" s="8">
        <v>869.5</v>
      </c>
    </row>
    <row r="3423" spans="1:2" x14ac:dyDescent="0.3">
      <c r="A3423" s="7" t="s">
        <v>3435</v>
      </c>
      <c r="B3423" s="8">
        <v>869.5</v>
      </c>
    </row>
    <row r="3424" spans="1:2" x14ac:dyDescent="0.3">
      <c r="A3424" s="7" t="s">
        <v>3436</v>
      </c>
      <c r="B3424" s="8">
        <v>869.5</v>
      </c>
    </row>
    <row r="3425" spans="1:2" x14ac:dyDescent="0.3">
      <c r="A3425" s="7" t="s">
        <v>3437</v>
      </c>
      <c r="B3425" s="8">
        <v>871</v>
      </c>
    </row>
    <row r="3426" spans="1:2" x14ac:dyDescent="0.3">
      <c r="A3426" s="7" t="s">
        <v>3438</v>
      </c>
      <c r="B3426" s="8">
        <v>871.5</v>
      </c>
    </row>
    <row r="3427" spans="1:2" x14ac:dyDescent="0.3">
      <c r="A3427" s="7" t="s">
        <v>3439</v>
      </c>
      <c r="B3427" s="8">
        <v>872</v>
      </c>
    </row>
    <row r="3428" spans="1:2" x14ac:dyDescent="0.3">
      <c r="A3428" s="7" t="s">
        <v>3440</v>
      </c>
      <c r="B3428" s="8">
        <v>872.5</v>
      </c>
    </row>
    <row r="3429" spans="1:2" x14ac:dyDescent="0.3">
      <c r="A3429" s="7" t="s">
        <v>3441</v>
      </c>
      <c r="B3429" s="8">
        <v>873.5</v>
      </c>
    </row>
    <row r="3430" spans="1:2" x14ac:dyDescent="0.3">
      <c r="A3430" s="7" t="s">
        <v>3442</v>
      </c>
      <c r="B3430" s="8">
        <v>873.5</v>
      </c>
    </row>
    <row r="3431" spans="1:2" x14ac:dyDescent="0.3">
      <c r="A3431" s="7" t="s">
        <v>3443</v>
      </c>
      <c r="B3431" s="8">
        <v>873.5</v>
      </c>
    </row>
    <row r="3432" spans="1:2" x14ac:dyDescent="0.3">
      <c r="A3432" s="7" t="s">
        <v>3444</v>
      </c>
      <c r="B3432" s="8">
        <v>875</v>
      </c>
    </row>
    <row r="3433" spans="1:2" x14ac:dyDescent="0.3">
      <c r="A3433" s="7" t="s">
        <v>3445</v>
      </c>
      <c r="B3433" s="8">
        <v>875.5</v>
      </c>
    </row>
    <row r="3434" spans="1:2" x14ac:dyDescent="0.3">
      <c r="A3434" s="7" t="s">
        <v>3446</v>
      </c>
      <c r="B3434" s="8">
        <v>876</v>
      </c>
    </row>
    <row r="3435" spans="1:2" x14ac:dyDescent="0.3">
      <c r="A3435" s="7" t="s">
        <v>3447</v>
      </c>
      <c r="B3435" s="8">
        <v>876</v>
      </c>
    </row>
    <row r="3436" spans="1:2" x14ac:dyDescent="0.3">
      <c r="A3436" s="7" t="s">
        <v>3448</v>
      </c>
      <c r="B3436" s="8">
        <v>876</v>
      </c>
    </row>
    <row r="3437" spans="1:2" x14ac:dyDescent="0.3">
      <c r="A3437" s="7" t="s">
        <v>3449</v>
      </c>
      <c r="B3437" s="8">
        <v>876</v>
      </c>
    </row>
    <row r="3438" spans="1:2" x14ac:dyDescent="0.3">
      <c r="A3438" s="7" t="s">
        <v>3450</v>
      </c>
      <c r="B3438" s="8">
        <v>876</v>
      </c>
    </row>
    <row r="3439" spans="1:2" x14ac:dyDescent="0.3">
      <c r="A3439" s="7" t="s">
        <v>3451</v>
      </c>
      <c r="B3439" s="8">
        <v>876</v>
      </c>
    </row>
    <row r="3440" spans="1:2" x14ac:dyDescent="0.3">
      <c r="A3440" s="7" t="s">
        <v>3452</v>
      </c>
      <c r="B3440" s="8">
        <v>876</v>
      </c>
    </row>
    <row r="3441" spans="1:2" x14ac:dyDescent="0.3">
      <c r="A3441" s="7" t="s">
        <v>3453</v>
      </c>
      <c r="B3441" s="8">
        <v>880</v>
      </c>
    </row>
    <row r="3442" spans="1:2" x14ac:dyDescent="0.3">
      <c r="A3442" s="7" t="s">
        <v>3454</v>
      </c>
      <c r="B3442" s="8">
        <v>880.5</v>
      </c>
    </row>
    <row r="3443" spans="1:2" x14ac:dyDescent="0.3">
      <c r="A3443" s="7" t="s">
        <v>3455</v>
      </c>
      <c r="B3443" s="8">
        <v>881.5</v>
      </c>
    </row>
    <row r="3444" spans="1:2" x14ac:dyDescent="0.3">
      <c r="A3444" s="7" t="s">
        <v>3456</v>
      </c>
      <c r="B3444" s="8">
        <v>881.5</v>
      </c>
    </row>
    <row r="3445" spans="1:2" x14ac:dyDescent="0.3">
      <c r="A3445" s="7" t="s">
        <v>3457</v>
      </c>
      <c r="B3445" s="8">
        <v>881.5</v>
      </c>
    </row>
    <row r="3446" spans="1:2" x14ac:dyDescent="0.3">
      <c r="A3446" s="7" t="s">
        <v>3458</v>
      </c>
      <c r="B3446" s="8">
        <v>883</v>
      </c>
    </row>
    <row r="3447" spans="1:2" x14ac:dyDescent="0.3">
      <c r="A3447" s="7" t="s">
        <v>3459</v>
      </c>
      <c r="B3447" s="8">
        <v>883.5</v>
      </c>
    </row>
    <row r="3448" spans="1:2" x14ac:dyDescent="0.3">
      <c r="A3448" s="7" t="s">
        <v>3460</v>
      </c>
      <c r="B3448" s="8">
        <v>884</v>
      </c>
    </row>
    <row r="3449" spans="1:2" x14ac:dyDescent="0.3">
      <c r="A3449" s="7" t="s">
        <v>3461</v>
      </c>
      <c r="B3449" s="8">
        <v>884.5</v>
      </c>
    </row>
    <row r="3450" spans="1:2" x14ac:dyDescent="0.3">
      <c r="A3450" s="7" t="s">
        <v>3462</v>
      </c>
      <c r="B3450" s="8">
        <v>885.5</v>
      </c>
    </row>
    <row r="3451" spans="1:2" x14ac:dyDescent="0.3">
      <c r="A3451" s="7" t="s">
        <v>3463</v>
      </c>
      <c r="B3451" s="8">
        <v>885.5</v>
      </c>
    </row>
    <row r="3452" spans="1:2" x14ac:dyDescent="0.3">
      <c r="A3452" s="7" t="s">
        <v>3464</v>
      </c>
      <c r="B3452" s="8">
        <v>885.5</v>
      </c>
    </row>
    <row r="3453" spans="1:2" x14ac:dyDescent="0.3">
      <c r="A3453" s="7" t="s">
        <v>3465</v>
      </c>
      <c r="B3453" s="8">
        <v>887</v>
      </c>
    </row>
    <row r="3454" spans="1:2" x14ac:dyDescent="0.3">
      <c r="A3454" s="7" t="s">
        <v>3466</v>
      </c>
      <c r="B3454" s="8">
        <v>887.5</v>
      </c>
    </row>
    <row r="3455" spans="1:2" x14ac:dyDescent="0.3">
      <c r="A3455" s="7" t="s">
        <v>3467</v>
      </c>
      <c r="B3455" s="8">
        <v>888</v>
      </c>
    </row>
    <row r="3456" spans="1:2" x14ac:dyDescent="0.3">
      <c r="A3456" s="7" t="s">
        <v>3468</v>
      </c>
      <c r="B3456" s="8">
        <v>888.5</v>
      </c>
    </row>
    <row r="3457" spans="1:2" x14ac:dyDescent="0.3">
      <c r="A3457" s="7" t="s">
        <v>3469</v>
      </c>
      <c r="B3457" s="8">
        <v>890</v>
      </c>
    </row>
    <row r="3458" spans="1:2" x14ac:dyDescent="0.3">
      <c r="A3458" s="7" t="s">
        <v>3470</v>
      </c>
      <c r="B3458" s="8">
        <v>890</v>
      </c>
    </row>
    <row r="3459" spans="1:2" x14ac:dyDescent="0.3">
      <c r="A3459" s="7" t="s">
        <v>3471</v>
      </c>
      <c r="B3459" s="8">
        <v>890</v>
      </c>
    </row>
    <row r="3460" spans="1:2" x14ac:dyDescent="0.3">
      <c r="A3460" s="7" t="s">
        <v>3472</v>
      </c>
      <c r="B3460" s="8">
        <v>892</v>
      </c>
    </row>
    <row r="3461" spans="1:2" x14ac:dyDescent="0.3">
      <c r="A3461" s="7" t="s">
        <v>3473</v>
      </c>
      <c r="B3461" s="8">
        <v>892</v>
      </c>
    </row>
    <row r="3462" spans="1:2" x14ac:dyDescent="0.3">
      <c r="A3462" s="7" t="s">
        <v>3474</v>
      </c>
      <c r="B3462" s="8">
        <v>892.5</v>
      </c>
    </row>
    <row r="3463" spans="1:2" x14ac:dyDescent="0.3">
      <c r="A3463" s="7" t="s">
        <v>3475</v>
      </c>
      <c r="B3463" s="8">
        <v>893</v>
      </c>
    </row>
    <row r="3464" spans="1:2" x14ac:dyDescent="0.3">
      <c r="A3464" s="7" t="s">
        <v>3476</v>
      </c>
      <c r="B3464" s="8">
        <v>894</v>
      </c>
    </row>
    <row r="3465" spans="1:2" x14ac:dyDescent="0.3">
      <c r="A3465" s="7" t="s">
        <v>3477</v>
      </c>
      <c r="B3465" s="8">
        <v>894</v>
      </c>
    </row>
    <row r="3466" spans="1:2" x14ac:dyDescent="0.3">
      <c r="A3466" s="7" t="s">
        <v>3478</v>
      </c>
      <c r="B3466" s="8">
        <v>894</v>
      </c>
    </row>
    <row r="3467" spans="1:2" x14ac:dyDescent="0.3">
      <c r="A3467" s="7" t="s">
        <v>3479</v>
      </c>
      <c r="B3467" s="8">
        <v>895.5</v>
      </c>
    </row>
    <row r="3468" spans="1:2" x14ac:dyDescent="0.3">
      <c r="A3468" s="7" t="s">
        <v>3480</v>
      </c>
      <c r="B3468" s="8">
        <v>896</v>
      </c>
    </row>
    <row r="3469" spans="1:2" x14ac:dyDescent="0.3">
      <c r="A3469" s="7" t="s">
        <v>3481</v>
      </c>
      <c r="B3469" s="8">
        <v>896</v>
      </c>
    </row>
    <row r="3470" spans="1:2" x14ac:dyDescent="0.3">
      <c r="A3470" s="7" t="s">
        <v>3482</v>
      </c>
      <c r="B3470" s="8">
        <v>897</v>
      </c>
    </row>
    <row r="3471" spans="1:2" x14ac:dyDescent="0.3">
      <c r="A3471" s="7" t="s">
        <v>3483</v>
      </c>
      <c r="B3471" s="8">
        <v>897.5</v>
      </c>
    </row>
    <row r="3472" spans="1:2" x14ac:dyDescent="0.3">
      <c r="A3472" s="7" t="s">
        <v>3484</v>
      </c>
      <c r="B3472" s="8">
        <v>897.5</v>
      </c>
    </row>
    <row r="3473" spans="1:2" x14ac:dyDescent="0.3">
      <c r="A3473" s="7" t="s">
        <v>3485</v>
      </c>
      <c r="B3473" s="8">
        <v>897.5</v>
      </c>
    </row>
    <row r="3474" spans="1:2" x14ac:dyDescent="0.3">
      <c r="A3474" s="7" t="s">
        <v>3486</v>
      </c>
      <c r="B3474" s="8">
        <v>899</v>
      </c>
    </row>
    <row r="3475" spans="1:2" x14ac:dyDescent="0.3">
      <c r="A3475" s="7" t="s">
        <v>3487</v>
      </c>
      <c r="B3475" s="8">
        <v>899.5</v>
      </c>
    </row>
    <row r="3476" spans="1:2" x14ac:dyDescent="0.3">
      <c r="A3476" s="7" t="s">
        <v>3488</v>
      </c>
      <c r="B3476" s="8">
        <v>900.5</v>
      </c>
    </row>
    <row r="3477" spans="1:2" x14ac:dyDescent="0.3">
      <c r="A3477" s="7" t="s">
        <v>3489</v>
      </c>
      <c r="B3477" s="8">
        <v>901</v>
      </c>
    </row>
    <row r="3478" spans="1:2" x14ac:dyDescent="0.3">
      <c r="A3478" s="7" t="s">
        <v>3490</v>
      </c>
      <c r="B3478" s="8">
        <v>901.5</v>
      </c>
    </row>
    <row r="3479" spans="1:2" x14ac:dyDescent="0.3">
      <c r="A3479" s="7" t="s">
        <v>3491</v>
      </c>
      <c r="B3479" s="8">
        <v>901.5</v>
      </c>
    </row>
    <row r="3480" spans="1:2" x14ac:dyDescent="0.3">
      <c r="A3480" s="7" t="s">
        <v>3492</v>
      </c>
      <c r="B3480" s="8">
        <v>901.5</v>
      </c>
    </row>
    <row r="3481" spans="1:2" x14ac:dyDescent="0.3">
      <c r="A3481" s="7" t="s">
        <v>3493</v>
      </c>
      <c r="B3481" s="8">
        <v>903</v>
      </c>
    </row>
    <row r="3482" spans="1:2" x14ac:dyDescent="0.3">
      <c r="A3482" s="7" t="s">
        <v>3494</v>
      </c>
      <c r="B3482" s="8">
        <v>904</v>
      </c>
    </row>
    <row r="3483" spans="1:2" x14ac:dyDescent="0.3">
      <c r="A3483" s="7" t="s">
        <v>3495</v>
      </c>
      <c r="B3483" s="8">
        <v>904.5</v>
      </c>
    </row>
    <row r="3484" spans="1:2" x14ac:dyDescent="0.3">
      <c r="A3484" s="7" t="s">
        <v>3496</v>
      </c>
      <c r="B3484" s="8">
        <v>905</v>
      </c>
    </row>
    <row r="3485" spans="1:2" x14ac:dyDescent="0.3">
      <c r="A3485" s="7" t="s">
        <v>3497</v>
      </c>
      <c r="B3485" s="8">
        <v>905.5</v>
      </c>
    </row>
    <row r="3486" spans="1:2" x14ac:dyDescent="0.3">
      <c r="A3486" s="7" t="s">
        <v>3498</v>
      </c>
      <c r="B3486" s="8">
        <v>905.5</v>
      </c>
    </row>
    <row r="3487" spans="1:2" x14ac:dyDescent="0.3">
      <c r="A3487" s="7" t="s">
        <v>3499</v>
      </c>
      <c r="B3487" s="8">
        <v>905.5</v>
      </c>
    </row>
    <row r="3488" spans="1:2" x14ac:dyDescent="0.3">
      <c r="A3488" s="7" t="s">
        <v>3500</v>
      </c>
      <c r="B3488" s="8">
        <v>907.5</v>
      </c>
    </row>
    <row r="3489" spans="1:2" x14ac:dyDescent="0.3">
      <c r="A3489" s="7" t="s">
        <v>3501</v>
      </c>
      <c r="B3489" s="8">
        <v>908</v>
      </c>
    </row>
    <row r="3490" spans="1:2" x14ac:dyDescent="0.3">
      <c r="A3490" s="7" t="s">
        <v>3502</v>
      </c>
      <c r="B3490" s="8">
        <v>908.5</v>
      </c>
    </row>
    <row r="3491" spans="1:2" x14ac:dyDescent="0.3">
      <c r="A3491" s="7" t="s">
        <v>3503</v>
      </c>
      <c r="B3491" s="8">
        <v>909</v>
      </c>
    </row>
    <row r="3492" spans="1:2" x14ac:dyDescent="0.3">
      <c r="A3492" s="7" t="s">
        <v>3504</v>
      </c>
      <c r="B3492" s="8">
        <v>909.5</v>
      </c>
    </row>
    <row r="3493" spans="1:2" x14ac:dyDescent="0.3">
      <c r="A3493" s="7" t="s">
        <v>3505</v>
      </c>
      <c r="B3493" s="8">
        <v>909.5</v>
      </c>
    </row>
    <row r="3494" spans="1:2" x14ac:dyDescent="0.3">
      <c r="A3494" s="7" t="s">
        <v>3506</v>
      </c>
      <c r="B3494" s="8">
        <v>909.5</v>
      </c>
    </row>
    <row r="3495" spans="1:2" x14ac:dyDescent="0.3">
      <c r="A3495" s="7" t="s">
        <v>3507</v>
      </c>
      <c r="B3495" s="8">
        <v>911.5</v>
      </c>
    </row>
    <row r="3496" spans="1:2" x14ac:dyDescent="0.3">
      <c r="A3496" s="7" t="s">
        <v>3508</v>
      </c>
      <c r="B3496" s="8">
        <v>912.5</v>
      </c>
    </row>
    <row r="3497" spans="1:2" x14ac:dyDescent="0.3">
      <c r="A3497" s="7" t="s">
        <v>3509</v>
      </c>
      <c r="B3497" s="8">
        <v>913</v>
      </c>
    </row>
    <row r="3498" spans="1:2" x14ac:dyDescent="0.3">
      <c r="A3498" s="7" t="s">
        <v>3510</v>
      </c>
      <c r="B3498" s="8">
        <v>913</v>
      </c>
    </row>
    <row r="3499" spans="1:2" x14ac:dyDescent="0.3">
      <c r="A3499" s="7" t="s">
        <v>3511</v>
      </c>
      <c r="B3499" s="8">
        <v>914</v>
      </c>
    </row>
    <row r="3500" spans="1:2" x14ac:dyDescent="0.3">
      <c r="A3500" s="7" t="s">
        <v>3512</v>
      </c>
      <c r="B3500" s="8">
        <v>914</v>
      </c>
    </row>
    <row r="3501" spans="1:2" x14ac:dyDescent="0.3">
      <c r="A3501" s="7" t="s">
        <v>3513</v>
      </c>
      <c r="B3501" s="8">
        <v>914</v>
      </c>
    </row>
    <row r="3502" spans="1:2" x14ac:dyDescent="0.3">
      <c r="A3502" s="7" t="s">
        <v>3514</v>
      </c>
      <c r="B3502" s="8">
        <v>916</v>
      </c>
    </row>
    <row r="3503" spans="1:2" x14ac:dyDescent="0.3">
      <c r="A3503" s="7" t="s">
        <v>3515</v>
      </c>
      <c r="B3503" s="8">
        <v>916.5</v>
      </c>
    </row>
    <row r="3504" spans="1:2" x14ac:dyDescent="0.3">
      <c r="A3504" s="7" t="s">
        <v>3516</v>
      </c>
      <c r="B3504" s="8">
        <v>916.5</v>
      </c>
    </row>
    <row r="3505" spans="1:2" x14ac:dyDescent="0.3">
      <c r="A3505" s="7" t="s">
        <v>3517</v>
      </c>
      <c r="B3505" s="8">
        <v>918</v>
      </c>
    </row>
    <row r="3506" spans="1:2" x14ac:dyDescent="0.3">
      <c r="A3506" s="7" t="s">
        <v>3518</v>
      </c>
      <c r="B3506" s="8">
        <v>918</v>
      </c>
    </row>
    <row r="3507" spans="1:2" x14ac:dyDescent="0.3">
      <c r="A3507" s="7" t="s">
        <v>3519</v>
      </c>
      <c r="B3507" s="8">
        <v>918</v>
      </c>
    </row>
    <row r="3508" spans="1:2" x14ac:dyDescent="0.3">
      <c r="A3508" s="7" t="s">
        <v>3520</v>
      </c>
      <c r="B3508" s="8">
        <v>918</v>
      </c>
    </row>
    <row r="3509" spans="1:2" x14ac:dyDescent="0.3">
      <c r="A3509" s="7" t="s">
        <v>3521</v>
      </c>
      <c r="B3509" s="8">
        <v>920.5</v>
      </c>
    </row>
    <row r="3510" spans="1:2" x14ac:dyDescent="0.3">
      <c r="A3510" s="7" t="s">
        <v>3522</v>
      </c>
      <c r="B3510" s="8">
        <v>921</v>
      </c>
    </row>
    <row r="3511" spans="1:2" x14ac:dyDescent="0.3">
      <c r="A3511" s="7" t="s">
        <v>3523</v>
      </c>
      <c r="B3511" s="8">
        <v>921.5</v>
      </c>
    </row>
    <row r="3512" spans="1:2" x14ac:dyDescent="0.3">
      <c r="A3512" s="7" t="s">
        <v>3524</v>
      </c>
      <c r="B3512" s="8">
        <v>921.5</v>
      </c>
    </row>
    <row r="3513" spans="1:2" x14ac:dyDescent="0.3">
      <c r="A3513" s="7" t="s">
        <v>3525</v>
      </c>
      <c r="B3513" s="8">
        <v>922</v>
      </c>
    </row>
    <row r="3514" spans="1:2" x14ac:dyDescent="0.3">
      <c r="A3514" s="7" t="s">
        <v>3526</v>
      </c>
      <c r="B3514" s="8">
        <v>922</v>
      </c>
    </row>
    <row r="3515" spans="1:2" x14ac:dyDescent="0.3">
      <c r="A3515" s="7" t="s">
        <v>3527</v>
      </c>
      <c r="B3515" s="8">
        <v>922</v>
      </c>
    </row>
    <row r="3516" spans="1:2" x14ac:dyDescent="0.3">
      <c r="A3516" s="7" t="s">
        <v>3528</v>
      </c>
      <c r="B3516" s="8">
        <v>922</v>
      </c>
    </row>
    <row r="3517" spans="1:2" x14ac:dyDescent="0.3">
      <c r="A3517" s="7" t="s">
        <v>3529</v>
      </c>
      <c r="B3517" s="8">
        <v>924</v>
      </c>
    </row>
    <row r="3518" spans="1:2" x14ac:dyDescent="0.3">
      <c r="A3518" s="7" t="s">
        <v>3530</v>
      </c>
      <c r="B3518" s="8">
        <v>924.5</v>
      </c>
    </row>
    <row r="3519" spans="1:2" x14ac:dyDescent="0.3">
      <c r="A3519" s="7" t="s">
        <v>3531</v>
      </c>
      <c r="B3519" s="8">
        <v>924.5</v>
      </c>
    </row>
    <row r="3520" spans="1:2" x14ac:dyDescent="0.3">
      <c r="A3520" s="7" t="s">
        <v>3532</v>
      </c>
      <c r="B3520" s="8">
        <v>924.5</v>
      </c>
    </row>
    <row r="3521" spans="1:2" x14ac:dyDescent="0.3">
      <c r="A3521" s="7" t="s">
        <v>3533</v>
      </c>
      <c r="B3521" s="8">
        <v>924.5</v>
      </c>
    </row>
    <row r="3522" spans="1:2" x14ac:dyDescent="0.3">
      <c r="A3522" s="7" t="s">
        <v>3534</v>
      </c>
      <c r="B3522" s="8">
        <v>924.5</v>
      </c>
    </row>
    <row r="3523" spans="1:2" x14ac:dyDescent="0.3">
      <c r="A3523" s="7" t="s">
        <v>3535</v>
      </c>
      <c r="B3523" s="8">
        <v>927</v>
      </c>
    </row>
    <row r="3524" spans="1:2" x14ac:dyDescent="0.3">
      <c r="A3524" s="7" t="s">
        <v>3536</v>
      </c>
      <c r="B3524" s="8">
        <v>927.5</v>
      </c>
    </row>
    <row r="3525" spans="1:2" x14ac:dyDescent="0.3">
      <c r="A3525" s="7" t="s">
        <v>3537</v>
      </c>
      <c r="B3525" s="8">
        <v>928</v>
      </c>
    </row>
    <row r="3526" spans="1:2" x14ac:dyDescent="0.3">
      <c r="A3526" s="7" t="s">
        <v>3538</v>
      </c>
      <c r="B3526" s="8">
        <v>929.5</v>
      </c>
    </row>
    <row r="3527" spans="1:2" x14ac:dyDescent="0.3">
      <c r="A3527" s="7" t="s">
        <v>3539</v>
      </c>
      <c r="B3527" s="8">
        <v>930.5</v>
      </c>
    </row>
    <row r="3528" spans="1:2" x14ac:dyDescent="0.3">
      <c r="A3528" s="7" t="s">
        <v>3540</v>
      </c>
      <c r="B3528" s="8">
        <v>930.5</v>
      </c>
    </row>
    <row r="3529" spans="1:2" x14ac:dyDescent="0.3">
      <c r="A3529" s="7" t="s">
        <v>3541</v>
      </c>
      <c r="B3529" s="8">
        <v>930.5</v>
      </c>
    </row>
    <row r="3530" spans="1:2" x14ac:dyDescent="0.3">
      <c r="A3530" s="7" t="s">
        <v>3542</v>
      </c>
      <c r="B3530" s="8">
        <v>932.5</v>
      </c>
    </row>
    <row r="3531" spans="1:2" x14ac:dyDescent="0.3">
      <c r="A3531" s="7" t="s">
        <v>3543</v>
      </c>
      <c r="B3531" s="8">
        <v>933</v>
      </c>
    </row>
    <row r="3532" spans="1:2" x14ac:dyDescent="0.3">
      <c r="A3532" s="7" t="s">
        <v>3544</v>
      </c>
      <c r="B3532" s="8">
        <v>933.5</v>
      </c>
    </row>
    <row r="3533" spans="1:2" x14ac:dyDescent="0.3">
      <c r="A3533" s="7" t="s">
        <v>3545</v>
      </c>
      <c r="B3533" s="8">
        <v>934</v>
      </c>
    </row>
    <row r="3534" spans="1:2" x14ac:dyDescent="0.3">
      <c r="A3534" s="7" t="s">
        <v>3546</v>
      </c>
      <c r="B3534" s="8">
        <v>934.5</v>
      </c>
    </row>
    <row r="3535" spans="1:2" x14ac:dyDescent="0.3">
      <c r="A3535" s="7" t="s">
        <v>3547</v>
      </c>
      <c r="B3535" s="8">
        <v>934.5</v>
      </c>
    </row>
    <row r="3536" spans="1:2" x14ac:dyDescent="0.3">
      <c r="A3536" s="7" t="s">
        <v>3548</v>
      </c>
      <c r="B3536" s="8">
        <v>934.5</v>
      </c>
    </row>
    <row r="3537" spans="1:2" x14ac:dyDescent="0.3">
      <c r="A3537" s="7" t="s">
        <v>3549</v>
      </c>
      <c r="B3537" s="8">
        <v>936.5</v>
      </c>
    </row>
    <row r="3538" spans="1:2" x14ac:dyDescent="0.3">
      <c r="A3538" s="7" t="s">
        <v>3550</v>
      </c>
      <c r="B3538" s="8">
        <v>936.5</v>
      </c>
    </row>
    <row r="3539" spans="1:2" x14ac:dyDescent="0.3">
      <c r="A3539" s="7" t="s">
        <v>3551</v>
      </c>
      <c r="B3539" s="8">
        <v>937.5</v>
      </c>
    </row>
    <row r="3540" spans="1:2" x14ac:dyDescent="0.3">
      <c r="A3540" s="7" t="s">
        <v>3552</v>
      </c>
      <c r="B3540" s="8">
        <v>938</v>
      </c>
    </row>
    <row r="3541" spans="1:2" x14ac:dyDescent="0.3">
      <c r="A3541" s="7" t="s">
        <v>3553</v>
      </c>
      <c r="B3541" s="8">
        <v>940</v>
      </c>
    </row>
    <row r="3542" spans="1:2" x14ac:dyDescent="0.3">
      <c r="A3542" s="7" t="s">
        <v>3554</v>
      </c>
      <c r="B3542" s="8">
        <v>940</v>
      </c>
    </row>
    <row r="3543" spans="1:2" x14ac:dyDescent="0.3">
      <c r="A3543" s="7" t="s">
        <v>3555</v>
      </c>
      <c r="B3543" s="8">
        <v>940</v>
      </c>
    </row>
    <row r="3544" spans="1:2" x14ac:dyDescent="0.3">
      <c r="A3544" s="7" t="s">
        <v>3556</v>
      </c>
      <c r="B3544" s="8">
        <v>940.5</v>
      </c>
    </row>
    <row r="3545" spans="1:2" x14ac:dyDescent="0.3">
      <c r="A3545" s="7" t="s">
        <v>3557</v>
      </c>
      <c r="B3545" s="8">
        <v>941</v>
      </c>
    </row>
    <row r="3546" spans="1:2" x14ac:dyDescent="0.3">
      <c r="A3546" s="7" t="s">
        <v>3558</v>
      </c>
      <c r="B3546" s="8">
        <v>942</v>
      </c>
    </row>
    <row r="3547" spans="1:2" x14ac:dyDescent="0.3">
      <c r="A3547" s="7" t="s">
        <v>3559</v>
      </c>
      <c r="B3547" s="8">
        <v>942.5</v>
      </c>
    </row>
    <row r="3548" spans="1:2" x14ac:dyDescent="0.3">
      <c r="A3548" s="7" t="s">
        <v>3560</v>
      </c>
      <c r="B3548" s="8">
        <v>944.5</v>
      </c>
    </row>
    <row r="3549" spans="1:2" x14ac:dyDescent="0.3">
      <c r="A3549" s="7" t="s">
        <v>3561</v>
      </c>
      <c r="B3549" s="8">
        <v>944.5</v>
      </c>
    </row>
    <row r="3550" spans="1:2" x14ac:dyDescent="0.3">
      <c r="A3550" s="7" t="s">
        <v>3562</v>
      </c>
      <c r="B3550" s="8">
        <v>944.5</v>
      </c>
    </row>
    <row r="3551" spans="1:2" x14ac:dyDescent="0.3">
      <c r="A3551" s="7" t="s">
        <v>3563</v>
      </c>
      <c r="B3551" s="8">
        <v>946</v>
      </c>
    </row>
    <row r="3552" spans="1:2" x14ac:dyDescent="0.3">
      <c r="A3552" s="7" t="s">
        <v>3564</v>
      </c>
      <c r="B3552" s="8">
        <v>946</v>
      </c>
    </row>
    <row r="3553" spans="1:2" x14ac:dyDescent="0.3">
      <c r="A3553" s="7" t="s">
        <v>3565</v>
      </c>
      <c r="B3553" s="8">
        <v>946.5</v>
      </c>
    </row>
    <row r="3554" spans="1:2" x14ac:dyDescent="0.3">
      <c r="A3554" s="7" t="s">
        <v>3566</v>
      </c>
      <c r="B3554" s="8">
        <v>947.5</v>
      </c>
    </row>
    <row r="3555" spans="1:2" x14ac:dyDescent="0.3">
      <c r="A3555" s="7" t="s">
        <v>3567</v>
      </c>
      <c r="B3555" s="8">
        <v>950</v>
      </c>
    </row>
    <row r="3556" spans="1:2" x14ac:dyDescent="0.3">
      <c r="A3556" s="7" t="s">
        <v>3568</v>
      </c>
      <c r="B3556" s="8">
        <v>950</v>
      </c>
    </row>
    <row r="3557" spans="1:2" x14ac:dyDescent="0.3">
      <c r="A3557" s="7" t="s">
        <v>3569</v>
      </c>
      <c r="B3557" s="8">
        <v>950</v>
      </c>
    </row>
    <row r="3558" spans="1:2" x14ac:dyDescent="0.3">
      <c r="A3558" s="7" t="s">
        <v>3570</v>
      </c>
      <c r="B3558" s="8">
        <v>950.5</v>
      </c>
    </row>
    <row r="3559" spans="1:2" x14ac:dyDescent="0.3">
      <c r="A3559" s="7" t="s">
        <v>3571</v>
      </c>
      <c r="B3559" s="8">
        <v>951</v>
      </c>
    </row>
    <row r="3560" spans="1:2" x14ac:dyDescent="0.3">
      <c r="A3560" s="7" t="s">
        <v>3572</v>
      </c>
      <c r="B3560" s="8">
        <v>951.5</v>
      </c>
    </row>
    <row r="3561" spans="1:2" x14ac:dyDescent="0.3">
      <c r="A3561" s="7" t="s">
        <v>3573</v>
      </c>
      <c r="B3561" s="8">
        <v>951.5</v>
      </c>
    </row>
    <row r="3562" spans="1:2" x14ac:dyDescent="0.3">
      <c r="A3562" s="7" t="s">
        <v>3574</v>
      </c>
      <c r="B3562" s="8">
        <v>953.5</v>
      </c>
    </row>
    <row r="3563" spans="1:2" x14ac:dyDescent="0.3">
      <c r="A3563" s="7" t="s">
        <v>3575</v>
      </c>
      <c r="B3563" s="8">
        <v>953.5</v>
      </c>
    </row>
    <row r="3564" spans="1:2" x14ac:dyDescent="0.3">
      <c r="A3564" s="7" t="s">
        <v>3576</v>
      </c>
      <c r="B3564" s="8">
        <v>953.5</v>
      </c>
    </row>
    <row r="3565" spans="1:2" x14ac:dyDescent="0.3">
      <c r="A3565" s="7" t="s">
        <v>3577</v>
      </c>
      <c r="B3565" s="8">
        <v>954</v>
      </c>
    </row>
    <row r="3566" spans="1:2" x14ac:dyDescent="0.3">
      <c r="A3566" s="7" t="s">
        <v>3578</v>
      </c>
      <c r="B3566" s="8">
        <v>954.5</v>
      </c>
    </row>
    <row r="3567" spans="1:2" x14ac:dyDescent="0.3">
      <c r="A3567" s="7" t="s">
        <v>3579</v>
      </c>
      <c r="B3567" s="8">
        <v>955.5</v>
      </c>
    </row>
    <row r="3568" spans="1:2" x14ac:dyDescent="0.3">
      <c r="A3568" s="7" t="s">
        <v>3580</v>
      </c>
      <c r="B3568" s="8">
        <v>955.5</v>
      </c>
    </row>
    <row r="3569" spans="1:2" x14ac:dyDescent="0.3">
      <c r="A3569" s="7" t="s">
        <v>3581</v>
      </c>
      <c r="B3569" s="8">
        <v>957.5</v>
      </c>
    </row>
    <row r="3570" spans="1:2" x14ac:dyDescent="0.3">
      <c r="A3570" s="7" t="s">
        <v>3582</v>
      </c>
      <c r="B3570" s="8">
        <v>957.5</v>
      </c>
    </row>
    <row r="3571" spans="1:2" x14ac:dyDescent="0.3">
      <c r="A3571" s="7" t="s">
        <v>3583</v>
      </c>
      <c r="B3571" s="8">
        <v>957.5</v>
      </c>
    </row>
    <row r="3572" spans="1:2" x14ac:dyDescent="0.3">
      <c r="A3572" s="7" t="s">
        <v>3584</v>
      </c>
      <c r="B3572" s="8">
        <v>958</v>
      </c>
    </row>
    <row r="3573" spans="1:2" x14ac:dyDescent="0.3">
      <c r="A3573" s="7" t="s">
        <v>3585</v>
      </c>
      <c r="B3573" s="8">
        <v>958.5</v>
      </c>
    </row>
    <row r="3574" spans="1:2" x14ac:dyDescent="0.3">
      <c r="A3574" s="7" t="s">
        <v>3586</v>
      </c>
      <c r="B3574" s="8">
        <v>959</v>
      </c>
    </row>
    <row r="3575" spans="1:2" x14ac:dyDescent="0.3">
      <c r="A3575" s="7" t="s">
        <v>3587</v>
      </c>
      <c r="B3575" s="8">
        <v>960</v>
      </c>
    </row>
    <row r="3576" spans="1:2" x14ac:dyDescent="0.3">
      <c r="A3576" s="7" t="s">
        <v>3588</v>
      </c>
      <c r="B3576" s="8">
        <v>962</v>
      </c>
    </row>
    <row r="3577" spans="1:2" x14ac:dyDescent="0.3">
      <c r="A3577" s="7" t="s">
        <v>3589</v>
      </c>
      <c r="B3577" s="8">
        <v>962</v>
      </c>
    </row>
    <row r="3578" spans="1:2" x14ac:dyDescent="0.3">
      <c r="A3578" s="7" t="s">
        <v>3590</v>
      </c>
      <c r="B3578" s="8">
        <v>962</v>
      </c>
    </row>
    <row r="3579" spans="1:2" x14ac:dyDescent="0.3">
      <c r="A3579" s="7" t="s">
        <v>3591</v>
      </c>
      <c r="B3579" s="8">
        <v>963</v>
      </c>
    </row>
    <row r="3580" spans="1:2" x14ac:dyDescent="0.3">
      <c r="A3580" s="7" t="s">
        <v>3592</v>
      </c>
      <c r="B3580" s="8">
        <v>963</v>
      </c>
    </row>
    <row r="3581" spans="1:2" x14ac:dyDescent="0.3">
      <c r="A3581" s="7" t="s">
        <v>3593</v>
      </c>
      <c r="B3581" s="8">
        <v>963.5</v>
      </c>
    </row>
    <row r="3582" spans="1:2" x14ac:dyDescent="0.3">
      <c r="A3582" s="7" t="s">
        <v>3594</v>
      </c>
      <c r="B3582" s="8">
        <v>964</v>
      </c>
    </row>
    <row r="3583" spans="1:2" x14ac:dyDescent="0.3">
      <c r="A3583" s="7" t="s">
        <v>3595</v>
      </c>
      <c r="B3583" s="8">
        <v>966</v>
      </c>
    </row>
    <row r="3584" spans="1:2" x14ac:dyDescent="0.3">
      <c r="A3584" s="7" t="s">
        <v>3596</v>
      </c>
      <c r="B3584" s="8">
        <v>966</v>
      </c>
    </row>
    <row r="3585" spans="1:2" x14ac:dyDescent="0.3">
      <c r="A3585" s="7" t="s">
        <v>3597</v>
      </c>
      <c r="B3585" s="8">
        <v>966</v>
      </c>
    </row>
    <row r="3586" spans="1:2" x14ac:dyDescent="0.3">
      <c r="A3586" s="7" t="s">
        <v>3598</v>
      </c>
      <c r="B3586" s="8">
        <v>968</v>
      </c>
    </row>
    <row r="3587" spans="1:2" x14ac:dyDescent="0.3">
      <c r="A3587" s="7" t="s">
        <v>3599</v>
      </c>
      <c r="B3587" s="8">
        <v>969.5</v>
      </c>
    </row>
    <row r="3588" spans="1:2" x14ac:dyDescent="0.3">
      <c r="A3588" s="7" t="s">
        <v>3600</v>
      </c>
      <c r="B3588" s="8">
        <v>969.5</v>
      </c>
    </row>
    <row r="3589" spans="1:2" x14ac:dyDescent="0.3">
      <c r="A3589" s="7" t="s">
        <v>3601</v>
      </c>
      <c r="B3589" s="8">
        <v>970</v>
      </c>
    </row>
    <row r="3590" spans="1:2" x14ac:dyDescent="0.3">
      <c r="A3590" s="7" t="s">
        <v>3602</v>
      </c>
      <c r="B3590" s="8">
        <v>972</v>
      </c>
    </row>
    <row r="3591" spans="1:2" x14ac:dyDescent="0.3">
      <c r="A3591" s="7" t="s">
        <v>3603</v>
      </c>
      <c r="B3591" s="8">
        <v>972</v>
      </c>
    </row>
    <row r="3592" spans="1:2" x14ac:dyDescent="0.3">
      <c r="A3592" s="7" t="s">
        <v>3604</v>
      </c>
      <c r="B3592" s="8">
        <v>972</v>
      </c>
    </row>
    <row r="3593" spans="1:2" x14ac:dyDescent="0.3">
      <c r="A3593" s="7" t="s">
        <v>3605</v>
      </c>
      <c r="B3593" s="8">
        <v>973</v>
      </c>
    </row>
    <row r="3594" spans="1:2" x14ac:dyDescent="0.3">
      <c r="A3594" s="7" t="s">
        <v>3606</v>
      </c>
      <c r="B3594" s="8">
        <v>973</v>
      </c>
    </row>
    <row r="3595" spans="1:2" x14ac:dyDescent="0.3">
      <c r="A3595" s="7" t="s">
        <v>3607</v>
      </c>
      <c r="B3595" s="8">
        <v>973.5</v>
      </c>
    </row>
    <row r="3596" spans="1:2" x14ac:dyDescent="0.3">
      <c r="A3596" s="7" t="s">
        <v>3608</v>
      </c>
      <c r="B3596" s="8">
        <v>974</v>
      </c>
    </row>
    <row r="3597" spans="1:2" x14ac:dyDescent="0.3">
      <c r="A3597" s="7" t="s">
        <v>3609</v>
      </c>
      <c r="B3597" s="8">
        <v>976.5</v>
      </c>
    </row>
    <row r="3598" spans="1:2" x14ac:dyDescent="0.3">
      <c r="A3598" s="7" t="s">
        <v>3610</v>
      </c>
      <c r="B3598" s="8">
        <v>976.5</v>
      </c>
    </row>
    <row r="3599" spans="1:2" x14ac:dyDescent="0.3">
      <c r="A3599" s="7" t="s">
        <v>3611</v>
      </c>
      <c r="B3599" s="8">
        <v>976.5</v>
      </c>
    </row>
    <row r="3600" spans="1:2" x14ac:dyDescent="0.3">
      <c r="A3600" s="7" t="s">
        <v>3612</v>
      </c>
      <c r="B3600" s="8">
        <v>977</v>
      </c>
    </row>
    <row r="3601" spans="1:2" x14ac:dyDescent="0.3">
      <c r="A3601" s="7" t="s">
        <v>3613</v>
      </c>
      <c r="B3601" s="8">
        <v>978</v>
      </c>
    </row>
    <row r="3602" spans="1:2" x14ac:dyDescent="0.3">
      <c r="A3602" s="7" t="s">
        <v>3614</v>
      </c>
      <c r="B3602" s="8">
        <v>978</v>
      </c>
    </row>
    <row r="3603" spans="1:2" x14ac:dyDescent="0.3">
      <c r="A3603" s="7" t="s">
        <v>3615</v>
      </c>
      <c r="B3603" s="8">
        <v>978.5</v>
      </c>
    </row>
    <row r="3604" spans="1:2" x14ac:dyDescent="0.3">
      <c r="A3604" s="7" t="s">
        <v>3616</v>
      </c>
      <c r="B3604" s="8">
        <v>980.5</v>
      </c>
    </row>
    <row r="3605" spans="1:2" x14ac:dyDescent="0.3">
      <c r="A3605" s="7" t="s">
        <v>3617</v>
      </c>
      <c r="B3605" s="8">
        <v>980.5</v>
      </c>
    </row>
    <row r="3606" spans="1:2" x14ac:dyDescent="0.3">
      <c r="A3606" s="7" t="s">
        <v>3618</v>
      </c>
      <c r="B3606" s="8">
        <v>980.5</v>
      </c>
    </row>
    <row r="3607" spans="1:2" x14ac:dyDescent="0.3">
      <c r="A3607" s="7" t="s">
        <v>3619</v>
      </c>
      <c r="B3607" s="8">
        <v>982</v>
      </c>
    </row>
    <row r="3608" spans="1:2" x14ac:dyDescent="0.3">
      <c r="A3608" s="7" t="s">
        <v>3620</v>
      </c>
      <c r="B3608" s="8">
        <v>982</v>
      </c>
    </row>
    <row r="3609" spans="1:2" x14ac:dyDescent="0.3">
      <c r="A3609" s="7" t="s">
        <v>3621</v>
      </c>
      <c r="B3609" s="8">
        <v>982</v>
      </c>
    </row>
    <row r="3610" spans="1:2" x14ac:dyDescent="0.3">
      <c r="A3610" s="7" t="s">
        <v>3622</v>
      </c>
      <c r="B3610" s="8">
        <v>983.5</v>
      </c>
    </row>
    <row r="3611" spans="1:2" x14ac:dyDescent="0.3">
      <c r="A3611" s="7" t="s">
        <v>3623</v>
      </c>
      <c r="B3611" s="8">
        <v>985</v>
      </c>
    </row>
    <row r="3612" spans="1:2" x14ac:dyDescent="0.3">
      <c r="A3612" s="7" t="s">
        <v>3624</v>
      </c>
      <c r="B3612" s="8">
        <v>985</v>
      </c>
    </row>
    <row r="3613" spans="1:2" x14ac:dyDescent="0.3">
      <c r="A3613" s="7" t="s">
        <v>3625</v>
      </c>
      <c r="B3613" s="8">
        <v>985</v>
      </c>
    </row>
    <row r="3614" spans="1:2" x14ac:dyDescent="0.3">
      <c r="A3614" s="7" t="s">
        <v>3626</v>
      </c>
      <c r="B3614" s="8">
        <v>985.5</v>
      </c>
    </row>
    <row r="3615" spans="1:2" x14ac:dyDescent="0.3">
      <c r="A3615" s="7" t="s">
        <v>3627</v>
      </c>
      <c r="B3615" s="8">
        <v>986</v>
      </c>
    </row>
    <row r="3616" spans="1:2" x14ac:dyDescent="0.3">
      <c r="A3616" s="7" t="s">
        <v>3628</v>
      </c>
      <c r="B3616" s="8">
        <v>987</v>
      </c>
    </row>
    <row r="3617" spans="1:2" x14ac:dyDescent="0.3">
      <c r="A3617" s="7" t="s">
        <v>3629</v>
      </c>
      <c r="B3617" s="8">
        <v>988.5</v>
      </c>
    </row>
    <row r="3618" spans="1:2" x14ac:dyDescent="0.3">
      <c r="A3618" s="7" t="s">
        <v>3630</v>
      </c>
      <c r="B3618" s="8">
        <v>989.5</v>
      </c>
    </row>
    <row r="3619" spans="1:2" x14ac:dyDescent="0.3">
      <c r="A3619" s="7" t="s">
        <v>3631</v>
      </c>
      <c r="B3619" s="8">
        <v>989.5</v>
      </c>
    </row>
    <row r="3620" spans="1:2" x14ac:dyDescent="0.3">
      <c r="A3620" s="7" t="s">
        <v>3632</v>
      </c>
      <c r="B3620" s="8">
        <v>989.5</v>
      </c>
    </row>
    <row r="3621" spans="1:2" x14ac:dyDescent="0.3">
      <c r="A3621" s="7" t="s">
        <v>3633</v>
      </c>
      <c r="B3621" s="8">
        <v>990</v>
      </c>
    </row>
    <row r="3622" spans="1:2" x14ac:dyDescent="0.3">
      <c r="A3622" s="7" t="s">
        <v>3634</v>
      </c>
      <c r="B3622" s="8">
        <v>990.5</v>
      </c>
    </row>
    <row r="3623" spans="1:2" x14ac:dyDescent="0.3">
      <c r="A3623" s="7" t="s">
        <v>3635</v>
      </c>
      <c r="B3623" s="8">
        <v>991</v>
      </c>
    </row>
    <row r="3624" spans="1:2" x14ac:dyDescent="0.3">
      <c r="A3624" s="7" t="s">
        <v>3636</v>
      </c>
      <c r="B3624" s="8">
        <v>992.5</v>
      </c>
    </row>
    <row r="3625" spans="1:2" x14ac:dyDescent="0.3">
      <c r="A3625" s="7" t="s">
        <v>3637</v>
      </c>
      <c r="B3625" s="8">
        <v>994</v>
      </c>
    </row>
    <row r="3626" spans="1:2" x14ac:dyDescent="0.3">
      <c r="A3626" s="7" t="s">
        <v>3638</v>
      </c>
      <c r="B3626" s="8">
        <v>994</v>
      </c>
    </row>
    <row r="3627" spans="1:2" x14ac:dyDescent="0.3">
      <c r="A3627" s="7" t="s">
        <v>3639</v>
      </c>
      <c r="B3627" s="8">
        <v>994</v>
      </c>
    </row>
    <row r="3628" spans="1:2" x14ac:dyDescent="0.3">
      <c r="A3628" s="7" t="s">
        <v>3640</v>
      </c>
      <c r="B3628" s="8">
        <v>995</v>
      </c>
    </row>
    <row r="3629" spans="1:2" x14ac:dyDescent="0.3">
      <c r="A3629" s="7" t="s">
        <v>3641</v>
      </c>
      <c r="B3629" s="8">
        <v>995.5</v>
      </c>
    </row>
    <row r="3630" spans="1:2" x14ac:dyDescent="0.3">
      <c r="A3630" s="7" t="s">
        <v>3642</v>
      </c>
      <c r="B3630" s="8">
        <v>995.5</v>
      </c>
    </row>
    <row r="3631" spans="1:2" x14ac:dyDescent="0.3">
      <c r="A3631" s="7" t="s">
        <v>3643</v>
      </c>
      <c r="B3631" s="8">
        <v>998.5</v>
      </c>
    </row>
    <row r="3632" spans="1:2" x14ac:dyDescent="0.3">
      <c r="A3632" s="7" t="s">
        <v>3644</v>
      </c>
      <c r="B3632" s="8">
        <v>998.5</v>
      </c>
    </row>
    <row r="3633" spans="1:2" x14ac:dyDescent="0.3">
      <c r="A3633" s="7" t="s">
        <v>3645</v>
      </c>
      <c r="B3633" s="8">
        <v>998.5</v>
      </c>
    </row>
    <row r="3634" spans="1:2" x14ac:dyDescent="0.3">
      <c r="A3634" s="7" t="s">
        <v>3646</v>
      </c>
      <c r="B3634" s="8">
        <v>998.5</v>
      </c>
    </row>
    <row r="3635" spans="1:2" x14ac:dyDescent="0.3">
      <c r="A3635" s="7" t="s">
        <v>3647</v>
      </c>
      <c r="B3635" s="8">
        <v>999.5</v>
      </c>
    </row>
    <row r="3636" spans="1:2" x14ac:dyDescent="0.3">
      <c r="A3636" s="7" t="s">
        <v>3648</v>
      </c>
      <c r="B3636" s="8">
        <v>1000</v>
      </c>
    </row>
    <row r="3637" spans="1:2" x14ac:dyDescent="0.3">
      <c r="A3637" s="7" t="s">
        <v>3649</v>
      </c>
      <c r="B3637" s="8">
        <v>1000.5</v>
      </c>
    </row>
    <row r="3638" spans="1:2" x14ac:dyDescent="0.3">
      <c r="A3638" s="7" t="s">
        <v>3650</v>
      </c>
      <c r="B3638" s="8">
        <v>1001</v>
      </c>
    </row>
    <row r="3639" spans="1:2" x14ac:dyDescent="0.3">
      <c r="A3639" s="7" t="s">
        <v>3651</v>
      </c>
      <c r="B3639" s="8">
        <v>1004</v>
      </c>
    </row>
    <row r="3640" spans="1:2" x14ac:dyDescent="0.3">
      <c r="A3640" s="7" t="s">
        <v>3652</v>
      </c>
      <c r="B3640" s="8">
        <v>1004</v>
      </c>
    </row>
    <row r="3641" spans="1:2" x14ac:dyDescent="0.3">
      <c r="A3641" s="7" t="s">
        <v>3653</v>
      </c>
      <c r="B3641" s="8">
        <v>1004</v>
      </c>
    </row>
    <row r="3642" spans="1:2" x14ac:dyDescent="0.3">
      <c r="A3642" s="7" t="s">
        <v>3654</v>
      </c>
      <c r="B3642" s="8">
        <v>1004.5</v>
      </c>
    </row>
    <row r="3643" spans="1:2" x14ac:dyDescent="0.3">
      <c r="A3643" s="7" t="s">
        <v>3655</v>
      </c>
      <c r="B3643" s="8">
        <v>1004.5</v>
      </c>
    </row>
    <row r="3644" spans="1:2" x14ac:dyDescent="0.3">
      <c r="A3644" s="7" t="s">
        <v>3656</v>
      </c>
      <c r="B3644" s="8">
        <v>1005</v>
      </c>
    </row>
    <row r="3645" spans="1:2" x14ac:dyDescent="0.3">
      <c r="A3645" s="7" t="s">
        <v>3657</v>
      </c>
      <c r="B3645" s="8">
        <v>1005.5</v>
      </c>
    </row>
    <row r="3646" spans="1:2" x14ac:dyDescent="0.3">
      <c r="A3646" s="7" t="s">
        <v>3658</v>
      </c>
      <c r="B3646" s="8">
        <v>1007.5</v>
      </c>
    </row>
    <row r="3647" spans="1:2" x14ac:dyDescent="0.3">
      <c r="A3647" s="7" t="s">
        <v>3659</v>
      </c>
      <c r="B3647" s="8">
        <v>1007.5</v>
      </c>
    </row>
    <row r="3648" spans="1:2" x14ac:dyDescent="0.3">
      <c r="A3648" s="7" t="s">
        <v>3660</v>
      </c>
      <c r="B3648" s="8">
        <v>1007.5</v>
      </c>
    </row>
    <row r="3649" spans="1:2" x14ac:dyDescent="0.3">
      <c r="A3649" s="7" t="s">
        <v>3661</v>
      </c>
      <c r="B3649" s="8">
        <v>1008</v>
      </c>
    </row>
    <row r="3650" spans="1:2" x14ac:dyDescent="0.3">
      <c r="A3650" s="7" t="s">
        <v>3662</v>
      </c>
      <c r="B3650" s="8">
        <v>1008.5</v>
      </c>
    </row>
    <row r="3651" spans="1:2" x14ac:dyDescent="0.3">
      <c r="A3651" s="7" t="s">
        <v>3663</v>
      </c>
      <c r="B3651" s="8">
        <v>1009.5</v>
      </c>
    </row>
    <row r="3652" spans="1:2" x14ac:dyDescent="0.3">
      <c r="A3652" s="7" t="s">
        <v>3664</v>
      </c>
      <c r="B3652" s="8">
        <v>1011.5</v>
      </c>
    </row>
    <row r="3653" spans="1:2" x14ac:dyDescent="0.3">
      <c r="A3653" s="7" t="s">
        <v>3665</v>
      </c>
      <c r="B3653" s="8">
        <v>1013</v>
      </c>
    </row>
    <row r="3654" spans="1:2" x14ac:dyDescent="0.3">
      <c r="A3654" s="7" t="s">
        <v>3666</v>
      </c>
      <c r="B3654" s="8">
        <v>1013</v>
      </c>
    </row>
    <row r="3655" spans="1:2" x14ac:dyDescent="0.3">
      <c r="A3655" s="7" t="s">
        <v>3667</v>
      </c>
      <c r="B3655" s="8">
        <v>1013</v>
      </c>
    </row>
    <row r="3656" spans="1:2" x14ac:dyDescent="0.3">
      <c r="A3656" s="7" t="s">
        <v>3668</v>
      </c>
      <c r="B3656" s="8">
        <v>1013</v>
      </c>
    </row>
    <row r="3657" spans="1:2" x14ac:dyDescent="0.3">
      <c r="A3657" s="7" t="s">
        <v>3669</v>
      </c>
      <c r="B3657" s="8">
        <v>1014</v>
      </c>
    </row>
    <row r="3658" spans="1:2" x14ac:dyDescent="0.3">
      <c r="A3658" s="7" t="s">
        <v>3670</v>
      </c>
      <c r="B3658" s="8">
        <v>1014</v>
      </c>
    </row>
    <row r="3659" spans="1:2" x14ac:dyDescent="0.3">
      <c r="A3659" s="7" t="s">
        <v>3671</v>
      </c>
      <c r="B3659" s="8">
        <v>1014.5</v>
      </c>
    </row>
    <row r="3660" spans="1:2" x14ac:dyDescent="0.3">
      <c r="A3660" s="7" t="s">
        <v>3672</v>
      </c>
      <c r="B3660" s="8">
        <v>1016.5</v>
      </c>
    </row>
    <row r="3661" spans="1:2" x14ac:dyDescent="0.3">
      <c r="A3661" s="7" t="s">
        <v>3673</v>
      </c>
      <c r="B3661" s="8">
        <v>1016.5</v>
      </c>
    </row>
    <row r="3662" spans="1:2" x14ac:dyDescent="0.3">
      <c r="A3662" s="7" t="s">
        <v>3674</v>
      </c>
      <c r="B3662" s="8">
        <v>1016.5</v>
      </c>
    </row>
    <row r="3663" spans="1:2" x14ac:dyDescent="0.3">
      <c r="A3663" s="7" t="s">
        <v>3675</v>
      </c>
      <c r="B3663" s="8">
        <v>1017.5</v>
      </c>
    </row>
    <row r="3664" spans="1:2" x14ac:dyDescent="0.3">
      <c r="A3664" s="7" t="s">
        <v>3676</v>
      </c>
      <c r="B3664" s="8">
        <v>1018</v>
      </c>
    </row>
    <row r="3665" spans="1:2" x14ac:dyDescent="0.3">
      <c r="A3665" s="7" t="s">
        <v>3677</v>
      </c>
      <c r="B3665" s="8">
        <v>1018.5</v>
      </c>
    </row>
    <row r="3666" spans="1:2" x14ac:dyDescent="0.3">
      <c r="A3666" s="7" t="s">
        <v>3678</v>
      </c>
      <c r="B3666" s="8">
        <v>1019</v>
      </c>
    </row>
    <row r="3667" spans="1:2" x14ac:dyDescent="0.3">
      <c r="A3667" s="7" t="s">
        <v>3679</v>
      </c>
      <c r="B3667" s="8">
        <v>1022</v>
      </c>
    </row>
    <row r="3668" spans="1:2" x14ac:dyDescent="0.3">
      <c r="A3668" s="7" t="s">
        <v>3680</v>
      </c>
      <c r="B3668" s="8">
        <v>1022</v>
      </c>
    </row>
    <row r="3669" spans="1:2" x14ac:dyDescent="0.3">
      <c r="A3669" s="7" t="s">
        <v>3681</v>
      </c>
      <c r="B3669" s="8">
        <v>1022</v>
      </c>
    </row>
    <row r="3670" spans="1:2" x14ac:dyDescent="0.3">
      <c r="A3670" s="7" t="s">
        <v>3682</v>
      </c>
      <c r="B3670" s="8">
        <v>1022</v>
      </c>
    </row>
    <row r="3671" spans="1:2" x14ac:dyDescent="0.3">
      <c r="A3671" s="7" t="s">
        <v>3683</v>
      </c>
      <c r="B3671" s="8">
        <v>1022.5</v>
      </c>
    </row>
    <row r="3672" spans="1:2" x14ac:dyDescent="0.3">
      <c r="A3672" s="7" t="s">
        <v>3684</v>
      </c>
      <c r="B3672" s="8">
        <v>1023</v>
      </c>
    </row>
    <row r="3673" spans="1:2" x14ac:dyDescent="0.3">
      <c r="A3673" s="7" t="s">
        <v>3685</v>
      </c>
      <c r="B3673" s="8">
        <v>1024.5</v>
      </c>
    </row>
    <row r="3674" spans="1:2" x14ac:dyDescent="0.3">
      <c r="A3674" s="7" t="s">
        <v>3686</v>
      </c>
      <c r="B3674" s="8">
        <v>1026.5</v>
      </c>
    </row>
    <row r="3675" spans="1:2" x14ac:dyDescent="0.3">
      <c r="A3675" s="7" t="s">
        <v>3687</v>
      </c>
      <c r="B3675" s="8">
        <v>1026.5</v>
      </c>
    </row>
    <row r="3676" spans="1:2" x14ac:dyDescent="0.3">
      <c r="A3676" s="7" t="s">
        <v>3688</v>
      </c>
      <c r="B3676" s="8">
        <v>1026.5</v>
      </c>
    </row>
    <row r="3677" spans="1:2" x14ac:dyDescent="0.3">
      <c r="A3677" s="7" t="s">
        <v>3689</v>
      </c>
      <c r="B3677" s="8">
        <v>1027</v>
      </c>
    </row>
    <row r="3678" spans="1:2" x14ac:dyDescent="0.3">
      <c r="A3678" s="7" t="s">
        <v>3690</v>
      </c>
      <c r="B3678" s="8">
        <v>1027.5</v>
      </c>
    </row>
    <row r="3679" spans="1:2" x14ac:dyDescent="0.3">
      <c r="A3679" s="7" t="s">
        <v>3691</v>
      </c>
      <c r="B3679" s="8">
        <v>1028</v>
      </c>
    </row>
    <row r="3680" spans="1:2" x14ac:dyDescent="0.3">
      <c r="A3680" s="7" t="s">
        <v>3692</v>
      </c>
      <c r="B3680" s="8">
        <v>1028.5</v>
      </c>
    </row>
    <row r="3681" spans="1:2" x14ac:dyDescent="0.3">
      <c r="A3681" s="7" t="s">
        <v>3693</v>
      </c>
      <c r="B3681" s="8">
        <v>1031</v>
      </c>
    </row>
    <row r="3682" spans="1:2" x14ac:dyDescent="0.3">
      <c r="A3682" s="7" t="s">
        <v>3694</v>
      </c>
      <c r="B3682" s="8">
        <v>1031</v>
      </c>
    </row>
    <row r="3683" spans="1:2" x14ac:dyDescent="0.3">
      <c r="A3683" s="7" t="s">
        <v>3695</v>
      </c>
      <c r="B3683" s="8">
        <v>1031</v>
      </c>
    </row>
    <row r="3684" spans="1:2" x14ac:dyDescent="0.3">
      <c r="A3684" s="7" t="s">
        <v>3696</v>
      </c>
      <c r="B3684" s="8">
        <v>1032</v>
      </c>
    </row>
    <row r="3685" spans="1:2" x14ac:dyDescent="0.3">
      <c r="A3685" s="7" t="s">
        <v>3697</v>
      </c>
      <c r="B3685" s="8">
        <v>1032.5</v>
      </c>
    </row>
    <row r="3686" spans="1:2" x14ac:dyDescent="0.3">
      <c r="A3686" s="7" t="s">
        <v>3698</v>
      </c>
      <c r="B3686" s="8">
        <v>1032.5</v>
      </c>
    </row>
    <row r="3687" spans="1:2" x14ac:dyDescent="0.3">
      <c r="A3687" s="7" t="s">
        <v>3699</v>
      </c>
      <c r="B3687" s="8">
        <v>1033</v>
      </c>
    </row>
    <row r="3688" spans="1:2" x14ac:dyDescent="0.3">
      <c r="A3688" s="7" t="s">
        <v>3700</v>
      </c>
      <c r="B3688" s="8">
        <v>1035</v>
      </c>
    </row>
    <row r="3689" spans="1:2" x14ac:dyDescent="0.3">
      <c r="A3689" s="7" t="s">
        <v>3701</v>
      </c>
      <c r="B3689" s="8">
        <v>1035</v>
      </c>
    </row>
    <row r="3690" spans="1:2" x14ac:dyDescent="0.3">
      <c r="A3690" s="7" t="s">
        <v>3702</v>
      </c>
      <c r="B3690" s="8">
        <v>1035</v>
      </c>
    </row>
    <row r="3691" spans="1:2" x14ac:dyDescent="0.3">
      <c r="A3691" s="7" t="s">
        <v>3703</v>
      </c>
      <c r="B3691" s="8">
        <v>1036</v>
      </c>
    </row>
    <row r="3692" spans="1:2" x14ac:dyDescent="0.3">
      <c r="A3692" s="7" t="s">
        <v>3704</v>
      </c>
      <c r="B3692" s="8">
        <v>1036.5</v>
      </c>
    </row>
    <row r="3693" spans="1:2" x14ac:dyDescent="0.3">
      <c r="A3693" s="7" t="s">
        <v>3705</v>
      </c>
      <c r="B3693" s="8">
        <v>1037</v>
      </c>
    </row>
    <row r="3694" spans="1:2" x14ac:dyDescent="0.3">
      <c r="A3694" s="7" t="s">
        <v>3706</v>
      </c>
      <c r="B3694" s="8">
        <v>1038.5</v>
      </c>
    </row>
    <row r="3695" spans="1:2" x14ac:dyDescent="0.3">
      <c r="A3695" s="7" t="s">
        <v>3707</v>
      </c>
      <c r="B3695" s="8">
        <v>1040</v>
      </c>
    </row>
    <row r="3696" spans="1:2" x14ac:dyDescent="0.3">
      <c r="A3696" s="7" t="s">
        <v>3708</v>
      </c>
      <c r="B3696" s="8">
        <v>1040</v>
      </c>
    </row>
    <row r="3697" spans="1:2" x14ac:dyDescent="0.3">
      <c r="A3697" s="7" t="s">
        <v>3709</v>
      </c>
      <c r="B3697" s="8">
        <v>1040</v>
      </c>
    </row>
    <row r="3698" spans="1:2" x14ac:dyDescent="0.3">
      <c r="A3698" s="7" t="s">
        <v>3710</v>
      </c>
      <c r="B3698" s="8">
        <v>1042</v>
      </c>
    </row>
    <row r="3699" spans="1:2" x14ac:dyDescent="0.3">
      <c r="A3699" s="7" t="s">
        <v>3711</v>
      </c>
      <c r="B3699" s="8">
        <v>1042.5</v>
      </c>
    </row>
    <row r="3700" spans="1:2" x14ac:dyDescent="0.3">
      <c r="A3700" s="7" t="s">
        <v>3712</v>
      </c>
      <c r="B3700" s="8">
        <v>1042.5</v>
      </c>
    </row>
    <row r="3701" spans="1:2" x14ac:dyDescent="0.3">
      <c r="A3701" s="7" t="s">
        <v>3713</v>
      </c>
      <c r="B3701" s="8">
        <v>1042.5</v>
      </c>
    </row>
    <row r="3702" spans="1:2" x14ac:dyDescent="0.3">
      <c r="A3702" s="7" t="s">
        <v>3714</v>
      </c>
      <c r="B3702" s="8">
        <v>1044.5</v>
      </c>
    </row>
    <row r="3703" spans="1:2" x14ac:dyDescent="0.3">
      <c r="A3703" s="7" t="s">
        <v>3715</v>
      </c>
      <c r="B3703" s="8">
        <v>1044.5</v>
      </c>
    </row>
    <row r="3704" spans="1:2" x14ac:dyDescent="0.3">
      <c r="A3704" s="7" t="s">
        <v>3716</v>
      </c>
      <c r="B3704" s="8">
        <v>1044.5</v>
      </c>
    </row>
    <row r="3705" spans="1:2" x14ac:dyDescent="0.3">
      <c r="A3705" s="7" t="s">
        <v>3717</v>
      </c>
      <c r="B3705" s="8">
        <v>1048</v>
      </c>
    </row>
    <row r="3706" spans="1:2" x14ac:dyDescent="0.3">
      <c r="A3706" s="7" t="s">
        <v>3718</v>
      </c>
      <c r="B3706" s="8">
        <v>1048</v>
      </c>
    </row>
    <row r="3707" spans="1:2" x14ac:dyDescent="0.3">
      <c r="A3707" s="7" t="s">
        <v>3719</v>
      </c>
      <c r="B3707" s="8">
        <v>1048</v>
      </c>
    </row>
    <row r="3708" spans="1:2" x14ac:dyDescent="0.3">
      <c r="A3708" s="7" t="s">
        <v>3720</v>
      </c>
      <c r="B3708" s="8">
        <v>1049</v>
      </c>
    </row>
    <row r="3709" spans="1:2" x14ac:dyDescent="0.3">
      <c r="A3709" s="7" t="s">
        <v>3721</v>
      </c>
      <c r="B3709" s="8">
        <v>1051</v>
      </c>
    </row>
    <row r="3710" spans="1:2" x14ac:dyDescent="0.3">
      <c r="A3710" s="7" t="s">
        <v>3722</v>
      </c>
      <c r="B3710" s="8">
        <v>1051</v>
      </c>
    </row>
    <row r="3711" spans="1:2" x14ac:dyDescent="0.3">
      <c r="A3711" s="7" t="s">
        <v>3723</v>
      </c>
      <c r="B3711" s="8">
        <v>1051</v>
      </c>
    </row>
    <row r="3712" spans="1:2" x14ac:dyDescent="0.3">
      <c r="A3712" s="7" t="s">
        <v>3724</v>
      </c>
      <c r="B3712" s="8">
        <v>1052.5</v>
      </c>
    </row>
    <row r="3713" spans="1:2" x14ac:dyDescent="0.3">
      <c r="A3713" s="7" t="s">
        <v>3725</v>
      </c>
      <c r="B3713" s="8">
        <v>1052.5</v>
      </c>
    </row>
    <row r="3714" spans="1:2" x14ac:dyDescent="0.3">
      <c r="A3714" s="7" t="s">
        <v>3726</v>
      </c>
      <c r="B3714" s="8">
        <v>1052.5</v>
      </c>
    </row>
    <row r="3715" spans="1:2" x14ac:dyDescent="0.3">
      <c r="A3715" s="7" t="s">
        <v>3727</v>
      </c>
      <c r="B3715" s="8">
        <v>1052.5</v>
      </c>
    </row>
    <row r="3716" spans="1:2" x14ac:dyDescent="0.3">
      <c r="A3716" s="7" t="s">
        <v>3728</v>
      </c>
      <c r="B3716" s="8">
        <v>1055</v>
      </c>
    </row>
    <row r="3717" spans="1:2" x14ac:dyDescent="0.3">
      <c r="A3717" s="7" t="s">
        <v>3729</v>
      </c>
      <c r="B3717" s="8">
        <v>1055</v>
      </c>
    </row>
    <row r="3718" spans="1:2" x14ac:dyDescent="0.3">
      <c r="A3718" s="7" t="s">
        <v>3730</v>
      </c>
      <c r="B3718" s="8">
        <v>1055</v>
      </c>
    </row>
    <row r="3719" spans="1:2" x14ac:dyDescent="0.3">
      <c r="A3719" s="7" t="s">
        <v>3731</v>
      </c>
      <c r="B3719" s="8">
        <v>1055</v>
      </c>
    </row>
    <row r="3720" spans="1:2" x14ac:dyDescent="0.3">
      <c r="A3720" s="7" t="s">
        <v>3732</v>
      </c>
      <c r="B3720" s="8">
        <v>1055.5</v>
      </c>
    </row>
    <row r="3721" spans="1:2" x14ac:dyDescent="0.3">
      <c r="A3721" s="7" t="s">
        <v>3733</v>
      </c>
      <c r="B3721" s="8">
        <v>1056</v>
      </c>
    </row>
    <row r="3722" spans="1:2" x14ac:dyDescent="0.3">
      <c r="A3722" s="7" t="s">
        <v>3734</v>
      </c>
      <c r="B3722" s="8">
        <v>1057</v>
      </c>
    </row>
    <row r="3723" spans="1:2" x14ac:dyDescent="0.3">
      <c r="A3723" s="7" t="s">
        <v>3735</v>
      </c>
      <c r="B3723" s="8">
        <v>1059</v>
      </c>
    </row>
    <row r="3724" spans="1:2" x14ac:dyDescent="0.3">
      <c r="A3724" s="7" t="s">
        <v>3736</v>
      </c>
      <c r="B3724" s="8">
        <v>1059</v>
      </c>
    </row>
    <row r="3725" spans="1:2" x14ac:dyDescent="0.3">
      <c r="A3725" s="7" t="s">
        <v>3737</v>
      </c>
      <c r="B3725" s="8">
        <v>1059</v>
      </c>
    </row>
    <row r="3726" spans="1:2" x14ac:dyDescent="0.3">
      <c r="A3726" s="7" t="s">
        <v>3738</v>
      </c>
      <c r="B3726" s="8">
        <v>1059.5</v>
      </c>
    </row>
    <row r="3727" spans="1:2" x14ac:dyDescent="0.3">
      <c r="A3727" s="7" t="s">
        <v>3739</v>
      </c>
      <c r="B3727" s="8">
        <v>1060.5</v>
      </c>
    </row>
    <row r="3728" spans="1:2" x14ac:dyDescent="0.3">
      <c r="A3728" s="7" t="s">
        <v>3740</v>
      </c>
      <c r="B3728" s="8">
        <v>1061.5</v>
      </c>
    </row>
    <row r="3729" spans="1:2" x14ac:dyDescent="0.3">
      <c r="A3729" s="7" t="s">
        <v>3741</v>
      </c>
      <c r="B3729" s="8">
        <v>1062</v>
      </c>
    </row>
    <row r="3730" spans="1:2" x14ac:dyDescent="0.3">
      <c r="A3730" s="7" t="s">
        <v>3742</v>
      </c>
      <c r="B3730" s="8">
        <v>1063.5</v>
      </c>
    </row>
    <row r="3731" spans="1:2" x14ac:dyDescent="0.3">
      <c r="A3731" s="7" t="s">
        <v>3743</v>
      </c>
      <c r="B3731" s="8">
        <v>1063.5</v>
      </c>
    </row>
    <row r="3732" spans="1:2" x14ac:dyDescent="0.3">
      <c r="A3732" s="7" t="s">
        <v>3744</v>
      </c>
      <c r="B3732" s="8">
        <v>1063.5</v>
      </c>
    </row>
    <row r="3733" spans="1:2" x14ac:dyDescent="0.3">
      <c r="A3733" s="7" t="s">
        <v>3745</v>
      </c>
      <c r="B3733" s="8">
        <v>1066</v>
      </c>
    </row>
    <row r="3734" spans="1:2" x14ac:dyDescent="0.3">
      <c r="A3734" s="7" t="s">
        <v>3746</v>
      </c>
      <c r="B3734" s="8">
        <v>1066.5</v>
      </c>
    </row>
    <row r="3735" spans="1:2" x14ac:dyDescent="0.3">
      <c r="A3735" s="7" t="s">
        <v>3747</v>
      </c>
      <c r="B3735" s="8">
        <v>1067.5</v>
      </c>
    </row>
    <row r="3736" spans="1:2" x14ac:dyDescent="0.3">
      <c r="A3736" s="7" t="s">
        <v>3748</v>
      </c>
      <c r="B3736" s="8">
        <v>1068</v>
      </c>
    </row>
    <row r="3737" spans="1:2" x14ac:dyDescent="0.3">
      <c r="A3737" s="7" t="s">
        <v>3749</v>
      </c>
      <c r="B3737" s="8">
        <v>1069</v>
      </c>
    </row>
    <row r="3738" spans="1:2" x14ac:dyDescent="0.3">
      <c r="A3738" s="7" t="s">
        <v>3750</v>
      </c>
      <c r="B3738" s="8">
        <v>1069</v>
      </c>
    </row>
    <row r="3739" spans="1:2" x14ac:dyDescent="0.3">
      <c r="A3739" s="7" t="s">
        <v>3751</v>
      </c>
      <c r="B3739" s="8">
        <v>1069</v>
      </c>
    </row>
    <row r="3740" spans="1:2" x14ac:dyDescent="0.3">
      <c r="A3740" s="7" t="s">
        <v>3752</v>
      </c>
      <c r="B3740" s="8">
        <v>1070</v>
      </c>
    </row>
    <row r="3741" spans="1:2" x14ac:dyDescent="0.3">
      <c r="A3741" s="7" t="s">
        <v>3753</v>
      </c>
      <c r="B3741" s="8">
        <v>1070.5</v>
      </c>
    </row>
    <row r="3742" spans="1:2" x14ac:dyDescent="0.3">
      <c r="A3742" s="7" t="s">
        <v>3754</v>
      </c>
      <c r="B3742" s="8">
        <v>1071.5</v>
      </c>
    </row>
    <row r="3743" spans="1:2" x14ac:dyDescent="0.3">
      <c r="A3743" s="7" t="s">
        <v>3755</v>
      </c>
      <c r="B3743" s="8">
        <v>1072</v>
      </c>
    </row>
    <row r="3744" spans="1:2" x14ac:dyDescent="0.3">
      <c r="A3744" s="7" t="s">
        <v>3756</v>
      </c>
      <c r="B3744" s="8">
        <v>1073.5</v>
      </c>
    </row>
    <row r="3745" spans="1:2" x14ac:dyDescent="0.3">
      <c r="A3745" s="7" t="s">
        <v>3757</v>
      </c>
      <c r="B3745" s="8">
        <v>1073.5</v>
      </c>
    </row>
    <row r="3746" spans="1:2" x14ac:dyDescent="0.3">
      <c r="A3746" s="7" t="s">
        <v>3758</v>
      </c>
      <c r="B3746" s="8">
        <v>1073.5</v>
      </c>
    </row>
    <row r="3747" spans="1:2" x14ac:dyDescent="0.3">
      <c r="A3747" s="7" t="s">
        <v>3759</v>
      </c>
      <c r="B3747" s="8">
        <v>1074.25</v>
      </c>
    </row>
    <row r="3748" spans="1:2" x14ac:dyDescent="0.3">
      <c r="A3748" s="7" t="s">
        <v>3760</v>
      </c>
      <c r="B3748" s="8">
        <v>1074.5</v>
      </c>
    </row>
    <row r="3749" spans="1:2" x14ac:dyDescent="0.3">
      <c r="A3749" s="7" t="s">
        <v>3761</v>
      </c>
      <c r="B3749" s="8">
        <v>1074.5</v>
      </c>
    </row>
    <row r="3750" spans="1:2" x14ac:dyDescent="0.3">
      <c r="A3750" s="7" t="s">
        <v>3762</v>
      </c>
      <c r="B3750" s="8">
        <v>1074.75</v>
      </c>
    </row>
    <row r="3751" spans="1:2" x14ac:dyDescent="0.3">
      <c r="A3751" s="7" t="s">
        <v>3763</v>
      </c>
      <c r="B3751" s="8">
        <v>1075.75</v>
      </c>
    </row>
    <row r="3752" spans="1:2" x14ac:dyDescent="0.3">
      <c r="A3752" s="7" t="s">
        <v>3764</v>
      </c>
      <c r="B3752" s="8">
        <v>1075.75</v>
      </c>
    </row>
    <row r="3753" spans="1:2" x14ac:dyDescent="0.3">
      <c r="A3753" s="7" t="s">
        <v>3765</v>
      </c>
      <c r="B3753" s="8">
        <v>1075.75</v>
      </c>
    </row>
    <row r="3754" spans="1:2" x14ac:dyDescent="0.3">
      <c r="A3754" s="7" t="s">
        <v>3766</v>
      </c>
      <c r="B3754" s="8">
        <v>1076</v>
      </c>
    </row>
    <row r="3755" spans="1:2" x14ac:dyDescent="0.3">
      <c r="A3755" s="7" t="s">
        <v>3767</v>
      </c>
      <c r="B3755" s="8">
        <v>1076</v>
      </c>
    </row>
    <row r="3756" spans="1:2" x14ac:dyDescent="0.3">
      <c r="A3756" s="7" t="s">
        <v>3768</v>
      </c>
      <c r="B3756" s="8">
        <v>1076.25</v>
      </c>
    </row>
    <row r="3757" spans="1:2" x14ac:dyDescent="0.3">
      <c r="A3757" s="7" t="s">
        <v>3769</v>
      </c>
      <c r="B3757" s="8">
        <v>1077.25</v>
      </c>
    </row>
    <row r="3758" spans="1:2" x14ac:dyDescent="0.3">
      <c r="A3758" s="7" t="s">
        <v>3770</v>
      </c>
      <c r="B3758" s="8">
        <v>1078</v>
      </c>
    </row>
    <row r="3759" spans="1:2" x14ac:dyDescent="0.3">
      <c r="A3759" s="7" t="s">
        <v>3771</v>
      </c>
      <c r="B3759" s="8">
        <v>1078</v>
      </c>
    </row>
    <row r="3760" spans="1:2" x14ac:dyDescent="0.3">
      <c r="A3760" s="7" t="s">
        <v>3772</v>
      </c>
      <c r="B3760" s="8">
        <v>1078</v>
      </c>
    </row>
    <row r="3761" spans="1:2" x14ac:dyDescent="0.3">
      <c r="A3761" s="7" t="s">
        <v>3773</v>
      </c>
      <c r="B3761" s="8">
        <v>1078.75</v>
      </c>
    </row>
    <row r="3762" spans="1:2" x14ac:dyDescent="0.3">
      <c r="A3762" s="7" t="s">
        <v>3774</v>
      </c>
      <c r="B3762" s="8">
        <v>1079</v>
      </c>
    </row>
    <row r="3763" spans="1:2" x14ac:dyDescent="0.3">
      <c r="A3763" s="7" t="s">
        <v>3775</v>
      </c>
      <c r="B3763" s="8">
        <v>1079</v>
      </c>
    </row>
    <row r="3764" spans="1:2" x14ac:dyDescent="0.3">
      <c r="A3764" s="7" t="s">
        <v>3776</v>
      </c>
      <c r="B3764" s="8">
        <v>1079.25</v>
      </c>
    </row>
    <row r="3765" spans="1:2" x14ac:dyDescent="0.3">
      <c r="A3765" s="7" t="s">
        <v>3777</v>
      </c>
      <c r="B3765" s="8">
        <v>1080.25</v>
      </c>
    </row>
    <row r="3766" spans="1:2" x14ac:dyDescent="0.3">
      <c r="A3766" s="7" t="s">
        <v>3778</v>
      </c>
      <c r="B3766" s="8">
        <v>1080.25</v>
      </c>
    </row>
    <row r="3767" spans="1:2" x14ac:dyDescent="0.3">
      <c r="A3767" s="7" t="s">
        <v>3779</v>
      </c>
      <c r="B3767" s="8">
        <v>1080.25</v>
      </c>
    </row>
    <row r="3768" spans="1:2" x14ac:dyDescent="0.3">
      <c r="A3768" s="7" t="s">
        <v>3780</v>
      </c>
      <c r="B3768" s="8">
        <v>1080.5</v>
      </c>
    </row>
    <row r="3769" spans="1:2" x14ac:dyDescent="0.3">
      <c r="A3769" s="7" t="s">
        <v>3781</v>
      </c>
      <c r="B3769" s="8">
        <v>1081</v>
      </c>
    </row>
    <row r="3770" spans="1:2" x14ac:dyDescent="0.3">
      <c r="A3770" s="7" t="s">
        <v>3782</v>
      </c>
      <c r="B3770" s="8">
        <v>1081.25</v>
      </c>
    </row>
    <row r="3771" spans="1:2" x14ac:dyDescent="0.3">
      <c r="A3771" s="7" t="s">
        <v>3783</v>
      </c>
      <c r="B3771" s="8">
        <v>1081.75</v>
      </c>
    </row>
    <row r="3772" spans="1:2" x14ac:dyDescent="0.3">
      <c r="A3772" s="7" t="s">
        <v>3784</v>
      </c>
      <c r="B3772" s="8">
        <v>1084.25</v>
      </c>
    </row>
    <row r="3773" spans="1:2" x14ac:dyDescent="0.3">
      <c r="A3773" s="7" t="s">
        <v>3785</v>
      </c>
      <c r="B3773" s="8">
        <v>1084.25</v>
      </c>
    </row>
    <row r="3774" spans="1:2" x14ac:dyDescent="0.3">
      <c r="A3774" s="7" t="s">
        <v>3786</v>
      </c>
      <c r="B3774" s="8">
        <v>1084.25</v>
      </c>
    </row>
    <row r="3775" spans="1:2" x14ac:dyDescent="0.3">
      <c r="A3775" s="7" t="s">
        <v>3787</v>
      </c>
      <c r="B3775" s="8">
        <v>1084.25</v>
      </c>
    </row>
    <row r="3776" spans="1:2" x14ac:dyDescent="0.3">
      <c r="A3776" s="7" t="s">
        <v>3788</v>
      </c>
      <c r="B3776" s="8">
        <v>1084.25</v>
      </c>
    </row>
    <row r="3777" spans="1:2" x14ac:dyDescent="0.3">
      <c r="A3777" s="7" t="s">
        <v>3789</v>
      </c>
      <c r="B3777" s="8">
        <v>1084.5</v>
      </c>
    </row>
    <row r="3778" spans="1:2" x14ac:dyDescent="0.3">
      <c r="A3778" s="7" t="s">
        <v>3790</v>
      </c>
      <c r="B3778" s="8">
        <v>1084.5</v>
      </c>
    </row>
    <row r="3779" spans="1:2" x14ac:dyDescent="0.3">
      <c r="A3779" s="7" t="s">
        <v>3791</v>
      </c>
      <c r="B3779" s="8">
        <v>1086</v>
      </c>
    </row>
    <row r="3780" spans="1:2" x14ac:dyDescent="0.3">
      <c r="A3780" s="7" t="s">
        <v>3792</v>
      </c>
      <c r="B3780" s="8">
        <v>1086</v>
      </c>
    </row>
    <row r="3781" spans="1:2" x14ac:dyDescent="0.3">
      <c r="A3781" s="7" t="s">
        <v>3793</v>
      </c>
      <c r="B3781" s="8">
        <v>1086</v>
      </c>
    </row>
    <row r="3782" spans="1:2" x14ac:dyDescent="0.3">
      <c r="A3782" s="7" t="s">
        <v>3794</v>
      </c>
      <c r="B3782" s="8">
        <v>1086.25</v>
      </c>
    </row>
    <row r="3783" spans="1:2" x14ac:dyDescent="0.3">
      <c r="A3783" s="7" t="s">
        <v>3795</v>
      </c>
      <c r="B3783" s="8">
        <v>1086.25</v>
      </c>
    </row>
    <row r="3784" spans="1:2" x14ac:dyDescent="0.3">
      <c r="A3784" s="7" t="s">
        <v>3796</v>
      </c>
      <c r="B3784" s="8">
        <v>1086.25</v>
      </c>
    </row>
    <row r="3785" spans="1:2" x14ac:dyDescent="0.3">
      <c r="A3785" s="7" t="s">
        <v>3797</v>
      </c>
      <c r="B3785" s="8">
        <v>1086.5</v>
      </c>
    </row>
    <row r="3786" spans="1:2" x14ac:dyDescent="0.3">
      <c r="A3786" s="7" t="s">
        <v>3798</v>
      </c>
      <c r="B3786" s="8">
        <v>1088</v>
      </c>
    </row>
    <row r="3787" spans="1:2" x14ac:dyDescent="0.3">
      <c r="A3787" s="7" t="s">
        <v>3799</v>
      </c>
      <c r="B3787" s="8">
        <v>1088</v>
      </c>
    </row>
    <row r="3788" spans="1:2" x14ac:dyDescent="0.3">
      <c r="A3788" s="7" t="s">
        <v>3800</v>
      </c>
      <c r="B3788" s="8">
        <v>1088</v>
      </c>
    </row>
    <row r="3789" spans="1:2" x14ac:dyDescent="0.3">
      <c r="A3789" s="7" t="s">
        <v>3801</v>
      </c>
      <c r="B3789" s="8">
        <v>1088.25</v>
      </c>
    </row>
    <row r="3790" spans="1:2" x14ac:dyDescent="0.3">
      <c r="A3790" s="7" t="s">
        <v>3802</v>
      </c>
      <c r="B3790" s="8">
        <v>1088.5</v>
      </c>
    </row>
    <row r="3791" spans="1:2" x14ac:dyDescent="0.3">
      <c r="A3791" s="7" t="s">
        <v>3803</v>
      </c>
      <c r="B3791" s="8">
        <v>1089.25</v>
      </c>
    </row>
    <row r="3792" spans="1:2" x14ac:dyDescent="0.3">
      <c r="A3792" s="7" t="s">
        <v>3804</v>
      </c>
      <c r="B3792" s="8">
        <v>1089.5</v>
      </c>
    </row>
    <row r="3793" spans="1:2" x14ac:dyDescent="0.3">
      <c r="A3793" s="7" t="s">
        <v>3805</v>
      </c>
      <c r="B3793" s="8">
        <v>1091</v>
      </c>
    </row>
    <row r="3794" spans="1:2" x14ac:dyDescent="0.3">
      <c r="A3794" s="7" t="s">
        <v>3806</v>
      </c>
      <c r="B3794" s="8">
        <v>1091</v>
      </c>
    </row>
    <row r="3795" spans="1:2" x14ac:dyDescent="0.3">
      <c r="A3795" s="7" t="s">
        <v>3807</v>
      </c>
      <c r="B3795" s="8">
        <v>1091</v>
      </c>
    </row>
    <row r="3796" spans="1:2" x14ac:dyDescent="0.3">
      <c r="A3796" s="7" t="s">
        <v>3808</v>
      </c>
      <c r="B3796" s="8">
        <v>1091</v>
      </c>
    </row>
    <row r="3797" spans="1:2" x14ac:dyDescent="0.3">
      <c r="A3797" s="7" t="s">
        <v>3809</v>
      </c>
      <c r="B3797" s="8">
        <v>1091.25</v>
      </c>
    </row>
    <row r="3798" spans="1:2" x14ac:dyDescent="0.3">
      <c r="A3798" s="7" t="s">
        <v>3810</v>
      </c>
      <c r="B3798" s="8">
        <v>1091.5</v>
      </c>
    </row>
    <row r="3799" spans="1:2" x14ac:dyDescent="0.3">
      <c r="A3799" s="7" t="s">
        <v>3811</v>
      </c>
      <c r="B3799" s="8">
        <v>1091.75</v>
      </c>
    </row>
    <row r="3800" spans="1:2" x14ac:dyDescent="0.3">
      <c r="A3800" s="7" t="s">
        <v>3812</v>
      </c>
      <c r="B3800" s="8">
        <v>1093</v>
      </c>
    </row>
    <row r="3801" spans="1:2" x14ac:dyDescent="0.3">
      <c r="A3801" s="7" t="s">
        <v>3813</v>
      </c>
      <c r="B3801" s="8">
        <v>1093</v>
      </c>
    </row>
    <row r="3802" spans="1:2" x14ac:dyDescent="0.3">
      <c r="A3802" s="7" t="s">
        <v>3814</v>
      </c>
      <c r="B3802" s="8">
        <v>1093</v>
      </c>
    </row>
    <row r="3803" spans="1:2" x14ac:dyDescent="0.3">
      <c r="A3803" s="7" t="s">
        <v>3815</v>
      </c>
      <c r="B3803" s="8">
        <v>1093.5</v>
      </c>
    </row>
    <row r="3804" spans="1:2" x14ac:dyDescent="0.3">
      <c r="A3804" s="7" t="s">
        <v>3816</v>
      </c>
      <c r="B3804" s="8">
        <v>1094.25</v>
      </c>
    </row>
    <row r="3805" spans="1:2" x14ac:dyDescent="0.3">
      <c r="A3805" s="7" t="s">
        <v>3817</v>
      </c>
      <c r="B3805" s="8">
        <v>1094.25</v>
      </c>
    </row>
    <row r="3806" spans="1:2" x14ac:dyDescent="0.3">
      <c r="A3806" s="7" t="s">
        <v>3818</v>
      </c>
      <c r="B3806" s="8">
        <v>1094.5</v>
      </c>
    </row>
    <row r="3807" spans="1:2" x14ac:dyDescent="0.3">
      <c r="A3807" s="7" t="s">
        <v>3819</v>
      </c>
      <c r="B3807" s="8">
        <v>1095.5</v>
      </c>
    </row>
    <row r="3808" spans="1:2" x14ac:dyDescent="0.3">
      <c r="A3808" s="7" t="s">
        <v>3820</v>
      </c>
      <c r="B3808" s="8">
        <v>1095.5</v>
      </c>
    </row>
    <row r="3809" spans="1:2" x14ac:dyDescent="0.3">
      <c r="A3809" s="7" t="s">
        <v>3821</v>
      </c>
      <c r="B3809" s="8">
        <v>1095.5</v>
      </c>
    </row>
    <row r="3810" spans="1:2" x14ac:dyDescent="0.3">
      <c r="A3810" s="7" t="s">
        <v>3822</v>
      </c>
      <c r="B3810" s="8">
        <v>1095.75</v>
      </c>
    </row>
    <row r="3811" spans="1:2" x14ac:dyDescent="0.3">
      <c r="A3811" s="7" t="s">
        <v>3823</v>
      </c>
      <c r="B3811" s="8">
        <v>1096</v>
      </c>
    </row>
    <row r="3812" spans="1:2" x14ac:dyDescent="0.3">
      <c r="A3812" s="7" t="s">
        <v>3824</v>
      </c>
      <c r="B3812" s="8">
        <v>1096.5</v>
      </c>
    </row>
    <row r="3813" spans="1:2" x14ac:dyDescent="0.3">
      <c r="A3813" s="7" t="s">
        <v>3825</v>
      </c>
      <c r="B3813" s="8">
        <v>1096.75</v>
      </c>
    </row>
    <row r="3814" spans="1:2" x14ac:dyDescent="0.3">
      <c r="A3814" s="7" t="s">
        <v>3826</v>
      </c>
      <c r="B3814" s="8">
        <v>1097.5</v>
      </c>
    </row>
    <row r="3815" spans="1:2" x14ac:dyDescent="0.3">
      <c r="A3815" s="7" t="s">
        <v>3827</v>
      </c>
      <c r="B3815" s="8">
        <v>1097.5</v>
      </c>
    </row>
    <row r="3816" spans="1:2" x14ac:dyDescent="0.3">
      <c r="A3816" s="7" t="s">
        <v>3828</v>
      </c>
      <c r="B3816" s="8">
        <v>1097.5</v>
      </c>
    </row>
    <row r="3817" spans="1:2" x14ac:dyDescent="0.3">
      <c r="A3817" s="7" t="s">
        <v>3829</v>
      </c>
      <c r="B3817" s="8">
        <v>1230</v>
      </c>
    </row>
    <row r="3818" spans="1:2" x14ac:dyDescent="0.3">
      <c r="A3818" s="7" t="s">
        <v>3830</v>
      </c>
      <c r="B3818" s="8">
        <v>1230</v>
      </c>
    </row>
    <row r="3819" spans="1:2" x14ac:dyDescent="0.3">
      <c r="A3819" s="7" t="s">
        <v>3831</v>
      </c>
      <c r="B3819" s="8">
        <v>1160</v>
      </c>
    </row>
    <row r="3820" spans="1:2" x14ac:dyDescent="0.3">
      <c r="A3820" s="7" t="s">
        <v>3832</v>
      </c>
      <c r="B3820" s="8">
        <v>1160</v>
      </c>
    </row>
    <row r="3821" spans="1:2" x14ac:dyDescent="0.3">
      <c r="A3821" s="7" t="s">
        <v>3833</v>
      </c>
      <c r="B3821" s="8">
        <v>1160</v>
      </c>
    </row>
    <row r="3822" spans="1:2" x14ac:dyDescent="0.3">
      <c r="A3822" s="7" t="s">
        <v>3834</v>
      </c>
      <c r="B3822" s="8">
        <v>1160</v>
      </c>
    </row>
    <row r="3823" spans="1:2" x14ac:dyDescent="0.3">
      <c r="A3823" s="7" t="s">
        <v>3835</v>
      </c>
      <c r="B3823" s="8">
        <v>1160</v>
      </c>
    </row>
    <row r="3824" spans="1:2" x14ac:dyDescent="0.3">
      <c r="A3824" s="7" t="s">
        <v>3836</v>
      </c>
      <c r="B3824" s="8">
        <v>1110</v>
      </c>
    </row>
    <row r="3825" spans="1:2" x14ac:dyDescent="0.3">
      <c r="A3825" s="7" t="s">
        <v>3837</v>
      </c>
      <c r="B3825" s="8">
        <v>1120</v>
      </c>
    </row>
    <row r="3826" spans="1:2" x14ac:dyDescent="0.3">
      <c r="A3826" s="7" t="s">
        <v>3838</v>
      </c>
      <c r="B3826" s="8">
        <v>1170</v>
      </c>
    </row>
    <row r="3827" spans="1:2" x14ac:dyDescent="0.3">
      <c r="A3827" s="7" t="s">
        <v>3839</v>
      </c>
      <c r="B3827" s="8">
        <v>1190</v>
      </c>
    </row>
    <row r="3828" spans="1:2" x14ac:dyDescent="0.3">
      <c r="A3828" s="7" t="s">
        <v>3840</v>
      </c>
      <c r="B3828" s="8">
        <v>1190</v>
      </c>
    </row>
    <row r="3829" spans="1:2" x14ac:dyDescent="0.3">
      <c r="A3829" s="7" t="s">
        <v>3841</v>
      </c>
      <c r="B3829" s="8">
        <v>1190</v>
      </c>
    </row>
    <row r="3830" spans="1:2" x14ac:dyDescent="0.3">
      <c r="A3830" s="7" t="s">
        <v>3842</v>
      </c>
      <c r="B3830" s="8">
        <v>1190</v>
      </c>
    </row>
    <row r="3831" spans="1:2" x14ac:dyDescent="0.3">
      <c r="A3831" s="7" t="s">
        <v>3843</v>
      </c>
      <c r="B3831" s="8">
        <v>1190</v>
      </c>
    </row>
    <row r="3832" spans="1:2" x14ac:dyDescent="0.3">
      <c r="A3832" s="7" t="s">
        <v>3844</v>
      </c>
      <c r="B3832" s="8">
        <v>1180</v>
      </c>
    </row>
    <row r="3833" spans="1:2" x14ac:dyDescent="0.3">
      <c r="A3833" s="7" t="s">
        <v>3845</v>
      </c>
      <c r="B3833" s="8">
        <v>1190</v>
      </c>
    </row>
    <row r="3834" spans="1:2" x14ac:dyDescent="0.3">
      <c r="A3834" s="7" t="s">
        <v>3846</v>
      </c>
      <c r="B3834" s="8">
        <v>1190</v>
      </c>
    </row>
    <row r="3835" spans="1:2" x14ac:dyDescent="0.3">
      <c r="A3835" s="7" t="s">
        <v>3847</v>
      </c>
      <c r="B3835" s="8">
        <v>1190</v>
      </c>
    </row>
    <row r="3836" spans="1:2" x14ac:dyDescent="0.3">
      <c r="A3836" s="7" t="s">
        <v>3848</v>
      </c>
      <c r="B3836" s="8">
        <v>1190</v>
      </c>
    </row>
    <row r="3837" spans="1:2" x14ac:dyDescent="0.3">
      <c r="A3837" s="7" t="s">
        <v>3849</v>
      </c>
      <c r="B3837" s="8">
        <v>1190</v>
      </c>
    </row>
    <row r="3838" spans="1:2" x14ac:dyDescent="0.3">
      <c r="A3838" s="7" t="s">
        <v>3850</v>
      </c>
      <c r="B3838" s="8">
        <v>1210</v>
      </c>
    </row>
    <row r="3839" spans="1:2" x14ac:dyDescent="0.3">
      <c r="A3839" s="7" t="s">
        <v>3851</v>
      </c>
      <c r="B3839" s="8">
        <v>1215</v>
      </c>
    </row>
    <row r="3840" spans="1:2" x14ac:dyDescent="0.3">
      <c r="A3840" s="7" t="s">
        <v>3852</v>
      </c>
      <c r="B3840" s="8">
        <v>1140</v>
      </c>
    </row>
    <row r="3841" spans="1:2" x14ac:dyDescent="0.3">
      <c r="A3841" s="7" t="s">
        <v>3853</v>
      </c>
      <c r="B3841" s="8">
        <v>1130</v>
      </c>
    </row>
    <row r="3842" spans="1:2" x14ac:dyDescent="0.3">
      <c r="A3842" s="7" t="s">
        <v>3854</v>
      </c>
      <c r="B3842" s="8">
        <v>1150</v>
      </c>
    </row>
    <row r="3843" spans="1:2" x14ac:dyDescent="0.3">
      <c r="A3843" s="7" t="s">
        <v>3855</v>
      </c>
      <c r="B3843" s="8">
        <v>1150</v>
      </c>
    </row>
    <row r="3844" spans="1:2" x14ac:dyDescent="0.3">
      <c r="A3844" s="7" t="s">
        <v>3856</v>
      </c>
      <c r="B3844" s="8">
        <v>1150</v>
      </c>
    </row>
    <row r="3845" spans="1:2" x14ac:dyDescent="0.3">
      <c r="A3845" s="7" t="s">
        <v>3857</v>
      </c>
      <c r="B3845" s="8">
        <v>1150</v>
      </c>
    </row>
    <row r="3846" spans="1:2" x14ac:dyDescent="0.3">
      <c r="A3846" s="7" t="s">
        <v>3858</v>
      </c>
      <c r="B3846" s="8">
        <v>1150</v>
      </c>
    </row>
    <row r="3847" spans="1:2" x14ac:dyDescent="0.3">
      <c r="A3847" s="7" t="s">
        <v>3859</v>
      </c>
      <c r="B3847" s="8">
        <v>1150</v>
      </c>
    </row>
    <row r="3848" spans="1:2" x14ac:dyDescent="0.3">
      <c r="A3848" s="7" t="s">
        <v>3860</v>
      </c>
      <c r="B3848" s="8">
        <v>1150</v>
      </c>
    </row>
    <row r="3849" spans="1:2" x14ac:dyDescent="0.3">
      <c r="A3849" s="7" t="s">
        <v>3861</v>
      </c>
      <c r="B3849" s="8">
        <v>1160</v>
      </c>
    </row>
    <row r="3850" spans="1:2" x14ac:dyDescent="0.3">
      <c r="A3850" s="7" t="s">
        <v>3862</v>
      </c>
      <c r="B3850" s="8">
        <v>1160</v>
      </c>
    </row>
    <row r="3851" spans="1:2" x14ac:dyDescent="0.3">
      <c r="A3851" s="7" t="s">
        <v>3863</v>
      </c>
      <c r="B3851" s="8">
        <v>1160</v>
      </c>
    </row>
    <row r="3852" spans="1:2" x14ac:dyDescent="0.3">
      <c r="A3852" s="7" t="s">
        <v>3864</v>
      </c>
      <c r="B3852" s="8">
        <v>1155</v>
      </c>
    </row>
    <row r="3853" spans="1:2" x14ac:dyDescent="0.3">
      <c r="A3853" s="7" t="s">
        <v>3865</v>
      </c>
      <c r="B3853" s="8">
        <v>1160</v>
      </c>
    </row>
    <row r="3854" spans="1:2" x14ac:dyDescent="0.3">
      <c r="A3854" s="7" t="s">
        <v>3866</v>
      </c>
      <c r="B3854" s="8">
        <v>1160</v>
      </c>
    </row>
    <row r="3855" spans="1:2" x14ac:dyDescent="0.3">
      <c r="A3855" s="7" t="s">
        <v>3867</v>
      </c>
      <c r="B3855" s="8">
        <v>1155</v>
      </c>
    </row>
    <row r="3856" spans="1:2" x14ac:dyDescent="0.3">
      <c r="A3856" s="7" t="s">
        <v>3868</v>
      </c>
      <c r="B3856" s="8">
        <v>1150</v>
      </c>
    </row>
    <row r="3857" spans="1:2" x14ac:dyDescent="0.3">
      <c r="A3857" s="7" t="s">
        <v>3869</v>
      </c>
      <c r="B3857" s="8">
        <v>1150</v>
      </c>
    </row>
    <row r="3858" spans="1:2" x14ac:dyDescent="0.3">
      <c r="A3858" s="7" t="s">
        <v>3870</v>
      </c>
      <c r="B3858" s="8">
        <v>1150</v>
      </c>
    </row>
    <row r="3859" spans="1:2" x14ac:dyDescent="0.3">
      <c r="A3859" s="7" t="s">
        <v>3871</v>
      </c>
      <c r="B3859" s="8">
        <v>1160</v>
      </c>
    </row>
    <row r="3860" spans="1:2" x14ac:dyDescent="0.3">
      <c r="A3860" s="7" t="s">
        <v>3872</v>
      </c>
      <c r="B3860" s="8">
        <v>1170</v>
      </c>
    </row>
    <row r="3861" spans="1:2" x14ac:dyDescent="0.3">
      <c r="A3861" s="7" t="s">
        <v>3873</v>
      </c>
      <c r="B3861" s="8">
        <v>1175</v>
      </c>
    </row>
    <row r="3862" spans="1:2" x14ac:dyDescent="0.3">
      <c r="A3862" s="7" t="s">
        <v>3874</v>
      </c>
      <c r="B3862" s="8">
        <v>1195</v>
      </c>
    </row>
    <row r="3863" spans="1:2" x14ac:dyDescent="0.3">
      <c r="A3863" s="7" t="s">
        <v>3875</v>
      </c>
      <c r="B3863" s="8">
        <v>1200</v>
      </c>
    </row>
    <row r="3864" spans="1:2" x14ac:dyDescent="0.3">
      <c r="A3864" s="7" t="s">
        <v>3876</v>
      </c>
      <c r="B3864" s="8">
        <v>1200</v>
      </c>
    </row>
    <row r="3865" spans="1:2" x14ac:dyDescent="0.3">
      <c r="A3865" s="7" t="s">
        <v>3877</v>
      </c>
      <c r="B3865" s="8">
        <v>1200</v>
      </c>
    </row>
    <row r="3866" spans="1:2" x14ac:dyDescent="0.3">
      <c r="A3866" s="7" t="s">
        <v>3878</v>
      </c>
      <c r="B3866" s="8">
        <v>1200</v>
      </c>
    </row>
    <row r="3867" spans="1:2" x14ac:dyDescent="0.3">
      <c r="A3867" s="7" t="s">
        <v>3879</v>
      </c>
      <c r="B3867" s="8">
        <v>1200</v>
      </c>
    </row>
    <row r="3868" spans="1:2" x14ac:dyDescent="0.3">
      <c r="A3868" s="7" t="s">
        <v>3880</v>
      </c>
      <c r="B3868" s="8">
        <v>1200</v>
      </c>
    </row>
    <row r="3869" spans="1:2" x14ac:dyDescent="0.3">
      <c r="A3869" s="7" t="s">
        <v>3881</v>
      </c>
      <c r="B3869" s="8">
        <v>1205</v>
      </c>
    </row>
    <row r="3870" spans="1:2" x14ac:dyDescent="0.3">
      <c r="A3870" s="7" t="s">
        <v>3882</v>
      </c>
      <c r="B3870" s="8">
        <v>1200</v>
      </c>
    </row>
    <row r="3871" spans="1:2" x14ac:dyDescent="0.3">
      <c r="A3871" s="7" t="s">
        <v>3883</v>
      </c>
      <c r="B3871" s="8">
        <v>1200</v>
      </c>
    </row>
    <row r="3872" spans="1:2" x14ac:dyDescent="0.3">
      <c r="A3872" s="7" t="s">
        <v>3884</v>
      </c>
      <c r="B3872" s="8">
        <v>1200</v>
      </c>
    </row>
    <row r="3873" spans="1:2" x14ac:dyDescent="0.3">
      <c r="A3873" s="7" t="s">
        <v>3885</v>
      </c>
      <c r="B3873" s="8">
        <v>1200</v>
      </c>
    </row>
    <row r="3874" spans="1:2" x14ac:dyDescent="0.3">
      <c r="A3874" s="7" t="s">
        <v>3886</v>
      </c>
      <c r="B3874" s="8">
        <v>1200</v>
      </c>
    </row>
    <row r="3875" spans="1:2" x14ac:dyDescent="0.3">
      <c r="A3875" s="7" t="s">
        <v>3887</v>
      </c>
      <c r="B3875" s="8">
        <v>1200</v>
      </c>
    </row>
    <row r="3876" spans="1:2" x14ac:dyDescent="0.3">
      <c r="A3876" s="7" t="s">
        <v>3888</v>
      </c>
      <c r="B3876" s="8">
        <v>1200</v>
      </c>
    </row>
    <row r="3877" spans="1:2" x14ac:dyDescent="0.3">
      <c r="A3877" s="7" t="s">
        <v>3889</v>
      </c>
      <c r="B3877" s="8">
        <v>1200</v>
      </c>
    </row>
    <row r="3878" spans="1:2" x14ac:dyDescent="0.3">
      <c r="A3878" s="7" t="s">
        <v>3890</v>
      </c>
      <c r="B3878" s="8">
        <v>1200</v>
      </c>
    </row>
    <row r="3879" spans="1:2" x14ac:dyDescent="0.3">
      <c r="A3879" s="7" t="s">
        <v>3891</v>
      </c>
      <c r="B3879" s="8">
        <v>1200</v>
      </c>
    </row>
    <row r="3880" spans="1:2" x14ac:dyDescent="0.3">
      <c r="A3880" s="7" t="s">
        <v>3892</v>
      </c>
      <c r="B3880" s="8">
        <v>1200</v>
      </c>
    </row>
    <row r="3881" spans="1:2" x14ac:dyDescent="0.3">
      <c r="A3881" s="7" t="s">
        <v>3893</v>
      </c>
      <c r="B3881" s="8">
        <v>1185</v>
      </c>
    </row>
    <row r="3882" spans="1:2" x14ac:dyDescent="0.3">
      <c r="A3882" s="7" t="s">
        <v>3894</v>
      </c>
      <c r="B3882" s="8">
        <v>1160</v>
      </c>
    </row>
    <row r="3883" spans="1:2" x14ac:dyDescent="0.3">
      <c r="A3883" s="7" t="s">
        <v>3895</v>
      </c>
      <c r="B3883" s="8">
        <v>1180</v>
      </c>
    </row>
    <row r="3884" spans="1:2" x14ac:dyDescent="0.3">
      <c r="A3884" s="7" t="s">
        <v>3896</v>
      </c>
      <c r="B3884" s="8">
        <v>1180</v>
      </c>
    </row>
    <row r="3885" spans="1:2" x14ac:dyDescent="0.3">
      <c r="A3885" s="7" t="s">
        <v>3897</v>
      </c>
      <c r="B3885" s="8">
        <v>1180</v>
      </c>
    </row>
    <row r="3886" spans="1:2" x14ac:dyDescent="0.3">
      <c r="A3886" s="7" t="s">
        <v>3898</v>
      </c>
      <c r="B3886" s="8">
        <v>1180</v>
      </c>
    </row>
    <row r="3887" spans="1:2" x14ac:dyDescent="0.3">
      <c r="A3887" s="7" t="s">
        <v>3899</v>
      </c>
      <c r="B3887" s="8">
        <v>1185</v>
      </c>
    </row>
    <row r="3888" spans="1:2" x14ac:dyDescent="0.3">
      <c r="A3888" s="7" t="s">
        <v>3900</v>
      </c>
      <c r="B3888" s="8">
        <v>1195</v>
      </c>
    </row>
    <row r="3889" spans="1:2" x14ac:dyDescent="0.3">
      <c r="A3889" s="7" t="s">
        <v>3901</v>
      </c>
      <c r="B3889" s="8">
        <v>1205</v>
      </c>
    </row>
    <row r="3890" spans="1:2" x14ac:dyDescent="0.3">
      <c r="A3890" s="7" t="s">
        <v>3902</v>
      </c>
      <c r="B3890" s="8">
        <v>1205</v>
      </c>
    </row>
    <row r="3891" spans="1:2" x14ac:dyDescent="0.3">
      <c r="A3891" s="7" t="s">
        <v>3903</v>
      </c>
      <c r="B3891" s="8">
        <v>1205</v>
      </c>
    </row>
    <row r="3892" spans="1:2" x14ac:dyDescent="0.3">
      <c r="A3892" s="7" t="s">
        <v>3904</v>
      </c>
      <c r="B3892" s="8">
        <v>1205</v>
      </c>
    </row>
    <row r="3893" spans="1:2" x14ac:dyDescent="0.3">
      <c r="A3893" s="7" t="s">
        <v>3905</v>
      </c>
      <c r="B3893" s="8">
        <v>1205</v>
      </c>
    </row>
    <row r="3894" spans="1:2" x14ac:dyDescent="0.3">
      <c r="A3894" s="7" t="s">
        <v>3906</v>
      </c>
      <c r="B3894" s="8">
        <v>1215</v>
      </c>
    </row>
    <row r="3895" spans="1:2" x14ac:dyDescent="0.3">
      <c r="A3895" s="7" t="s">
        <v>3907</v>
      </c>
      <c r="B3895" s="8">
        <v>1235</v>
      </c>
    </row>
    <row r="3896" spans="1:2" x14ac:dyDescent="0.3">
      <c r="A3896" s="7" t="s">
        <v>3908</v>
      </c>
      <c r="B3896" s="8">
        <v>1245</v>
      </c>
    </row>
    <row r="3897" spans="1:2" x14ac:dyDescent="0.3">
      <c r="A3897" s="7" t="s">
        <v>3909</v>
      </c>
      <c r="B3897" s="8">
        <v>1245</v>
      </c>
    </row>
    <row r="3898" spans="1:2" x14ac:dyDescent="0.3">
      <c r="A3898" s="7" t="s">
        <v>3910</v>
      </c>
      <c r="B3898" s="8">
        <v>1260</v>
      </c>
    </row>
    <row r="3899" spans="1:2" x14ac:dyDescent="0.3">
      <c r="A3899" s="7" t="s">
        <v>3911</v>
      </c>
      <c r="B3899" s="8">
        <v>1260</v>
      </c>
    </row>
    <row r="3900" spans="1:2" x14ac:dyDescent="0.3">
      <c r="A3900" s="7" t="s">
        <v>3912</v>
      </c>
      <c r="B3900" s="8">
        <v>1260</v>
      </c>
    </row>
    <row r="3901" spans="1:2" x14ac:dyDescent="0.3">
      <c r="A3901" s="7" t="s">
        <v>3913</v>
      </c>
      <c r="B3901" s="8">
        <v>1280</v>
      </c>
    </row>
    <row r="3902" spans="1:2" x14ac:dyDescent="0.3">
      <c r="A3902" s="7" t="s">
        <v>3914</v>
      </c>
      <c r="B3902" s="8">
        <v>1275</v>
      </c>
    </row>
    <row r="3903" spans="1:2" x14ac:dyDescent="0.3">
      <c r="A3903" s="7" t="s">
        <v>3915</v>
      </c>
      <c r="B3903" s="8">
        <v>1275</v>
      </c>
    </row>
    <row r="3904" spans="1:2" x14ac:dyDescent="0.3">
      <c r="A3904" s="7" t="s">
        <v>3916</v>
      </c>
      <c r="B3904" s="8">
        <v>1275</v>
      </c>
    </row>
    <row r="3905" spans="1:2" x14ac:dyDescent="0.3">
      <c r="A3905" s="7" t="s">
        <v>3917</v>
      </c>
      <c r="B3905" s="8">
        <v>1275</v>
      </c>
    </row>
    <row r="3906" spans="1:2" x14ac:dyDescent="0.3">
      <c r="A3906" s="7" t="s">
        <v>3918</v>
      </c>
      <c r="B3906" s="8">
        <v>1275</v>
      </c>
    </row>
    <row r="3907" spans="1:2" x14ac:dyDescent="0.3">
      <c r="A3907" s="7" t="s">
        <v>3919</v>
      </c>
      <c r="B3907" s="8">
        <v>1275</v>
      </c>
    </row>
    <row r="3908" spans="1:2" x14ac:dyDescent="0.3">
      <c r="A3908" s="7" t="s">
        <v>3920</v>
      </c>
      <c r="B3908" s="8">
        <v>1295</v>
      </c>
    </row>
    <row r="3909" spans="1:2" x14ac:dyDescent="0.3">
      <c r="A3909" s="7" t="s">
        <v>3921</v>
      </c>
      <c r="B3909" s="8">
        <v>1280</v>
      </c>
    </row>
    <row r="3910" spans="1:2" x14ac:dyDescent="0.3">
      <c r="A3910" s="7" t="s">
        <v>3922</v>
      </c>
      <c r="B3910" s="8">
        <v>1275</v>
      </c>
    </row>
    <row r="3911" spans="1:2" x14ac:dyDescent="0.3">
      <c r="A3911" s="7" t="s">
        <v>3923</v>
      </c>
      <c r="B3911" s="8">
        <v>1290</v>
      </c>
    </row>
    <row r="3912" spans="1:2" x14ac:dyDescent="0.3">
      <c r="A3912" s="7" t="s">
        <v>3924</v>
      </c>
      <c r="B3912" s="8">
        <v>1300</v>
      </c>
    </row>
    <row r="3913" spans="1:2" x14ac:dyDescent="0.3">
      <c r="A3913" s="7" t="s">
        <v>3925</v>
      </c>
      <c r="B3913" s="8">
        <v>1300</v>
      </c>
    </row>
    <row r="3914" spans="1:2" x14ac:dyDescent="0.3">
      <c r="A3914" s="7" t="s">
        <v>3926</v>
      </c>
      <c r="B3914" s="8">
        <v>1300</v>
      </c>
    </row>
    <row r="3915" spans="1:2" x14ac:dyDescent="0.3">
      <c r="A3915" s="7" t="s">
        <v>3927</v>
      </c>
      <c r="B3915" s="8">
        <v>1300</v>
      </c>
    </row>
    <row r="3916" spans="1:2" x14ac:dyDescent="0.3">
      <c r="A3916" s="7" t="s">
        <v>3928</v>
      </c>
      <c r="B3916" s="8">
        <v>1275</v>
      </c>
    </row>
    <row r="3917" spans="1:2" x14ac:dyDescent="0.3">
      <c r="A3917" s="7" t="s">
        <v>3929</v>
      </c>
      <c r="B3917" s="8">
        <v>1275</v>
      </c>
    </row>
    <row r="3918" spans="1:2" x14ac:dyDescent="0.3">
      <c r="A3918" s="7" t="s">
        <v>3930</v>
      </c>
      <c r="B3918" s="8">
        <v>1285</v>
      </c>
    </row>
    <row r="3919" spans="1:2" x14ac:dyDescent="0.3">
      <c r="A3919" s="7" t="s">
        <v>3931</v>
      </c>
      <c r="B3919" s="8">
        <v>1295</v>
      </c>
    </row>
    <row r="3920" spans="1:2" x14ac:dyDescent="0.3">
      <c r="A3920" s="7" t="s">
        <v>3932</v>
      </c>
      <c r="B3920" s="8">
        <v>1295</v>
      </c>
    </row>
    <row r="3921" spans="1:2" x14ac:dyDescent="0.3">
      <c r="A3921" s="7" t="s">
        <v>3933</v>
      </c>
      <c r="B3921" s="8">
        <v>1295</v>
      </c>
    </row>
    <row r="3922" spans="1:2" x14ac:dyDescent="0.3">
      <c r="A3922" s="7" t="s">
        <v>3934</v>
      </c>
      <c r="B3922" s="8">
        <v>1305</v>
      </c>
    </row>
    <row r="3923" spans="1:2" x14ac:dyDescent="0.3">
      <c r="A3923" s="7" t="s">
        <v>3935</v>
      </c>
      <c r="B3923" s="8">
        <v>1300</v>
      </c>
    </row>
    <row r="3924" spans="1:2" x14ac:dyDescent="0.3">
      <c r="A3924" s="7" t="s">
        <v>3936</v>
      </c>
      <c r="B3924" s="8">
        <v>1325</v>
      </c>
    </row>
    <row r="3925" spans="1:2" x14ac:dyDescent="0.3">
      <c r="A3925" s="7" t="s">
        <v>3937</v>
      </c>
      <c r="B3925" s="8">
        <v>1380</v>
      </c>
    </row>
    <row r="3926" spans="1:2" x14ac:dyDescent="0.3">
      <c r="A3926" s="7" t="s">
        <v>3938</v>
      </c>
      <c r="B3926" s="8">
        <v>1375</v>
      </c>
    </row>
    <row r="3927" spans="1:2" x14ac:dyDescent="0.3">
      <c r="A3927" s="7" t="s">
        <v>3939</v>
      </c>
      <c r="B3927" s="8">
        <v>1375</v>
      </c>
    </row>
    <row r="3928" spans="1:2" x14ac:dyDescent="0.3">
      <c r="A3928" s="7" t="s">
        <v>3940</v>
      </c>
      <c r="B3928" s="8">
        <v>1375</v>
      </c>
    </row>
    <row r="3929" spans="1:2" x14ac:dyDescent="0.3">
      <c r="A3929" s="7" t="s">
        <v>3941</v>
      </c>
      <c r="B3929" s="8">
        <v>1370</v>
      </c>
    </row>
    <row r="3930" spans="1:2" x14ac:dyDescent="0.3">
      <c r="A3930" s="7" t="s">
        <v>3942</v>
      </c>
      <c r="B3930" s="8">
        <v>1350</v>
      </c>
    </row>
    <row r="3931" spans="1:2" x14ac:dyDescent="0.3">
      <c r="A3931" s="7" t="s">
        <v>3943</v>
      </c>
      <c r="B3931" s="8">
        <v>1345</v>
      </c>
    </row>
    <row r="3932" spans="1:2" x14ac:dyDescent="0.3">
      <c r="A3932" s="7" t="s">
        <v>3944</v>
      </c>
      <c r="B3932" s="8">
        <v>1340</v>
      </c>
    </row>
    <row r="3933" spans="1:2" x14ac:dyDescent="0.3">
      <c r="A3933" s="7" t="s">
        <v>3945</v>
      </c>
      <c r="B3933" s="8">
        <v>1335</v>
      </c>
    </row>
    <row r="3934" spans="1:2" x14ac:dyDescent="0.3">
      <c r="A3934" s="7" t="s">
        <v>3946</v>
      </c>
      <c r="B3934" s="8">
        <v>1335</v>
      </c>
    </row>
    <row r="3935" spans="1:2" x14ac:dyDescent="0.3">
      <c r="A3935" s="7" t="s">
        <v>3947</v>
      </c>
      <c r="B3935" s="8">
        <v>1335</v>
      </c>
    </row>
    <row r="3936" spans="1:2" x14ac:dyDescent="0.3">
      <c r="A3936" s="7" t="s">
        <v>3948</v>
      </c>
      <c r="B3936" s="8">
        <v>1335</v>
      </c>
    </row>
    <row r="3937" spans="1:2" x14ac:dyDescent="0.3">
      <c r="A3937" s="7" t="s">
        <v>3949</v>
      </c>
      <c r="B3937" s="8">
        <v>1330</v>
      </c>
    </row>
    <row r="3938" spans="1:2" x14ac:dyDescent="0.3">
      <c r="A3938" s="7" t="s">
        <v>3950</v>
      </c>
      <c r="B3938" s="8">
        <v>1325</v>
      </c>
    </row>
    <row r="3939" spans="1:2" x14ac:dyDescent="0.3">
      <c r="A3939" s="7" t="s">
        <v>3951</v>
      </c>
      <c r="B3939" s="8">
        <v>1310</v>
      </c>
    </row>
    <row r="3940" spans="1:2" x14ac:dyDescent="0.3">
      <c r="A3940" s="7" t="s">
        <v>3952</v>
      </c>
      <c r="B3940" s="8">
        <v>1310</v>
      </c>
    </row>
    <row r="3941" spans="1:2" x14ac:dyDescent="0.3">
      <c r="A3941" s="7" t="s">
        <v>3953</v>
      </c>
      <c r="B3941" s="8">
        <v>1310</v>
      </c>
    </row>
    <row r="3942" spans="1:2" x14ac:dyDescent="0.3">
      <c r="A3942" s="7" t="s">
        <v>3954</v>
      </c>
      <c r="B3942" s="8">
        <v>1310</v>
      </c>
    </row>
    <row r="3943" spans="1:2" x14ac:dyDescent="0.3">
      <c r="A3943" s="7" t="s">
        <v>3955</v>
      </c>
      <c r="B3943" s="8">
        <v>1315</v>
      </c>
    </row>
    <row r="3944" spans="1:2" x14ac:dyDescent="0.3">
      <c r="A3944" s="7" t="s">
        <v>3956</v>
      </c>
      <c r="B3944" s="8">
        <v>1310</v>
      </c>
    </row>
    <row r="3945" spans="1:2" x14ac:dyDescent="0.3">
      <c r="A3945" s="7" t="s">
        <v>3957</v>
      </c>
      <c r="B3945" s="8">
        <v>1315</v>
      </c>
    </row>
    <row r="3946" spans="1:2" x14ac:dyDescent="0.3">
      <c r="A3946" s="7" t="s">
        <v>3958</v>
      </c>
      <c r="B3946" s="8">
        <v>1325</v>
      </c>
    </row>
    <row r="3947" spans="1:2" x14ac:dyDescent="0.3">
      <c r="A3947" s="7" t="s">
        <v>3959</v>
      </c>
      <c r="B3947" s="8">
        <v>1335</v>
      </c>
    </row>
    <row r="3948" spans="1:2" x14ac:dyDescent="0.3">
      <c r="A3948" s="7" t="s">
        <v>3960</v>
      </c>
      <c r="B3948" s="8">
        <v>1335</v>
      </c>
    </row>
    <row r="3949" spans="1:2" x14ac:dyDescent="0.3">
      <c r="A3949" s="7" t="s">
        <v>3961</v>
      </c>
      <c r="B3949" s="8">
        <v>1335</v>
      </c>
    </row>
    <row r="3950" spans="1:2" x14ac:dyDescent="0.3">
      <c r="A3950" s="7" t="s">
        <v>3962</v>
      </c>
      <c r="B3950" s="8">
        <v>1370</v>
      </c>
    </row>
    <row r="3951" spans="1:2" x14ac:dyDescent="0.3">
      <c r="A3951" s="7" t="s">
        <v>3963</v>
      </c>
      <c r="B3951" s="8">
        <v>1370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06"/>
  <sheetViews>
    <sheetView workbookViewId="0">
      <selection activeCell="E12" sqref="E12"/>
    </sheetView>
  </sheetViews>
  <sheetFormatPr baseColWidth="10" defaultRowHeight="14.4" x14ac:dyDescent="0.3"/>
  <sheetData>
    <row r="1" spans="1:2" x14ac:dyDescent="0.3">
      <c r="A1" t="s">
        <v>10</v>
      </c>
      <c r="B1" t="s">
        <v>3965</v>
      </c>
    </row>
    <row r="2" spans="1:2" x14ac:dyDescent="0.3">
      <c r="A2" s="5">
        <v>35067</v>
      </c>
      <c r="B2" s="10">
        <v>17404</v>
      </c>
    </row>
    <row r="3" spans="1:2" x14ac:dyDescent="0.3">
      <c r="A3" s="5">
        <v>35068</v>
      </c>
      <c r="B3" s="10">
        <v>17435</v>
      </c>
    </row>
    <row r="4" spans="1:2" x14ac:dyDescent="0.3">
      <c r="A4" s="5">
        <v>35069</v>
      </c>
      <c r="B4" s="10">
        <v>17609</v>
      </c>
    </row>
    <row r="5" spans="1:2" x14ac:dyDescent="0.3">
      <c r="A5" s="5">
        <v>35072</v>
      </c>
      <c r="B5" s="10">
        <v>17674</v>
      </c>
    </row>
    <row r="6" spans="1:2" x14ac:dyDescent="0.3">
      <c r="A6" s="5">
        <v>35073</v>
      </c>
      <c r="B6" s="10">
        <v>17615</v>
      </c>
    </row>
    <row r="7" spans="1:2" x14ac:dyDescent="0.3">
      <c r="A7" s="5">
        <v>35074</v>
      </c>
      <c r="B7" s="10">
        <v>17611</v>
      </c>
    </row>
    <row r="8" spans="1:2" x14ac:dyDescent="0.3">
      <c r="A8" s="5">
        <v>35075</v>
      </c>
      <c r="B8" s="10">
        <v>17806</v>
      </c>
    </row>
    <row r="9" spans="1:2" x14ac:dyDescent="0.3">
      <c r="A9" s="5">
        <v>35076</v>
      </c>
      <c r="B9" s="10">
        <v>17677</v>
      </c>
    </row>
    <row r="10" spans="1:2" x14ac:dyDescent="0.3">
      <c r="A10" s="5">
        <v>35079</v>
      </c>
      <c r="B10" s="10">
        <v>17710</v>
      </c>
    </row>
    <row r="11" spans="1:2" x14ac:dyDescent="0.3">
      <c r="A11" s="5">
        <v>35080</v>
      </c>
      <c r="B11" s="10">
        <v>17405</v>
      </c>
    </row>
    <row r="12" spans="1:2" x14ac:dyDescent="0.3">
      <c r="A12" s="5">
        <v>35081</v>
      </c>
      <c r="B12" s="10">
        <v>17450</v>
      </c>
    </row>
    <row r="13" spans="1:2" x14ac:dyDescent="0.3">
      <c r="A13" s="5">
        <v>35082</v>
      </c>
      <c r="B13" s="10">
        <v>17457</v>
      </c>
    </row>
    <row r="14" spans="1:2" x14ac:dyDescent="0.3">
      <c r="A14" s="5">
        <v>35083</v>
      </c>
      <c r="B14" s="10">
        <v>17328</v>
      </c>
    </row>
    <row r="15" spans="1:2" x14ac:dyDescent="0.3">
      <c r="A15" s="5">
        <v>35086</v>
      </c>
      <c r="B15" s="10">
        <v>17127</v>
      </c>
    </row>
    <row r="16" spans="1:2" x14ac:dyDescent="0.3">
      <c r="A16" s="5">
        <v>35087</v>
      </c>
      <c r="B16" s="10">
        <v>17100</v>
      </c>
    </row>
    <row r="17" spans="1:2" x14ac:dyDescent="0.3">
      <c r="A17" s="5">
        <v>35088</v>
      </c>
      <c r="B17" s="10">
        <v>16902</v>
      </c>
    </row>
    <row r="18" spans="1:2" x14ac:dyDescent="0.3">
      <c r="A18" s="5">
        <v>35089</v>
      </c>
      <c r="B18" s="10">
        <v>16777</v>
      </c>
    </row>
    <row r="19" spans="1:2" x14ac:dyDescent="0.3">
      <c r="A19" s="5">
        <v>35090</v>
      </c>
      <c r="B19" s="10">
        <v>16725</v>
      </c>
    </row>
    <row r="20" spans="1:2" x14ac:dyDescent="0.3">
      <c r="A20" s="5">
        <v>35093</v>
      </c>
      <c r="B20" s="10">
        <v>16717</v>
      </c>
    </row>
    <row r="21" spans="1:2" x14ac:dyDescent="0.3">
      <c r="A21" s="5">
        <v>35094</v>
      </c>
      <c r="B21" s="10">
        <v>17138</v>
      </c>
    </row>
    <row r="22" spans="1:2" x14ac:dyDescent="0.3">
      <c r="A22" s="5">
        <v>35095</v>
      </c>
      <c r="B22" s="10">
        <v>16517</v>
      </c>
    </row>
    <row r="23" spans="1:2" x14ac:dyDescent="0.3">
      <c r="A23" s="5">
        <v>35096</v>
      </c>
      <c r="B23" s="10">
        <v>17503</v>
      </c>
    </row>
    <row r="24" spans="1:2" x14ac:dyDescent="0.3">
      <c r="A24" s="5">
        <v>35097</v>
      </c>
      <c r="B24" s="10">
        <v>17724</v>
      </c>
    </row>
    <row r="25" spans="1:2" x14ac:dyDescent="0.3">
      <c r="A25" s="5">
        <v>35100</v>
      </c>
      <c r="B25" s="10">
        <v>17893</v>
      </c>
    </row>
    <row r="26" spans="1:2" x14ac:dyDescent="0.3">
      <c r="A26" s="5">
        <v>35101</v>
      </c>
      <c r="B26" s="10">
        <v>18228</v>
      </c>
    </row>
    <row r="27" spans="1:2" x14ac:dyDescent="0.3">
      <c r="A27" s="5">
        <v>35102</v>
      </c>
      <c r="B27" s="10">
        <v>18924</v>
      </c>
    </row>
    <row r="28" spans="1:2" x14ac:dyDescent="0.3">
      <c r="A28" s="5">
        <v>35103</v>
      </c>
      <c r="B28" s="10">
        <v>18927</v>
      </c>
    </row>
    <row r="29" spans="1:2" x14ac:dyDescent="0.3">
      <c r="A29" s="5">
        <v>35104</v>
      </c>
      <c r="B29" s="10">
        <v>19077</v>
      </c>
    </row>
    <row r="30" spans="1:2" x14ac:dyDescent="0.3">
      <c r="A30" s="5">
        <v>35107</v>
      </c>
      <c r="B30" s="10">
        <v>18958</v>
      </c>
    </row>
    <row r="31" spans="1:2" x14ac:dyDescent="0.3">
      <c r="A31" s="5">
        <v>35108</v>
      </c>
      <c r="B31" s="10">
        <v>18855</v>
      </c>
    </row>
    <row r="32" spans="1:2" x14ac:dyDescent="0.3">
      <c r="A32" s="5">
        <v>35109</v>
      </c>
      <c r="B32" s="10">
        <v>18571</v>
      </c>
    </row>
    <row r="33" spans="1:2" x14ac:dyDescent="0.3">
      <c r="A33" s="5">
        <v>35110</v>
      </c>
      <c r="B33" s="10">
        <v>18476</v>
      </c>
    </row>
    <row r="34" spans="1:2" x14ac:dyDescent="0.3">
      <c r="A34" s="5">
        <v>35111</v>
      </c>
      <c r="B34" s="10">
        <v>18416</v>
      </c>
    </row>
    <row r="35" spans="1:2" x14ac:dyDescent="0.3">
      <c r="A35" s="5">
        <v>35114</v>
      </c>
      <c r="B35" s="10">
        <v>18352</v>
      </c>
    </row>
    <row r="36" spans="1:2" x14ac:dyDescent="0.3">
      <c r="A36" s="5">
        <v>35115</v>
      </c>
      <c r="B36" s="10">
        <v>18259</v>
      </c>
    </row>
    <row r="37" spans="1:2" x14ac:dyDescent="0.3">
      <c r="A37" s="5">
        <v>35116</v>
      </c>
      <c r="B37" s="10">
        <v>18423</v>
      </c>
    </row>
    <row r="38" spans="1:2" x14ac:dyDescent="0.3">
      <c r="A38" s="5">
        <v>35117</v>
      </c>
      <c r="B38" s="10">
        <v>18336</v>
      </c>
    </row>
    <row r="39" spans="1:2" x14ac:dyDescent="0.3">
      <c r="A39" s="5">
        <v>35118</v>
      </c>
      <c r="B39" s="10">
        <v>18922</v>
      </c>
    </row>
    <row r="40" spans="1:2" x14ac:dyDescent="0.3">
      <c r="A40" s="5">
        <v>35121</v>
      </c>
      <c r="B40" s="10">
        <v>18971</v>
      </c>
    </row>
    <row r="41" spans="1:2" x14ac:dyDescent="0.3">
      <c r="A41" s="5">
        <v>35122</v>
      </c>
      <c r="B41" s="10">
        <v>18903</v>
      </c>
    </row>
    <row r="42" spans="1:2" x14ac:dyDescent="0.3">
      <c r="A42" s="5">
        <v>35123</v>
      </c>
      <c r="B42" s="10">
        <v>18886</v>
      </c>
    </row>
    <row r="43" spans="1:2" x14ac:dyDescent="0.3">
      <c r="A43" s="5">
        <v>35124</v>
      </c>
      <c r="B43" s="10">
        <v>18372</v>
      </c>
    </row>
    <row r="44" spans="1:2" x14ac:dyDescent="0.3">
      <c r="A44" s="5">
        <v>35125</v>
      </c>
      <c r="B44" s="10">
        <v>18137</v>
      </c>
    </row>
    <row r="45" spans="1:2" x14ac:dyDescent="0.3">
      <c r="A45" s="5">
        <v>35128</v>
      </c>
      <c r="B45" s="10">
        <v>18229</v>
      </c>
    </row>
    <row r="46" spans="1:2" x14ac:dyDescent="0.3">
      <c r="A46" s="5">
        <v>35129</v>
      </c>
      <c r="B46" s="10">
        <v>18393</v>
      </c>
    </row>
    <row r="47" spans="1:2" x14ac:dyDescent="0.3">
      <c r="A47" s="5">
        <v>35130</v>
      </c>
      <c r="B47" s="10">
        <v>18440</v>
      </c>
    </row>
    <row r="48" spans="1:2" x14ac:dyDescent="0.3">
      <c r="A48" s="5">
        <v>35131</v>
      </c>
      <c r="B48" s="10">
        <v>18283</v>
      </c>
    </row>
    <row r="49" spans="1:2" x14ac:dyDescent="0.3">
      <c r="A49" s="5">
        <v>35132</v>
      </c>
      <c r="B49" s="10">
        <v>19033</v>
      </c>
    </row>
    <row r="50" spans="1:2" x14ac:dyDescent="0.3">
      <c r="A50" s="5">
        <v>35135</v>
      </c>
      <c r="B50" s="10">
        <v>19126</v>
      </c>
    </row>
    <row r="51" spans="1:2" x14ac:dyDescent="0.3">
      <c r="A51" s="5">
        <v>35136</v>
      </c>
      <c r="B51" s="10">
        <v>19227</v>
      </c>
    </row>
    <row r="52" spans="1:2" x14ac:dyDescent="0.3">
      <c r="A52" s="5">
        <v>35137</v>
      </c>
      <c r="B52" s="10">
        <v>19102</v>
      </c>
    </row>
    <row r="53" spans="1:2" x14ac:dyDescent="0.3">
      <c r="A53" s="5">
        <v>35138</v>
      </c>
      <c r="B53" s="10">
        <v>18909</v>
      </c>
    </row>
    <row r="54" spans="1:2" x14ac:dyDescent="0.3">
      <c r="A54" s="5">
        <v>35139</v>
      </c>
      <c r="B54" s="10">
        <v>18502</v>
      </c>
    </row>
    <row r="55" spans="1:2" x14ac:dyDescent="0.3">
      <c r="A55" s="5">
        <v>35142</v>
      </c>
      <c r="B55" s="10">
        <v>18447</v>
      </c>
    </row>
    <row r="56" spans="1:2" x14ac:dyDescent="0.3">
      <c r="A56" s="5">
        <v>35143</v>
      </c>
      <c r="B56" s="10">
        <v>18540</v>
      </c>
    </row>
    <row r="57" spans="1:2" x14ac:dyDescent="0.3">
      <c r="A57" s="5">
        <v>35144</v>
      </c>
      <c r="B57" s="10">
        <v>18441</v>
      </c>
    </row>
    <row r="58" spans="1:2" x14ac:dyDescent="0.3">
      <c r="A58" s="5">
        <v>35145</v>
      </c>
      <c r="B58" s="10">
        <v>18222</v>
      </c>
    </row>
    <row r="59" spans="1:2" x14ac:dyDescent="0.3">
      <c r="A59" s="5">
        <v>35146</v>
      </c>
      <c r="B59" s="10">
        <v>17880</v>
      </c>
    </row>
    <row r="60" spans="1:2" x14ac:dyDescent="0.3">
      <c r="A60" s="5">
        <v>35149</v>
      </c>
      <c r="B60" s="10">
        <v>17748</v>
      </c>
    </row>
    <row r="61" spans="1:2" x14ac:dyDescent="0.3">
      <c r="A61" s="5">
        <v>35150</v>
      </c>
      <c r="B61" s="10">
        <v>17641</v>
      </c>
    </row>
    <row r="62" spans="1:2" x14ac:dyDescent="0.3">
      <c r="A62" s="5">
        <v>35151</v>
      </c>
      <c r="B62" s="10">
        <v>18086</v>
      </c>
    </row>
    <row r="63" spans="1:2" x14ac:dyDescent="0.3">
      <c r="A63" s="5">
        <v>35152</v>
      </c>
      <c r="B63" s="10">
        <v>18021</v>
      </c>
    </row>
    <row r="64" spans="1:2" x14ac:dyDescent="0.3">
      <c r="A64" s="5">
        <v>35153</v>
      </c>
      <c r="B64" s="10">
        <v>18646</v>
      </c>
    </row>
    <row r="65" spans="1:2" x14ac:dyDescent="0.3">
      <c r="A65" s="5">
        <v>35156</v>
      </c>
      <c r="B65" s="10">
        <v>18705</v>
      </c>
    </row>
    <row r="66" spans="1:2" x14ac:dyDescent="0.3">
      <c r="A66" s="5">
        <v>35157</v>
      </c>
      <c r="B66" s="10">
        <v>18641</v>
      </c>
    </row>
    <row r="67" spans="1:2" x14ac:dyDescent="0.3">
      <c r="A67" s="5">
        <v>35158</v>
      </c>
      <c r="B67" s="10">
        <v>18459</v>
      </c>
    </row>
    <row r="68" spans="1:2" x14ac:dyDescent="0.3">
      <c r="A68" s="5">
        <v>35163</v>
      </c>
      <c r="B68" s="10">
        <v>18715</v>
      </c>
    </row>
    <row r="69" spans="1:2" x14ac:dyDescent="0.3">
      <c r="A69" s="5">
        <v>35164</v>
      </c>
      <c r="B69" s="10">
        <v>18751</v>
      </c>
    </row>
    <row r="70" spans="1:2" x14ac:dyDescent="0.3">
      <c r="A70" s="5">
        <v>35165</v>
      </c>
      <c r="B70" s="10">
        <v>19116</v>
      </c>
    </row>
    <row r="71" spans="1:2" x14ac:dyDescent="0.3">
      <c r="A71" s="5">
        <v>35166</v>
      </c>
      <c r="B71" s="10">
        <v>19008</v>
      </c>
    </row>
    <row r="72" spans="1:2" x14ac:dyDescent="0.3">
      <c r="A72" s="5">
        <v>35167</v>
      </c>
      <c r="B72" s="10">
        <v>18625</v>
      </c>
    </row>
    <row r="73" spans="1:2" x14ac:dyDescent="0.3">
      <c r="A73" s="5">
        <v>35170</v>
      </c>
      <c r="B73" s="10">
        <v>18450</v>
      </c>
    </row>
    <row r="74" spans="1:2" x14ac:dyDescent="0.3">
      <c r="A74" s="5">
        <v>35171</v>
      </c>
      <c r="B74" s="10">
        <v>18877</v>
      </c>
    </row>
    <row r="75" spans="1:2" x14ac:dyDescent="0.3">
      <c r="A75" s="5">
        <v>35172</v>
      </c>
      <c r="B75" s="10">
        <v>18882</v>
      </c>
    </row>
    <row r="76" spans="1:2" x14ac:dyDescent="0.3">
      <c r="A76" s="5">
        <v>35173</v>
      </c>
      <c r="B76" s="10">
        <v>19010</v>
      </c>
    </row>
    <row r="77" spans="1:2" x14ac:dyDescent="0.3">
      <c r="A77" s="5">
        <v>35174</v>
      </c>
      <c r="B77" s="10">
        <v>18981</v>
      </c>
    </row>
    <row r="78" spans="1:2" x14ac:dyDescent="0.3">
      <c r="A78" s="5">
        <v>35177</v>
      </c>
      <c r="B78" s="10">
        <v>19077</v>
      </c>
    </row>
    <row r="79" spans="1:2" x14ac:dyDescent="0.3">
      <c r="A79" s="5">
        <v>35178</v>
      </c>
      <c r="B79" s="10">
        <v>18975</v>
      </c>
    </row>
    <row r="80" spans="1:2" x14ac:dyDescent="0.3">
      <c r="A80" s="5">
        <v>35179</v>
      </c>
      <c r="B80" s="10">
        <v>18868</v>
      </c>
    </row>
    <row r="81" spans="1:2" x14ac:dyDescent="0.3">
      <c r="A81" s="5">
        <v>35180</v>
      </c>
      <c r="B81" s="10">
        <v>18963</v>
      </c>
    </row>
    <row r="82" spans="1:2" x14ac:dyDescent="0.3">
      <c r="A82" s="5">
        <v>35181</v>
      </c>
      <c r="B82" s="10">
        <v>18481</v>
      </c>
    </row>
    <row r="83" spans="1:2" x14ac:dyDescent="0.3">
      <c r="A83" s="5">
        <v>35184</v>
      </c>
      <c r="B83" s="10">
        <v>17878</v>
      </c>
    </row>
    <row r="84" spans="1:2" x14ac:dyDescent="0.3">
      <c r="A84" s="5">
        <v>35185</v>
      </c>
      <c r="B84" s="10">
        <v>17763</v>
      </c>
    </row>
    <row r="85" spans="1:2" x14ac:dyDescent="0.3">
      <c r="A85" s="5">
        <v>35187</v>
      </c>
      <c r="B85" s="10">
        <v>18393</v>
      </c>
    </row>
    <row r="86" spans="1:2" x14ac:dyDescent="0.3">
      <c r="A86" s="5">
        <v>35188</v>
      </c>
      <c r="B86" s="10">
        <v>18503</v>
      </c>
    </row>
    <row r="87" spans="1:2" x14ac:dyDescent="0.3">
      <c r="A87" s="5">
        <v>35191</v>
      </c>
      <c r="B87" s="10">
        <v>18591</v>
      </c>
    </row>
    <row r="88" spans="1:2" x14ac:dyDescent="0.3">
      <c r="A88" s="5">
        <v>35192</v>
      </c>
      <c r="B88" s="10">
        <v>18996</v>
      </c>
    </row>
    <row r="89" spans="1:2" x14ac:dyDescent="0.3">
      <c r="A89" s="5">
        <v>35193</v>
      </c>
      <c r="B89" s="10">
        <v>19206</v>
      </c>
    </row>
    <row r="90" spans="1:2" x14ac:dyDescent="0.3">
      <c r="A90" s="5">
        <v>35194</v>
      </c>
      <c r="B90" s="10">
        <v>19159</v>
      </c>
    </row>
    <row r="91" spans="1:2" x14ac:dyDescent="0.3">
      <c r="A91" s="5">
        <v>35195</v>
      </c>
      <c r="B91" s="10">
        <v>19170</v>
      </c>
    </row>
    <row r="92" spans="1:2" x14ac:dyDescent="0.3">
      <c r="A92" s="5">
        <v>35198</v>
      </c>
      <c r="B92" s="10">
        <v>19204</v>
      </c>
    </row>
    <row r="93" spans="1:2" x14ac:dyDescent="0.3">
      <c r="A93" s="5">
        <v>35199</v>
      </c>
      <c r="B93" s="10">
        <v>19038</v>
      </c>
    </row>
    <row r="94" spans="1:2" x14ac:dyDescent="0.3">
      <c r="A94" s="5">
        <v>35200</v>
      </c>
      <c r="B94" s="10">
        <v>18844</v>
      </c>
    </row>
    <row r="95" spans="1:2" x14ac:dyDescent="0.3">
      <c r="A95" s="5">
        <v>35201</v>
      </c>
      <c r="B95" s="10">
        <v>18777</v>
      </c>
    </row>
    <row r="96" spans="1:2" x14ac:dyDescent="0.3">
      <c r="A96" s="5">
        <v>35202</v>
      </c>
      <c r="B96" s="10">
        <v>18700</v>
      </c>
    </row>
    <row r="97" spans="1:2" x14ac:dyDescent="0.3">
      <c r="A97" s="5">
        <v>35205</v>
      </c>
      <c r="B97" s="10">
        <v>18681</v>
      </c>
    </row>
    <row r="98" spans="1:2" x14ac:dyDescent="0.3">
      <c r="A98" s="5">
        <v>35206</v>
      </c>
      <c r="B98" s="10">
        <v>19449</v>
      </c>
    </row>
    <row r="99" spans="1:2" x14ac:dyDescent="0.3">
      <c r="A99" s="5">
        <v>35207</v>
      </c>
      <c r="B99" s="10">
        <v>19353</v>
      </c>
    </row>
    <row r="100" spans="1:2" x14ac:dyDescent="0.3">
      <c r="A100" s="5">
        <v>35208</v>
      </c>
      <c r="B100" s="10">
        <v>19282</v>
      </c>
    </row>
    <row r="101" spans="1:2" x14ac:dyDescent="0.3">
      <c r="A101" s="5">
        <v>35209</v>
      </c>
      <c r="B101" s="10">
        <v>19241</v>
      </c>
    </row>
    <row r="102" spans="1:2" x14ac:dyDescent="0.3">
      <c r="A102" s="5">
        <v>35212</v>
      </c>
      <c r="B102" s="10">
        <v>19248</v>
      </c>
    </row>
    <row r="103" spans="1:2" x14ac:dyDescent="0.3">
      <c r="A103" s="5">
        <v>35213</v>
      </c>
      <c r="B103" s="10">
        <v>18801</v>
      </c>
    </row>
    <row r="104" spans="1:2" x14ac:dyDescent="0.3">
      <c r="A104" s="5">
        <v>35214</v>
      </c>
      <c r="B104" s="10">
        <v>18681</v>
      </c>
    </row>
    <row r="105" spans="1:2" x14ac:dyDescent="0.3">
      <c r="A105" s="5">
        <v>35215</v>
      </c>
      <c r="B105" s="10">
        <v>18112</v>
      </c>
    </row>
    <row r="106" spans="1:2" x14ac:dyDescent="0.3">
      <c r="A106" s="5">
        <v>35216</v>
      </c>
      <c r="B106" s="10">
        <v>18073</v>
      </c>
    </row>
    <row r="107" spans="1:2" x14ac:dyDescent="0.3">
      <c r="A107" s="5">
        <v>35219</v>
      </c>
      <c r="B107" s="10">
        <v>18580</v>
      </c>
    </row>
    <row r="108" spans="1:2" x14ac:dyDescent="0.3">
      <c r="A108" s="5">
        <v>35220</v>
      </c>
      <c r="B108" s="10">
        <v>18543</v>
      </c>
    </row>
    <row r="109" spans="1:2" x14ac:dyDescent="0.3">
      <c r="A109" s="5">
        <v>35221</v>
      </c>
      <c r="B109" s="10">
        <v>18697</v>
      </c>
    </row>
    <row r="110" spans="1:2" x14ac:dyDescent="0.3">
      <c r="A110" s="5">
        <v>35222</v>
      </c>
      <c r="B110" s="10">
        <v>18719</v>
      </c>
    </row>
    <row r="111" spans="1:2" x14ac:dyDescent="0.3">
      <c r="A111" s="5">
        <v>35223</v>
      </c>
      <c r="B111" s="10">
        <v>18880</v>
      </c>
    </row>
    <row r="112" spans="1:2" x14ac:dyDescent="0.3">
      <c r="A112" s="5">
        <v>35227</v>
      </c>
      <c r="B112" s="10">
        <v>18853</v>
      </c>
    </row>
    <row r="113" spans="1:2" x14ac:dyDescent="0.3">
      <c r="A113" s="5">
        <v>35228</v>
      </c>
      <c r="B113" s="10">
        <v>19480</v>
      </c>
    </row>
    <row r="114" spans="1:2" x14ac:dyDescent="0.3">
      <c r="A114" s="5">
        <v>35229</v>
      </c>
      <c r="B114" s="10">
        <v>19525</v>
      </c>
    </row>
    <row r="115" spans="1:2" x14ac:dyDescent="0.3">
      <c r="A115" s="5">
        <v>35230</v>
      </c>
      <c r="B115" s="10">
        <v>20125</v>
      </c>
    </row>
    <row r="116" spans="1:2" x14ac:dyDescent="0.3">
      <c r="A116" s="5">
        <v>35234</v>
      </c>
      <c r="B116" s="10">
        <v>19732</v>
      </c>
    </row>
    <row r="117" spans="1:2" x14ac:dyDescent="0.3">
      <c r="A117" s="5">
        <v>35235</v>
      </c>
      <c r="B117" s="10">
        <v>19544</v>
      </c>
    </row>
    <row r="118" spans="1:2" x14ac:dyDescent="0.3">
      <c r="A118" s="5">
        <v>35236</v>
      </c>
      <c r="B118" s="10">
        <v>19373</v>
      </c>
    </row>
    <row r="119" spans="1:2" x14ac:dyDescent="0.3">
      <c r="A119" s="5">
        <v>35237</v>
      </c>
      <c r="B119" s="10">
        <v>19394</v>
      </c>
    </row>
    <row r="120" spans="1:2" x14ac:dyDescent="0.3">
      <c r="A120" s="5">
        <v>35240</v>
      </c>
      <c r="B120" s="10">
        <v>19190</v>
      </c>
    </row>
    <row r="121" spans="1:2" x14ac:dyDescent="0.3">
      <c r="A121" s="5">
        <v>35241</v>
      </c>
      <c r="B121" s="10">
        <v>19308</v>
      </c>
    </row>
    <row r="122" spans="1:2" x14ac:dyDescent="0.3">
      <c r="A122" s="5">
        <v>35242</v>
      </c>
      <c r="B122" s="10">
        <v>19200</v>
      </c>
    </row>
    <row r="123" spans="1:2" x14ac:dyDescent="0.3">
      <c r="A123" s="5">
        <v>35243</v>
      </c>
      <c r="B123" s="10">
        <v>19943</v>
      </c>
    </row>
    <row r="124" spans="1:2" x14ac:dyDescent="0.3">
      <c r="A124" s="5">
        <v>35244</v>
      </c>
      <c r="B124" s="10">
        <v>19974</v>
      </c>
    </row>
    <row r="125" spans="1:2" x14ac:dyDescent="0.3">
      <c r="A125" s="5">
        <v>35247</v>
      </c>
      <c r="B125" s="10">
        <v>19908</v>
      </c>
    </row>
    <row r="126" spans="1:2" x14ac:dyDescent="0.3">
      <c r="A126" s="5">
        <v>35248</v>
      </c>
      <c r="B126" s="10">
        <v>19987</v>
      </c>
    </row>
    <row r="127" spans="1:2" x14ac:dyDescent="0.3">
      <c r="A127" s="5">
        <v>35249</v>
      </c>
      <c r="B127" s="10">
        <v>20277</v>
      </c>
    </row>
    <row r="128" spans="1:2" x14ac:dyDescent="0.3">
      <c r="A128" s="5">
        <v>35250</v>
      </c>
      <c r="B128" s="10">
        <v>20272</v>
      </c>
    </row>
    <row r="129" spans="1:2" x14ac:dyDescent="0.3">
      <c r="A129" s="5">
        <v>35251</v>
      </c>
      <c r="B129" s="10">
        <v>20459</v>
      </c>
    </row>
    <row r="130" spans="1:2" x14ac:dyDescent="0.3">
      <c r="A130" s="5">
        <v>35254</v>
      </c>
      <c r="B130" s="10">
        <v>20307</v>
      </c>
    </row>
    <row r="131" spans="1:2" x14ac:dyDescent="0.3">
      <c r="A131" s="5">
        <v>35256</v>
      </c>
      <c r="B131" s="10">
        <v>20193</v>
      </c>
    </row>
    <row r="132" spans="1:2" x14ac:dyDescent="0.3">
      <c r="A132" s="5">
        <v>35257</v>
      </c>
      <c r="B132" s="10">
        <v>20053</v>
      </c>
    </row>
    <row r="133" spans="1:2" x14ac:dyDescent="0.3">
      <c r="A133" s="5">
        <v>35258</v>
      </c>
      <c r="B133" s="10">
        <v>20204</v>
      </c>
    </row>
    <row r="134" spans="1:2" x14ac:dyDescent="0.3">
      <c r="A134" s="5">
        <v>35261</v>
      </c>
      <c r="B134" s="10">
        <v>20172</v>
      </c>
    </row>
    <row r="135" spans="1:2" x14ac:dyDescent="0.3">
      <c r="A135" s="5">
        <v>35262</v>
      </c>
      <c r="B135" s="10">
        <v>20787</v>
      </c>
    </row>
    <row r="136" spans="1:2" x14ac:dyDescent="0.3">
      <c r="A136" s="5">
        <v>35263</v>
      </c>
      <c r="B136" s="10">
        <v>20801</v>
      </c>
    </row>
    <row r="137" spans="1:2" x14ac:dyDescent="0.3">
      <c r="A137" s="5">
        <v>35264</v>
      </c>
      <c r="B137" s="10">
        <v>20800</v>
      </c>
    </row>
    <row r="138" spans="1:2" x14ac:dyDescent="0.3">
      <c r="A138" s="5">
        <v>35265</v>
      </c>
      <c r="B138" s="10">
        <v>20743</v>
      </c>
    </row>
    <row r="139" spans="1:2" x14ac:dyDescent="0.3">
      <c r="A139" s="5">
        <v>35268</v>
      </c>
      <c r="B139" s="10">
        <v>20583</v>
      </c>
    </row>
    <row r="140" spans="1:2" x14ac:dyDescent="0.3">
      <c r="A140" s="5">
        <v>35269</v>
      </c>
      <c r="B140" s="10">
        <v>20341</v>
      </c>
    </row>
    <row r="141" spans="1:2" x14ac:dyDescent="0.3">
      <c r="A141" s="5">
        <v>35270</v>
      </c>
      <c r="B141" s="10">
        <v>20201</v>
      </c>
    </row>
    <row r="142" spans="1:2" x14ac:dyDescent="0.3">
      <c r="A142" s="5">
        <v>35271</v>
      </c>
      <c r="B142" s="10">
        <v>19976</v>
      </c>
    </row>
    <row r="143" spans="1:2" x14ac:dyDescent="0.3">
      <c r="A143" s="5">
        <v>35272</v>
      </c>
      <c r="B143" s="10">
        <v>19802</v>
      </c>
    </row>
    <row r="144" spans="1:2" x14ac:dyDescent="0.3">
      <c r="A144" s="5">
        <v>35275</v>
      </c>
      <c r="B144" s="10">
        <v>20286</v>
      </c>
    </row>
    <row r="145" spans="1:2" x14ac:dyDescent="0.3">
      <c r="A145" s="5">
        <v>35276</v>
      </c>
      <c r="B145" s="10">
        <v>20186</v>
      </c>
    </row>
    <row r="146" spans="1:2" x14ac:dyDescent="0.3">
      <c r="A146" s="5">
        <v>35277</v>
      </c>
      <c r="B146" s="10">
        <v>19719</v>
      </c>
    </row>
    <row r="147" spans="1:2" x14ac:dyDescent="0.3">
      <c r="A147" s="5">
        <v>35278</v>
      </c>
      <c r="B147" s="10">
        <v>19349</v>
      </c>
    </row>
    <row r="148" spans="1:2" x14ac:dyDescent="0.3">
      <c r="A148" s="5">
        <v>35279</v>
      </c>
      <c r="B148" s="10">
        <v>19341</v>
      </c>
    </row>
    <row r="149" spans="1:2" x14ac:dyDescent="0.3">
      <c r="A149" s="5">
        <v>35282</v>
      </c>
      <c r="B149" s="10">
        <v>19443</v>
      </c>
    </row>
    <row r="150" spans="1:2" x14ac:dyDescent="0.3">
      <c r="A150" s="5">
        <v>35283</v>
      </c>
      <c r="B150" s="10">
        <v>19224</v>
      </c>
    </row>
    <row r="151" spans="1:2" x14ac:dyDescent="0.3">
      <c r="A151" s="5">
        <v>35284</v>
      </c>
      <c r="B151" s="10">
        <v>19150</v>
      </c>
    </row>
    <row r="152" spans="1:2" x14ac:dyDescent="0.3">
      <c r="A152" s="5">
        <v>35285</v>
      </c>
      <c r="B152" s="10">
        <v>19254</v>
      </c>
    </row>
    <row r="153" spans="1:2" x14ac:dyDescent="0.3">
      <c r="A153" s="5">
        <v>35286</v>
      </c>
      <c r="B153" s="10">
        <v>19490</v>
      </c>
    </row>
    <row r="154" spans="1:2" x14ac:dyDescent="0.3">
      <c r="A154" s="5">
        <v>35289</v>
      </c>
      <c r="B154" s="10">
        <v>19687</v>
      </c>
    </row>
    <row r="155" spans="1:2" x14ac:dyDescent="0.3">
      <c r="A155" s="5">
        <v>35290</v>
      </c>
      <c r="B155" s="10">
        <v>19984</v>
      </c>
    </row>
    <row r="156" spans="1:2" x14ac:dyDescent="0.3">
      <c r="A156" s="5">
        <v>35291</v>
      </c>
      <c r="B156" s="10">
        <v>19994</v>
      </c>
    </row>
    <row r="157" spans="1:2" x14ac:dyDescent="0.3">
      <c r="A157" s="5">
        <v>35292</v>
      </c>
      <c r="B157" s="10">
        <v>20216</v>
      </c>
    </row>
    <row r="158" spans="1:2" x14ac:dyDescent="0.3">
      <c r="A158" s="5">
        <v>35293</v>
      </c>
      <c r="B158" s="10">
        <v>19905</v>
      </c>
    </row>
    <row r="159" spans="1:2" x14ac:dyDescent="0.3">
      <c r="A159" s="5">
        <v>35297</v>
      </c>
      <c r="B159" s="10">
        <v>19544</v>
      </c>
    </row>
    <row r="160" spans="1:2" x14ac:dyDescent="0.3">
      <c r="A160" s="5">
        <v>35298</v>
      </c>
      <c r="B160" s="10">
        <v>19461</v>
      </c>
    </row>
    <row r="161" spans="1:2" x14ac:dyDescent="0.3">
      <c r="A161" s="5">
        <v>35299</v>
      </c>
      <c r="B161" s="10">
        <v>19364</v>
      </c>
    </row>
    <row r="162" spans="1:2" x14ac:dyDescent="0.3">
      <c r="A162" s="5">
        <v>35300</v>
      </c>
      <c r="B162" s="10">
        <v>19522</v>
      </c>
    </row>
    <row r="163" spans="1:2" x14ac:dyDescent="0.3">
      <c r="A163" s="5">
        <v>35303</v>
      </c>
      <c r="B163" s="10">
        <v>19427</v>
      </c>
    </row>
    <row r="164" spans="1:2" x14ac:dyDescent="0.3">
      <c r="A164" s="5">
        <v>35304</v>
      </c>
      <c r="B164" s="10">
        <v>19604</v>
      </c>
    </row>
    <row r="165" spans="1:2" x14ac:dyDescent="0.3">
      <c r="A165" s="5">
        <v>35305</v>
      </c>
      <c r="B165" s="10">
        <v>19645</v>
      </c>
    </row>
    <row r="166" spans="1:2" x14ac:dyDescent="0.3">
      <c r="A166" s="5">
        <v>35306</v>
      </c>
      <c r="B166" s="10">
        <v>19481</v>
      </c>
    </row>
    <row r="167" spans="1:2" x14ac:dyDescent="0.3">
      <c r="A167" s="5">
        <v>35307</v>
      </c>
      <c r="B167" s="10">
        <v>19530</v>
      </c>
    </row>
    <row r="168" spans="1:2" x14ac:dyDescent="0.3">
      <c r="A168" s="5">
        <v>35310</v>
      </c>
      <c r="B168" s="10">
        <v>19518</v>
      </c>
    </row>
    <row r="169" spans="1:2" x14ac:dyDescent="0.3">
      <c r="A169" s="5">
        <v>35311</v>
      </c>
      <c r="B169" s="10">
        <v>19445</v>
      </c>
    </row>
    <row r="170" spans="1:2" x14ac:dyDescent="0.3">
      <c r="A170" s="5">
        <v>35312</v>
      </c>
      <c r="B170" s="10">
        <v>19297</v>
      </c>
    </row>
    <row r="171" spans="1:2" x14ac:dyDescent="0.3">
      <c r="A171" s="5">
        <v>35313</v>
      </c>
      <c r="B171" s="10">
        <v>19240</v>
      </c>
    </row>
    <row r="172" spans="1:2" x14ac:dyDescent="0.3">
      <c r="A172" s="5">
        <v>35314</v>
      </c>
      <c r="B172" s="10">
        <v>19308</v>
      </c>
    </row>
    <row r="173" spans="1:2" x14ac:dyDescent="0.3">
      <c r="A173" s="5">
        <v>35317</v>
      </c>
      <c r="B173" s="10">
        <v>19092</v>
      </c>
    </row>
    <row r="174" spans="1:2" x14ac:dyDescent="0.3">
      <c r="A174" s="5">
        <v>35318</v>
      </c>
      <c r="B174" s="10">
        <v>19023</v>
      </c>
    </row>
    <row r="175" spans="1:2" x14ac:dyDescent="0.3">
      <c r="A175" s="5">
        <v>35319</v>
      </c>
      <c r="B175" s="10">
        <v>19101</v>
      </c>
    </row>
    <row r="176" spans="1:2" x14ac:dyDescent="0.3">
      <c r="A176" s="5">
        <v>35320</v>
      </c>
      <c r="B176" s="10">
        <v>18999</v>
      </c>
    </row>
    <row r="177" spans="1:2" x14ac:dyDescent="0.3">
      <c r="A177" s="5">
        <v>35321</v>
      </c>
      <c r="B177" s="10">
        <v>19009</v>
      </c>
    </row>
    <row r="178" spans="1:2" x14ac:dyDescent="0.3">
      <c r="A178" s="5">
        <v>35324</v>
      </c>
      <c r="B178" s="10">
        <v>18808</v>
      </c>
    </row>
    <row r="179" spans="1:2" x14ac:dyDescent="0.3">
      <c r="A179" s="5">
        <v>35325</v>
      </c>
      <c r="B179" s="10">
        <v>19035</v>
      </c>
    </row>
    <row r="180" spans="1:2" x14ac:dyDescent="0.3">
      <c r="A180" s="5">
        <v>35326</v>
      </c>
      <c r="B180" s="10">
        <v>18786</v>
      </c>
    </row>
    <row r="181" spans="1:2" x14ac:dyDescent="0.3">
      <c r="A181" s="5">
        <v>35327</v>
      </c>
      <c r="B181" s="10">
        <v>18796</v>
      </c>
    </row>
    <row r="182" spans="1:2" x14ac:dyDescent="0.3">
      <c r="A182" s="5">
        <v>35328</v>
      </c>
      <c r="B182" s="10">
        <v>19499</v>
      </c>
    </row>
    <row r="183" spans="1:2" x14ac:dyDescent="0.3">
      <c r="A183" s="5">
        <v>35331</v>
      </c>
      <c r="B183" s="10">
        <v>19252</v>
      </c>
    </row>
    <row r="184" spans="1:2" x14ac:dyDescent="0.3">
      <c r="A184" s="5">
        <v>35332</v>
      </c>
      <c r="B184" s="10">
        <v>19395</v>
      </c>
    </row>
    <row r="185" spans="1:2" x14ac:dyDescent="0.3">
      <c r="A185" s="5">
        <v>35333</v>
      </c>
      <c r="B185" s="10">
        <v>19328</v>
      </c>
    </row>
    <row r="186" spans="1:2" x14ac:dyDescent="0.3">
      <c r="A186" s="5">
        <v>35334</v>
      </c>
      <c r="B186" s="10">
        <v>19198</v>
      </c>
    </row>
    <row r="187" spans="1:2" x14ac:dyDescent="0.3">
      <c r="A187" s="5">
        <v>35335</v>
      </c>
      <c r="B187" s="10">
        <v>18956</v>
      </c>
    </row>
    <row r="188" spans="1:2" x14ac:dyDescent="0.3">
      <c r="A188" s="5">
        <v>35338</v>
      </c>
      <c r="B188" s="10">
        <v>19984</v>
      </c>
    </row>
    <row r="189" spans="1:2" x14ac:dyDescent="0.3">
      <c r="A189" s="5">
        <v>35339</v>
      </c>
      <c r="B189" s="10">
        <v>20314</v>
      </c>
    </row>
    <row r="190" spans="1:2" x14ac:dyDescent="0.3">
      <c r="A190" s="5">
        <v>35340</v>
      </c>
      <c r="B190" s="10">
        <v>20748</v>
      </c>
    </row>
    <row r="191" spans="1:2" x14ac:dyDescent="0.3">
      <c r="A191" s="5">
        <v>35341</v>
      </c>
      <c r="B191" s="10">
        <v>20707</v>
      </c>
    </row>
    <row r="192" spans="1:2" x14ac:dyDescent="0.3">
      <c r="A192" s="5">
        <v>35342</v>
      </c>
      <c r="B192" s="10">
        <v>19734</v>
      </c>
    </row>
    <row r="193" spans="1:2" x14ac:dyDescent="0.3">
      <c r="A193" s="5">
        <v>35345</v>
      </c>
      <c r="B193" s="10">
        <v>19439</v>
      </c>
    </row>
    <row r="194" spans="1:2" x14ac:dyDescent="0.3">
      <c r="A194" s="5">
        <v>35346</v>
      </c>
      <c r="B194" s="10">
        <v>19092</v>
      </c>
    </row>
    <row r="195" spans="1:2" x14ac:dyDescent="0.3">
      <c r="A195" s="5">
        <v>35347</v>
      </c>
      <c r="B195" s="10">
        <v>20028</v>
      </c>
    </row>
    <row r="196" spans="1:2" x14ac:dyDescent="0.3">
      <c r="A196" s="5">
        <v>35348</v>
      </c>
      <c r="B196" s="10">
        <v>19968</v>
      </c>
    </row>
    <row r="197" spans="1:2" x14ac:dyDescent="0.3">
      <c r="A197" s="5">
        <v>35349</v>
      </c>
      <c r="B197" s="10">
        <v>20175</v>
      </c>
    </row>
    <row r="198" spans="1:2" x14ac:dyDescent="0.3">
      <c r="A198" s="5">
        <v>35352</v>
      </c>
      <c r="B198" s="10">
        <v>20168</v>
      </c>
    </row>
    <row r="199" spans="1:2" x14ac:dyDescent="0.3">
      <c r="A199" s="5">
        <v>35353</v>
      </c>
      <c r="B199" s="10">
        <v>20001</v>
      </c>
    </row>
    <row r="200" spans="1:2" x14ac:dyDescent="0.3">
      <c r="A200" s="5">
        <v>35354</v>
      </c>
      <c r="B200" s="10">
        <v>19758</v>
      </c>
    </row>
    <row r="201" spans="1:2" x14ac:dyDescent="0.3">
      <c r="A201" s="5">
        <v>35355</v>
      </c>
      <c r="B201" s="10">
        <v>19559</v>
      </c>
    </row>
    <row r="202" spans="1:2" x14ac:dyDescent="0.3">
      <c r="A202" s="5">
        <v>35356</v>
      </c>
      <c r="B202" s="10">
        <v>19975</v>
      </c>
    </row>
    <row r="203" spans="1:2" x14ac:dyDescent="0.3">
      <c r="A203" s="5">
        <v>35359</v>
      </c>
      <c r="B203" s="10">
        <v>19902</v>
      </c>
    </row>
    <row r="204" spans="1:2" x14ac:dyDescent="0.3">
      <c r="A204" s="5">
        <v>35360</v>
      </c>
      <c r="B204" s="10">
        <v>19873</v>
      </c>
    </row>
    <row r="205" spans="1:2" x14ac:dyDescent="0.3">
      <c r="A205" s="5">
        <v>35361</v>
      </c>
      <c r="B205" s="10">
        <v>19773</v>
      </c>
    </row>
    <row r="206" spans="1:2" x14ac:dyDescent="0.3">
      <c r="A206" s="5">
        <v>35362</v>
      </c>
      <c r="B206" s="10">
        <v>19763</v>
      </c>
    </row>
    <row r="207" spans="1:2" x14ac:dyDescent="0.3">
      <c r="A207" s="5">
        <v>35363</v>
      </c>
      <c r="B207" s="10">
        <v>19965</v>
      </c>
    </row>
    <row r="208" spans="1:2" x14ac:dyDescent="0.3">
      <c r="A208" s="5">
        <v>35366</v>
      </c>
      <c r="B208" s="10">
        <v>19867</v>
      </c>
    </row>
    <row r="209" spans="1:2" x14ac:dyDescent="0.3">
      <c r="A209" s="5">
        <v>35367</v>
      </c>
      <c r="B209" s="10">
        <v>19850</v>
      </c>
    </row>
    <row r="210" spans="1:2" x14ac:dyDescent="0.3">
      <c r="A210" s="5">
        <v>35368</v>
      </c>
      <c r="B210" s="10">
        <v>19893</v>
      </c>
    </row>
    <row r="211" spans="1:2" x14ac:dyDescent="0.3">
      <c r="A211" s="5">
        <v>35369</v>
      </c>
      <c r="B211" s="10">
        <v>19288</v>
      </c>
    </row>
    <row r="212" spans="1:2" x14ac:dyDescent="0.3">
      <c r="A212" s="5">
        <v>35370</v>
      </c>
      <c r="B212" s="10">
        <v>19330</v>
      </c>
    </row>
    <row r="213" spans="1:2" x14ac:dyDescent="0.3">
      <c r="A213" s="5">
        <v>35373</v>
      </c>
      <c r="B213" s="10">
        <v>19506</v>
      </c>
    </row>
    <row r="214" spans="1:2" x14ac:dyDescent="0.3">
      <c r="A214" s="5">
        <v>35374</v>
      </c>
      <c r="B214" s="10">
        <v>19871</v>
      </c>
    </row>
    <row r="215" spans="1:2" x14ac:dyDescent="0.3">
      <c r="A215" s="5">
        <v>35375</v>
      </c>
      <c r="B215" s="10">
        <v>19998</v>
      </c>
    </row>
    <row r="216" spans="1:2" x14ac:dyDescent="0.3">
      <c r="A216" s="5">
        <v>35376</v>
      </c>
      <c r="B216" s="10">
        <v>19934</v>
      </c>
    </row>
    <row r="217" spans="1:2" x14ac:dyDescent="0.3">
      <c r="A217" s="5">
        <v>35377</v>
      </c>
      <c r="B217" s="10">
        <v>19950</v>
      </c>
    </row>
    <row r="218" spans="1:2" x14ac:dyDescent="0.3">
      <c r="A218" s="5">
        <v>35380</v>
      </c>
      <c r="B218" s="10">
        <v>19942</v>
      </c>
    </row>
    <row r="219" spans="1:2" x14ac:dyDescent="0.3">
      <c r="A219" s="5">
        <v>35381</v>
      </c>
      <c r="B219" s="10">
        <v>20453</v>
      </c>
    </row>
    <row r="220" spans="1:2" x14ac:dyDescent="0.3">
      <c r="A220" s="5">
        <v>35382</v>
      </c>
      <c r="B220" s="10">
        <v>20719</v>
      </c>
    </row>
    <row r="221" spans="1:2" x14ac:dyDescent="0.3">
      <c r="A221" s="5">
        <v>35383</v>
      </c>
      <c r="B221" s="10">
        <v>20771</v>
      </c>
    </row>
    <row r="222" spans="1:2" x14ac:dyDescent="0.3">
      <c r="A222" s="5">
        <v>35384</v>
      </c>
      <c r="B222" s="10">
        <v>20379</v>
      </c>
    </row>
    <row r="223" spans="1:2" x14ac:dyDescent="0.3">
      <c r="A223" s="5">
        <v>35387</v>
      </c>
      <c r="B223" s="10">
        <v>20434</v>
      </c>
    </row>
    <row r="224" spans="1:2" x14ac:dyDescent="0.3">
      <c r="A224" s="5">
        <v>35388</v>
      </c>
      <c r="B224" s="10">
        <v>20306</v>
      </c>
    </row>
    <row r="225" spans="1:2" x14ac:dyDescent="0.3">
      <c r="A225" s="5">
        <v>35389</v>
      </c>
      <c r="B225" s="10">
        <v>20405</v>
      </c>
    </row>
    <row r="226" spans="1:2" x14ac:dyDescent="0.3">
      <c r="A226" s="5">
        <v>35390</v>
      </c>
      <c r="B226" s="10">
        <v>20764</v>
      </c>
    </row>
    <row r="227" spans="1:2" x14ac:dyDescent="0.3">
      <c r="A227" s="5">
        <v>35391</v>
      </c>
      <c r="B227" s="10">
        <v>20407</v>
      </c>
    </row>
    <row r="228" spans="1:2" x14ac:dyDescent="0.3">
      <c r="A228" s="5">
        <v>35394</v>
      </c>
      <c r="B228" s="10">
        <v>20198</v>
      </c>
    </row>
    <row r="229" spans="1:2" x14ac:dyDescent="0.3">
      <c r="A229" s="5">
        <v>35395</v>
      </c>
      <c r="B229" s="10">
        <v>20358</v>
      </c>
    </row>
    <row r="230" spans="1:2" x14ac:dyDescent="0.3">
      <c r="A230" s="5">
        <v>35396</v>
      </c>
      <c r="B230" s="10">
        <v>20281</v>
      </c>
    </row>
    <row r="231" spans="1:2" x14ac:dyDescent="0.3">
      <c r="A231" s="5">
        <v>35397</v>
      </c>
      <c r="B231" s="10">
        <v>20291</v>
      </c>
    </row>
    <row r="232" spans="1:2" x14ac:dyDescent="0.3">
      <c r="A232" s="5">
        <v>35398</v>
      </c>
      <c r="B232" s="10">
        <v>20033</v>
      </c>
    </row>
    <row r="233" spans="1:2" x14ac:dyDescent="0.3">
      <c r="A233" s="5">
        <v>35401</v>
      </c>
      <c r="B233" s="10">
        <v>20464</v>
      </c>
    </row>
    <row r="234" spans="1:2" x14ac:dyDescent="0.3">
      <c r="A234" s="5">
        <v>35402</v>
      </c>
      <c r="B234" s="10">
        <v>20586</v>
      </c>
    </row>
    <row r="235" spans="1:2" x14ac:dyDescent="0.3">
      <c r="A235" s="5">
        <v>35403</v>
      </c>
      <c r="B235" s="10">
        <v>20815</v>
      </c>
    </row>
    <row r="236" spans="1:2" x14ac:dyDescent="0.3">
      <c r="A236" s="5">
        <v>35404</v>
      </c>
      <c r="B236" s="10">
        <v>20882</v>
      </c>
    </row>
    <row r="237" spans="1:2" x14ac:dyDescent="0.3">
      <c r="A237" s="5">
        <v>35405</v>
      </c>
      <c r="B237" s="10">
        <v>20931</v>
      </c>
    </row>
    <row r="238" spans="1:2" x14ac:dyDescent="0.3">
      <c r="A238" s="5">
        <v>35408</v>
      </c>
      <c r="B238" s="10">
        <v>20982</v>
      </c>
    </row>
    <row r="239" spans="1:2" x14ac:dyDescent="0.3">
      <c r="A239" s="5">
        <v>35409</v>
      </c>
      <c r="B239" s="10">
        <v>20928</v>
      </c>
    </row>
    <row r="240" spans="1:2" x14ac:dyDescent="0.3">
      <c r="A240" s="5">
        <v>35410</v>
      </c>
      <c r="B240" s="10">
        <v>21136</v>
      </c>
    </row>
    <row r="241" spans="1:2" x14ac:dyDescent="0.3">
      <c r="A241" s="5">
        <v>35411</v>
      </c>
      <c r="B241" s="10">
        <v>20962</v>
      </c>
    </row>
    <row r="242" spans="1:2" x14ac:dyDescent="0.3">
      <c r="A242" s="5">
        <v>35412</v>
      </c>
      <c r="B242" s="10">
        <v>21653</v>
      </c>
    </row>
    <row r="243" spans="1:2" x14ac:dyDescent="0.3">
      <c r="A243" s="5">
        <v>35415</v>
      </c>
      <c r="B243" s="10">
        <v>21742</v>
      </c>
    </row>
    <row r="244" spans="1:2" x14ac:dyDescent="0.3">
      <c r="A244" s="5">
        <v>35416</v>
      </c>
      <c r="B244" s="10">
        <v>21848</v>
      </c>
    </row>
    <row r="245" spans="1:2" x14ac:dyDescent="0.3">
      <c r="A245" s="5">
        <v>35417</v>
      </c>
      <c r="B245" s="10">
        <v>22044</v>
      </c>
    </row>
    <row r="246" spans="1:2" x14ac:dyDescent="0.3">
      <c r="A246" s="5">
        <v>35418</v>
      </c>
      <c r="B246" s="10">
        <v>22411</v>
      </c>
    </row>
    <row r="247" spans="1:2" x14ac:dyDescent="0.3">
      <c r="A247" s="5">
        <v>35419</v>
      </c>
      <c r="B247" s="10">
        <v>22955</v>
      </c>
    </row>
    <row r="248" spans="1:2" x14ac:dyDescent="0.3">
      <c r="A248" s="5">
        <v>35422</v>
      </c>
      <c r="B248" s="10">
        <v>23582</v>
      </c>
    </row>
    <row r="249" spans="1:2" x14ac:dyDescent="0.3">
      <c r="A249" s="5">
        <v>35423</v>
      </c>
      <c r="B249" s="10">
        <v>23772</v>
      </c>
    </row>
    <row r="250" spans="1:2" x14ac:dyDescent="0.3">
      <c r="A250" s="5">
        <v>35425</v>
      </c>
      <c r="B250" s="10">
        <v>23711</v>
      </c>
    </row>
    <row r="251" spans="1:2" x14ac:dyDescent="0.3">
      <c r="A251" s="5">
        <v>35426</v>
      </c>
      <c r="B251" s="10">
        <v>23912</v>
      </c>
    </row>
    <row r="252" spans="1:2" x14ac:dyDescent="0.3">
      <c r="A252" s="5">
        <v>35429</v>
      </c>
      <c r="B252" s="10">
        <v>23330</v>
      </c>
    </row>
    <row r="253" spans="1:2" x14ac:dyDescent="0.3">
      <c r="A253" s="5">
        <v>35432</v>
      </c>
      <c r="B253" s="10">
        <v>23496</v>
      </c>
    </row>
    <row r="254" spans="1:2" x14ac:dyDescent="0.3">
      <c r="A254" s="5">
        <v>35433</v>
      </c>
      <c r="B254" s="10">
        <v>23954</v>
      </c>
    </row>
    <row r="255" spans="1:2" x14ac:dyDescent="0.3">
      <c r="A255" s="5">
        <v>35436</v>
      </c>
      <c r="B255" s="10">
        <v>23165</v>
      </c>
    </row>
    <row r="256" spans="1:2" x14ac:dyDescent="0.3">
      <c r="A256" s="5">
        <v>35437</v>
      </c>
      <c r="B256" s="10">
        <v>22887</v>
      </c>
    </row>
    <row r="257" spans="1:2" x14ac:dyDescent="0.3">
      <c r="A257" s="5">
        <v>35438</v>
      </c>
      <c r="B257" s="10">
        <v>22887</v>
      </c>
    </row>
    <row r="258" spans="1:2" x14ac:dyDescent="0.3">
      <c r="A258" s="5">
        <v>35439</v>
      </c>
      <c r="B258" s="10">
        <v>23091</v>
      </c>
    </row>
    <row r="259" spans="1:2" x14ac:dyDescent="0.3">
      <c r="A259" s="5">
        <v>35440</v>
      </c>
      <c r="B259" s="10">
        <v>23273</v>
      </c>
    </row>
    <row r="260" spans="1:2" x14ac:dyDescent="0.3">
      <c r="A260" s="5">
        <v>35443</v>
      </c>
      <c r="B260" s="10">
        <v>23127</v>
      </c>
    </row>
    <row r="261" spans="1:2" x14ac:dyDescent="0.3">
      <c r="A261" s="5">
        <v>35444</v>
      </c>
      <c r="B261" s="10">
        <v>22964</v>
      </c>
    </row>
    <row r="262" spans="1:2" x14ac:dyDescent="0.3">
      <c r="A262" s="5">
        <v>35445</v>
      </c>
      <c r="B262" s="10">
        <v>22931</v>
      </c>
    </row>
    <row r="263" spans="1:2" x14ac:dyDescent="0.3">
      <c r="A263" s="5">
        <v>35446</v>
      </c>
      <c r="B263" s="10">
        <v>22939</v>
      </c>
    </row>
    <row r="264" spans="1:2" x14ac:dyDescent="0.3">
      <c r="A264" s="5">
        <v>35447</v>
      </c>
      <c r="B264" s="10">
        <v>22515</v>
      </c>
    </row>
    <row r="265" spans="1:2" x14ac:dyDescent="0.3">
      <c r="A265" s="5">
        <v>35450</v>
      </c>
      <c r="B265" s="10">
        <v>22522</v>
      </c>
    </row>
    <row r="266" spans="1:2" x14ac:dyDescent="0.3">
      <c r="A266" s="5">
        <v>35451</v>
      </c>
      <c r="B266" s="10">
        <v>22620</v>
      </c>
    </row>
    <row r="267" spans="1:2" x14ac:dyDescent="0.3">
      <c r="A267" s="5">
        <v>35452</v>
      </c>
      <c r="B267" s="10">
        <v>22797</v>
      </c>
    </row>
    <row r="268" spans="1:2" x14ac:dyDescent="0.3">
      <c r="A268" s="5">
        <v>35453</v>
      </c>
      <c r="B268" s="10">
        <v>22799</v>
      </c>
    </row>
    <row r="269" spans="1:2" x14ac:dyDescent="0.3">
      <c r="A269" s="5">
        <v>35454</v>
      </c>
      <c r="B269" s="10">
        <v>22633</v>
      </c>
    </row>
    <row r="270" spans="1:2" x14ac:dyDescent="0.3">
      <c r="A270" s="5">
        <v>35457</v>
      </c>
      <c r="B270" s="10">
        <v>22652</v>
      </c>
    </row>
    <row r="271" spans="1:2" x14ac:dyDescent="0.3">
      <c r="A271" s="5">
        <v>35458</v>
      </c>
      <c r="B271" s="10">
        <v>22554</v>
      </c>
    </row>
    <row r="272" spans="1:2" x14ac:dyDescent="0.3">
      <c r="A272" s="5">
        <v>35459</v>
      </c>
      <c r="B272" s="10">
        <v>22043</v>
      </c>
    </row>
    <row r="273" spans="1:2" x14ac:dyDescent="0.3">
      <c r="A273" s="5">
        <v>35460</v>
      </c>
      <c r="B273" s="10">
        <v>24029</v>
      </c>
    </row>
    <row r="274" spans="1:2" x14ac:dyDescent="0.3">
      <c r="A274" s="5">
        <v>35461</v>
      </c>
      <c r="B274" s="10">
        <v>23426</v>
      </c>
    </row>
    <row r="275" spans="1:2" x14ac:dyDescent="0.3">
      <c r="A275" s="5">
        <v>35464</v>
      </c>
      <c r="B275" s="10">
        <v>23938</v>
      </c>
    </row>
    <row r="276" spans="1:2" x14ac:dyDescent="0.3">
      <c r="A276" s="5">
        <v>35465</v>
      </c>
      <c r="B276" s="10">
        <v>23924</v>
      </c>
    </row>
    <row r="277" spans="1:2" x14ac:dyDescent="0.3">
      <c r="A277" s="5">
        <v>35466</v>
      </c>
      <c r="B277" s="10">
        <v>23796</v>
      </c>
    </row>
    <row r="278" spans="1:2" x14ac:dyDescent="0.3">
      <c r="A278" s="5">
        <v>35467</v>
      </c>
      <c r="B278" s="10">
        <v>23710</v>
      </c>
    </row>
    <row r="279" spans="1:2" x14ac:dyDescent="0.3">
      <c r="A279" s="5">
        <v>35468</v>
      </c>
      <c r="B279" s="10">
        <v>24143</v>
      </c>
    </row>
    <row r="280" spans="1:2" x14ac:dyDescent="0.3">
      <c r="A280" s="5">
        <v>35471</v>
      </c>
      <c r="B280" s="10">
        <v>24102</v>
      </c>
    </row>
    <row r="281" spans="1:2" x14ac:dyDescent="0.3">
      <c r="A281" s="5">
        <v>35472</v>
      </c>
      <c r="B281" s="10">
        <v>23795</v>
      </c>
    </row>
    <row r="282" spans="1:2" x14ac:dyDescent="0.3">
      <c r="A282" s="5">
        <v>35473</v>
      </c>
      <c r="B282" s="10">
        <v>24122</v>
      </c>
    </row>
    <row r="283" spans="1:2" x14ac:dyDescent="0.3">
      <c r="A283" s="5">
        <v>35474</v>
      </c>
      <c r="B283" s="10">
        <v>24298</v>
      </c>
    </row>
    <row r="284" spans="1:2" x14ac:dyDescent="0.3">
      <c r="A284" s="5">
        <v>35475</v>
      </c>
      <c r="B284" s="10">
        <v>24649</v>
      </c>
    </row>
    <row r="285" spans="1:2" x14ac:dyDescent="0.3">
      <c r="A285" s="5">
        <v>35478</v>
      </c>
      <c r="B285" s="10">
        <v>24644</v>
      </c>
    </row>
    <row r="286" spans="1:2" x14ac:dyDescent="0.3">
      <c r="A286" s="5">
        <v>35479</v>
      </c>
      <c r="B286" s="10">
        <v>24720</v>
      </c>
    </row>
    <row r="287" spans="1:2" x14ac:dyDescent="0.3">
      <c r="A287" s="5">
        <v>35480</v>
      </c>
      <c r="B287" s="10">
        <v>24874</v>
      </c>
    </row>
    <row r="288" spans="1:2" x14ac:dyDescent="0.3">
      <c r="A288" s="5">
        <v>35481</v>
      </c>
      <c r="B288" s="10">
        <v>25019</v>
      </c>
    </row>
    <row r="289" spans="1:2" x14ac:dyDescent="0.3">
      <c r="A289" s="5">
        <v>35482</v>
      </c>
      <c r="B289" s="10">
        <v>25029</v>
      </c>
    </row>
    <row r="290" spans="1:2" x14ac:dyDescent="0.3">
      <c r="A290" s="5">
        <v>35485</v>
      </c>
      <c r="B290" s="10">
        <v>25047</v>
      </c>
    </row>
    <row r="291" spans="1:2" x14ac:dyDescent="0.3">
      <c r="A291" s="5">
        <v>35486</v>
      </c>
      <c r="B291" s="10">
        <v>25240</v>
      </c>
    </row>
    <row r="292" spans="1:2" x14ac:dyDescent="0.3">
      <c r="A292" s="5">
        <v>35487</v>
      </c>
      <c r="B292" s="10">
        <v>25187</v>
      </c>
    </row>
    <row r="293" spans="1:2" x14ac:dyDescent="0.3">
      <c r="A293" s="5">
        <v>35488</v>
      </c>
      <c r="B293" s="10">
        <v>25242</v>
      </c>
    </row>
    <row r="294" spans="1:2" x14ac:dyDescent="0.3">
      <c r="A294" s="5">
        <v>35489</v>
      </c>
      <c r="B294" s="10">
        <v>25155</v>
      </c>
    </row>
    <row r="295" spans="1:2" x14ac:dyDescent="0.3">
      <c r="A295" s="5">
        <v>35492</v>
      </c>
      <c r="B295" s="10">
        <v>25074</v>
      </c>
    </row>
    <row r="296" spans="1:2" x14ac:dyDescent="0.3">
      <c r="A296" s="5">
        <v>35493</v>
      </c>
      <c r="B296" s="10">
        <v>25069</v>
      </c>
    </row>
    <row r="297" spans="1:2" x14ac:dyDescent="0.3">
      <c r="A297" s="5">
        <v>35494</v>
      </c>
      <c r="B297" s="10">
        <v>24905</v>
      </c>
    </row>
    <row r="298" spans="1:2" x14ac:dyDescent="0.3">
      <c r="A298" s="5">
        <v>35495</v>
      </c>
      <c r="B298" s="10">
        <v>24858</v>
      </c>
    </row>
    <row r="299" spans="1:2" x14ac:dyDescent="0.3">
      <c r="A299" s="5">
        <v>35496</v>
      </c>
      <c r="B299" s="10">
        <v>24819</v>
      </c>
    </row>
    <row r="300" spans="1:2" x14ac:dyDescent="0.3">
      <c r="A300" s="5">
        <v>35499</v>
      </c>
      <c r="B300" s="10">
        <v>24692</v>
      </c>
    </row>
    <row r="301" spans="1:2" x14ac:dyDescent="0.3">
      <c r="A301" s="5">
        <v>35500</v>
      </c>
      <c r="B301" s="10">
        <v>24843</v>
      </c>
    </row>
    <row r="302" spans="1:2" x14ac:dyDescent="0.3">
      <c r="A302" s="5">
        <v>35501</v>
      </c>
      <c r="B302" s="10">
        <v>24870</v>
      </c>
    </row>
    <row r="303" spans="1:2" x14ac:dyDescent="0.3">
      <c r="A303" s="5">
        <v>35502</v>
      </c>
      <c r="B303" s="10">
        <v>25041</v>
      </c>
    </row>
    <row r="304" spans="1:2" x14ac:dyDescent="0.3">
      <c r="A304" s="5">
        <v>35503</v>
      </c>
      <c r="B304" s="10">
        <v>25008</v>
      </c>
    </row>
    <row r="305" spans="1:2" x14ac:dyDescent="0.3">
      <c r="A305" s="5">
        <v>35506</v>
      </c>
      <c r="B305" s="10">
        <v>24803</v>
      </c>
    </row>
    <row r="306" spans="1:2" x14ac:dyDescent="0.3">
      <c r="A306" s="5">
        <v>35507</v>
      </c>
      <c r="B306" s="10">
        <v>25916</v>
      </c>
    </row>
    <row r="307" spans="1:2" x14ac:dyDescent="0.3">
      <c r="A307" s="5">
        <v>35508</v>
      </c>
      <c r="B307" s="10">
        <v>25877</v>
      </c>
    </row>
    <row r="308" spans="1:2" x14ac:dyDescent="0.3">
      <c r="A308" s="5">
        <v>35509</v>
      </c>
      <c r="B308" s="10">
        <v>25871</v>
      </c>
    </row>
    <row r="309" spans="1:2" x14ac:dyDescent="0.3">
      <c r="A309" s="5">
        <v>35510</v>
      </c>
      <c r="B309" s="10">
        <v>25901</v>
      </c>
    </row>
    <row r="310" spans="1:2" x14ac:dyDescent="0.3">
      <c r="A310" s="5">
        <v>35513</v>
      </c>
      <c r="B310" s="10">
        <v>25460</v>
      </c>
    </row>
    <row r="311" spans="1:2" x14ac:dyDescent="0.3">
      <c r="A311" s="5">
        <v>35514</v>
      </c>
      <c r="B311" s="10">
        <v>25510</v>
      </c>
    </row>
    <row r="312" spans="1:2" x14ac:dyDescent="0.3">
      <c r="A312" s="5">
        <v>35515</v>
      </c>
      <c r="B312" s="10">
        <v>25050</v>
      </c>
    </row>
    <row r="313" spans="1:2" x14ac:dyDescent="0.3">
      <c r="A313" s="5">
        <v>35520</v>
      </c>
      <c r="B313" s="10">
        <v>24406</v>
      </c>
    </row>
    <row r="314" spans="1:2" x14ac:dyDescent="0.3">
      <c r="A314" s="5">
        <v>35521</v>
      </c>
      <c r="B314" s="10">
        <v>24763</v>
      </c>
    </row>
    <row r="315" spans="1:2" x14ac:dyDescent="0.3">
      <c r="A315" s="5">
        <v>35522</v>
      </c>
      <c r="B315" s="10">
        <v>24871</v>
      </c>
    </row>
    <row r="316" spans="1:2" x14ac:dyDescent="0.3">
      <c r="A316" s="5">
        <v>35523</v>
      </c>
      <c r="B316" s="10">
        <v>24783</v>
      </c>
    </row>
    <row r="317" spans="1:2" x14ac:dyDescent="0.3">
      <c r="A317" s="5">
        <v>35524</v>
      </c>
      <c r="B317" s="10">
        <v>24786</v>
      </c>
    </row>
    <row r="318" spans="1:2" x14ac:dyDescent="0.3">
      <c r="A318" s="5">
        <v>35527</v>
      </c>
      <c r="B318" s="10">
        <v>24577</v>
      </c>
    </row>
    <row r="319" spans="1:2" x14ac:dyDescent="0.3">
      <c r="A319" s="5">
        <v>35528</v>
      </c>
      <c r="B319" s="10">
        <v>24233</v>
      </c>
    </row>
    <row r="320" spans="1:2" x14ac:dyDescent="0.3">
      <c r="A320" s="5">
        <v>35529</v>
      </c>
      <c r="B320" s="10">
        <v>24271</v>
      </c>
    </row>
    <row r="321" spans="1:2" x14ac:dyDescent="0.3">
      <c r="A321" s="5">
        <v>35530</v>
      </c>
      <c r="B321" s="10">
        <v>24277</v>
      </c>
    </row>
    <row r="322" spans="1:2" x14ac:dyDescent="0.3">
      <c r="A322" s="5">
        <v>35531</v>
      </c>
      <c r="B322" s="10">
        <v>24532</v>
      </c>
    </row>
    <row r="323" spans="1:2" x14ac:dyDescent="0.3">
      <c r="A323" s="5">
        <v>35534</v>
      </c>
      <c r="B323" s="10">
        <v>24508</v>
      </c>
    </row>
    <row r="324" spans="1:2" x14ac:dyDescent="0.3">
      <c r="A324" s="5">
        <v>35535</v>
      </c>
      <c r="B324" s="10">
        <v>24522</v>
      </c>
    </row>
    <row r="325" spans="1:2" x14ac:dyDescent="0.3">
      <c r="A325" s="5">
        <v>35536</v>
      </c>
      <c r="B325" s="10">
        <v>24584</v>
      </c>
    </row>
    <row r="326" spans="1:2" x14ac:dyDescent="0.3">
      <c r="A326" s="5">
        <v>35537</v>
      </c>
      <c r="B326" s="10">
        <v>24549</v>
      </c>
    </row>
    <row r="327" spans="1:2" x14ac:dyDescent="0.3">
      <c r="A327" s="5">
        <v>35538</v>
      </c>
      <c r="B327" s="10">
        <v>24457</v>
      </c>
    </row>
    <row r="328" spans="1:2" x14ac:dyDescent="0.3">
      <c r="A328" s="5">
        <v>35541</v>
      </c>
      <c r="B328" s="10">
        <v>24344</v>
      </c>
    </row>
    <row r="329" spans="1:2" x14ac:dyDescent="0.3">
      <c r="A329" s="5">
        <v>35542</v>
      </c>
      <c r="B329" s="10">
        <v>24316</v>
      </c>
    </row>
    <row r="330" spans="1:2" x14ac:dyDescent="0.3">
      <c r="A330" s="5">
        <v>35543</v>
      </c>
      <c r="B330" s="10">
        <v>24415</v>
      </c>
    </row>
    <row r="331" spans="1:2" x14ac:dyDescent="0.3">
      <c r="A331" s="5">
        <v>35544</v>
      </c>
      <c r="B331" s="10">
        <v>24188</v>
      </c>
    </row>
    <row r="332" spans="1:2" x14ac:dyDescent="0.3">
      <c r="A332" s="5">
        <v>35545</v>
      </c>
      <c r="B332" s="10">
        <v>24052</v>
      </c>
    </row>
    <row r="333" spans="1:2" x14ac:dyDescent="0.3">
      <c r="A333" s="5">
        <v>35548</v>
      </c>
      <c r="B333" s="10">
        <v>24095</v>
      </c>
    </row>
    <row r="334" spans="1:2" x14ac:dyDescent="0.3">
      <c r="A334" s="5">
        <v>35549</v>
      </c>
      <c r="B334" s="10">
        <v>23996</v>
      </c>
    </row>
    <row r="335" spans="1:2" x14ac:dyDescent="0.3">
      <c r="A335" s="5">
        <v>35550</v>
      </c>
      <c r="B335" s="10">
        <v>24028</v>
      </c>
    </row>
    <row r="336" spans="1:2" x14ac:dyDescent="0.3">
      <c r="A336" s="5">
        <v>35552</v>
      </c>
      <c r="B336" s="10">
        <v>24271</v>
      </c>
    </row>
    <row r="337" spans="1:2" x14ac:dyDescent="0.3">
      <c r="A337" s="5">
        <v>35555</v>
      </c>
      <c r="B337" s="10">
        <v>24123</v>
      </c>
    </row>
    <row r="338" spans="1:2" x14ac:dyDescent="0.3">
      <c r="A338" s="5">
        <v>35556</v>
      </c>
      <c r="B338" s="10">
        <v>24002</v>
      </c>
    </row>
    <row r="339" spans="1:2" x14ac:dyDescent="0.3">
      <c r="A339" s="5">
        <v>35557</v>
      </c>
      <c r="B339" s="10">
        <v>24330</v>
      </c>
    </row>
    <row r="340" spans="1:2" x14ac:dyDescent="0.3">
      <c r="A340" s="5">
        <v>35558</v>
      </c>
      <c r="B340" s="10">
        <v>24231</v>
      </c>
    </row>
    <row r="341" spans="1:2" x14ac:dyDescent="0.3">
      <c r="A341" s="5">
        <v>35559</v>
      </c>
      <c r="B341" s="10">
        <v>24669</v>
      </c>
    </row>
    <row r="342" spans="1:2" x14ac:dyDescent="0.3">
      <c r="A342" s="5">
        <v>35562</v>
      </c>
      <c r="B342" s="10">
        <v>24698</v>
      </c>
    </row>
    <row r="343" spans="1:2" x14ac:dyDescent="0.3">
      <c r="A343" s="5">
        <v>35563</v>
      </c>
      <c r="B343" s="10">
        <v>24932</v>
      </c>
    </row>
    <row r="344" spans="1:2" x14ac:dyDescent="0.3">
      <c r="A344" s="5">
        <v>35564</v>
      </c>
      <c r="B344" s="10">
        <v>25307</v>
      </c>
    </row>
    <row r="345" spans="1:2" x14ac:dyDescent="0.3">
      <c r="A345" s="5">
        <v>35565</v>
      </c>
      <c r="B345" s="10">
        <v>24736</v>
      </c>
    </row>
    <row r="346" spans="1:2" x14ac:dyDescent="0.3">
      <c r="A346" s="5">
        <v>35566</v>
      </c>
      <c r="B346" s="10">
        <v>25207</v>
      </c>
    </row>
    <row r="347" spans="1:2" x14ac:dyDescent="0.3">
      <c r="A347" s="5">
        <v>35569</v>
      </c>
      <c r="B347" s="10">
        <v>25092</v>
      </c>
    </row>
    <row r="348" spans="1:2" x14ac:dyDescent="0.3">
      <c r="A348" s="5">
        <v>35570</v>
      </c>
      <c r="B348" s="10">
        <v>25355</v>
      </c>
    </row>
    <row r="349" spans="1:2" x14ac:dyDescent="0.3">
      <c r="A349" s="5">
        <v>35571</v>
      </c>
      <c r="B349" s="10">
        <v>25594</v>
      </c>
    </row>
    <row r="350" spans="1:2" x14ac:dyDescent="0.3">
      <c r="A350" s="5">
        <v>35572</v>
      </c>
      <c r="B350" s="10">
        <v>25546</v>
      </c>
    </row>
    <row r="351" spans="1:2" x14ac:dyDescent="0.3">
      <c r="A351" s="5">
        <v>35573</v>
      </c>
      <c r="B351" s="10">
        <v>25751</v>
      </c>
    </row>
    <row r="352" spans="1:2" x14ac:dyDescent="0.3">
      <c r="A352" s="5">
        <v>35576</v>
      </c>
      <c r="B352" s="10">
        <v>25829</v>
      </c>
    </row>
    <row r="353" spans="1:2" x14ac:dyDescent="0.3">
      <c r="A353" s="5">
        <v>35577</v>
      </c>
      <c r="B353" s="10">
        <v>26479</v>
      </c>
    </row>
    <row r="354" spans="1:2" x14ac:dyDescent="0.3">
      <c r="A354" s="5">
        <v>35578</v>
      </c>
      <c r="B354" s="10">
        <v>26326</v>
      </c>
    </row>
    <row r="355" spans="1:2" x14ac:dyDescent="0.3">
      <c r="A355" s="5">
        <v>35579</v>
      </c>
      <c r="B355" s="10">
        <v>26197</v>
      </c>
    </row>
    <row r="356" spans="1:2" x14ac:dyDescent="0.3">
      <c r="A356" s="5">
        <v>35580</v>
      </c>
      <c r="B356" s="10">
        <v>26007</v>
      </c>
    </row>
    <row r="357" spans="1:2" x14ac:dyDescent="0.3">
      <c r="A357" s="5">
        <v>35583</v>
      </c>
      <c r="B357" s="10">
        <v>26017</v>
      </c>
    </row>
    <row r="358" spans="1:2" x14ac:dyDescent="0.3">
      <c r="A358" s="5">
        <v>35584</v>
      </c>
      <c r="B358" s="10">
        <v>25998</v>
      </c>
    </row>
    <row r="359" spans="1:2" x14ac:dyDescent="0.3">
      <c r="A359" s="5">
        <v>35585</v>
      </c>
      <c r="B359" s="10">
        <v>26007</v>
      </c>
    </row>
    <row r="360" spans="1:2" x14ac:dyDescent="0.3">
      <c r="A360" s="5">
        <v>35586</v>
      </c>
      <c r="B360" s="10">
        <v>25907</v>
      </c>
    </row>
    <row r="361" spans="1:2" x14ac:dyDescent="0.3">
      <c r="A361" s="5">
        <v>35587</v>
      </c>
      <c r="B361" s="10">
        <v>25909</v>
      </c>
    </row>
    <row r="362" spans="1:2" x14ac:dyDescent="0.3">
      <c r="A362" s="5">
        <v>35591</v>
      </c>
      <c r="B362" s="10">
        <v>25778</v>
      </c>
    </row>
    <row r="363" spans="1:2" x14ac:dyDescent="0.3">
      <c r="A363" s="5">
        <v>35592</v>
      </c>
      <c r="B363" s="10">
        <v>25919</v>
      </c>
    </row>
    <row r="364" spans="1:2" x14ac:dyDescent="0.3">
      <c r="A364" s="5">
        <v>35593</v>
      </c>
      <c r="B364" s="10">
        <v>25857</v>
      </c>
    </row>
    <row r="365" spans="1:2" x14ac:dyDescent="0.3">
      <c r="A365" s="5">
        <v>35594</v>
      </c>
      <c r="B365" s="10">
        <v>25751</v>
      </c>
    </row>
    <row r="366" spans="1:2" x14ac:dyDescent="0.3">
      <c r="A366" s="5">
        <v>35598</v>
      </c>
      <c r="B366" s="10">
        <v>25502</v>
      </c>
    </row>
    <row r="367" spans="1:2" x14ac:dyDescent="0.3">
      <c r="A367" s="5">
        <v>35599</v>
      </c>
      <c r="B367" s="10">
        <v>25375</v>
      </c>
    </row>
    <row r="368" spans="1:2" x14ac:dyDescent="0.3">
      <c r="A368" s="5">
        <v>35600</v>
      </c>
      <c r="B368" s="10">
        <v>25142</v>
      </c>
    </row>
    <row r="369" spans="1:2" x14ac:dyDescent="0.3">
      <c r="A369" s="5">
        <v>35601</v>
      </c>
      <c r="B369" s="10">
        <v>25447</v>
      </c>
    </row>
    <row r="370" spans="1:2" x14ac:dyDescent="0.3">
      <c r="A370" s="5">
        <v>35604</v>
      </c>
      <c r="B370" s="10">
        <v>25099</v>
      </c>
    </row>
    <row r="371" spans="1:2" x14ac:dyDescent="0.3">
      <c r="A371" s="5">
        <v>35605</v>
      </c>
      <c r="B371" s="10">
        <v>25494</v>
      </c>
    </row>
    <row r="372" spans="1:2" x14ac:dyDescent="0.3">
      <c r="A372" s="5">
        <v>35606</v>
      </c>
      <c r="B372" s="10">
        <v>25912</v>
      </c>
    </row>
    <row r="373" spans="1:2" x14ac:dyDescent="0.3">
      <c r="A373" s="5">
        <v>35607</v>
      </c>
      <c r="B373" s="10">
        <v>26087</v>
      </c>
    </row>
    <row r="374" spans="1:2" x14ac:dyDescent="0.3">
      <c r="A374" s="5">
        <v>35608</v>
      </c>
      <c r="B374" s="10">
        <v>26437</v>
      </c>
    </row>
    <row r="375" spans="1:2" x14ac:dyDescent="0.3">
      <c r="A375" s="5">
        <v>35611</v>
      </c>
      <c r="B375" s="10">
        <v>25862</v>
      </c>
    </row>
    <row r="376" spans="1:2" x14ac:dyDescent="0.3">
      <c r="A376" s="5">
        <v>35612</v>
      </c>
      <c r="B376" s="10">
        <v>26624</v>
      </c>
    </row>
    <row r="377" spans="1:2" x14ac:dyDescent="0.3">
      <c r="A377" s="5">
        <v>35613</v>
      </c>
      <c r="B377" s="10">
        <v>26392</v>
      </c>
    </row>
    <row r="378" spans="1:2" x14ac:dyDescent="0.3">
      <c r="A378" s="5">
        <v>35614</v>
      </c>
      <c r="B378" s="10">
        <v>26792</v>
      </c>
    </row>
    <row r="379" spans="1:2" x14ac:dyDescent="0.3">
      <c r="A379" s="5">
        <v>35615</v>
      </c>
      <c r="B379" s="10">
        <v>26713</v>
      </c>
    </row>
    <row r="380" spans="1:2" x14ac:dyDescent="0.3">
      <c r="A380" s="5">
        <v>35618</v>
      </c>
      <c r="B380" s="10">
        <v>26487</v>
      </c>
    </row>
    <row r="381" spans="1:2" x14ac:dyDescent="0.3">
      <c r="A381" s="5">
        <v>35619</v>
      </c>
      <c r="B381" s="10">
        <v>26283</v>
      </c>
    </row>
    <row r="382" spans="1:2" x14ac:dyDescent="0.3">
      <c r="A382" s="5">
        <v>35621</v>
      </c>
      <c r="B382" s="10">
        <v>26639</v>
      </c>
    </row>
    <row r="383" spans="1:2" x14ac:dyDescent="0.3">
      <c r="A383" s="5">
        <v>35622</v>
      </c>
      <c r="B383" s="10">
        <v>26485</v>
      </c>
    </row>
    <row r="384" spans="1:2" x14ac:dyDescent="0.3">
      <c r="A384" s="5">
        <v>35625</v>
      </c>
      <c r="B384" s="10">
        <v>26309</v>
      </c>
    </row>
    <row r="385" spans="1:2" x14ac:dyDescent="0.3">
      <c r="A385" s="5">
        <v>35626</v>
      </c>
      <c r="B385" s="10">
        <v>26141</v>
      </c>
    </row>
    <row r="386" spans="1:2" x14ac:dyDescent="0.3">
      <c r="A386" s="5">
        <v>35627</v>
      </c>
      <c r="B386" s="10">
        <v>26023</v>
      </c>
    </row>
    <row r="387" spans="1:2" x14ac:dyDescent="0.3">
      <c r="A387" s="5">
        <v>35628</v>
      </c>
      <c r="B387" s="10">
        <v>26145</v>
      </c>
    </row>
    <row r="388" spans="1:2" x14ac:dyDescent="0.3">
      <c r="A388" s="5">
        <v>35629</v>
      </c>
      <c r="B388" s="10">
        <v>26257</v>
      </c>
    </row>
    <row r="389" spans="1:2" x14ac:dyDescent="0.3">
      <c r="A389" s="5">
        <v>35632</v>
      </c>
      <c r="B389" s="10">
        <v>26644</v>
      </c>
    </row>
    <row r="390" spans="1:2" x14ac:dyDescent="0.3">
      <c r="A390" s="5">
        <v>35633</v>
      </c>
      <c r="B390" s="10">
        <v>26742</v>
      </c>
    </row>
    <row r="391" spans="1:2" x14ac:dyDescent="0.3">
      <c r="A391" s="5">
        <v>35634</v>
      </c>
      <c r="B391" s="10">
        <v>27100</v>
      </c>
    </row>
    <row r="392" spans="1:2" x14ac:dyDescent="0.3">
      <c r="A392" s="5">
        <v>35635</v>
      </c>
      <c r="B392" s="10">
        <v>27183</v>
      </c>
    </row>
    <row r="393" spans="1:2" x14ac:dyDescent="0.3">
      <c r="A393" s="5">
        <v>35636</v>
      </c>
      <c r="B393" s="10">
        <v>27212</v>
      </c>
    </row>
    <row r="394" spans="1:2" x14ac:dyDescent="0.3">
      <c r="A394" s="5">
        <v>35639</v>
      </c>
      <c r="B394" s="10">
        <v>26907</v>
      </c>
    </row>
    <row r="395" spans="1:2" x14ac:dyDescent="0.3">
      <c r="A395" s="5">
        <v>35640</v>
      </c>
      <c r="B395" s="10">
        <v>26873</v>
      </c>
    </row>
    <row r="396" spans="1:2" x14ac:dyDescent="0.3">
      <c r="A396" s="5">
        <v>35641</v>
      </c>
      <c r="B396" s="10">
        <v>27070</v>
      </c>
    </row>
    <row r="397" spans="1:2" x14ac:dyDescent="0.3">
      <c r="A397" s="5">
        <v>35642</v>
      </c>
      <c r="B397" s="10">
        <v>26863</v>
      </c>
    </row>
    <row r="398" spans="1:2" x14ac:dyDescent="0.3">
      <c r="A398" s="5">
        <v>35643</v>
      </c>
      <c r="B398" s="10">
        <v>26836</v>
      </c>
    </row>
    <row r="399" spans="1:2" x14ac:dyDescent="0.3">
      <c r="A399" s="5">
        <v>35646</v>
      </c>
      <c r="B399" s="10">
        <v>27314</v>
      </c>
    </row>
    <row r="400" spans="1:2" x14ac:dyDescent="0.3">
      <c r="A400" s="5">
        <v>35647</v>
      </c>
      <c r="B400" s="10">
        <v>27345</v>
      </c>
    </row>
    <row r="401" spans="1:2" x14ac:dyDescent="0.3">
      <c r="A401" s="5">
        <v>35648</v>
      </c>
      <c r="B401" s="10">
        <v>27463</v>
      </c>
    </row>
    <row r="402" spans="1:2" x14ac:dyDescent="0.3">
      <c r="A402" s="5">
        <v>35649</v>
      </c>
      <c r="B402" s="10">
        <v>27274</v>
      </c>
    </row>
    <row r="403" spans="1:2" x14ac:dyDescent="0.3">
      <c r="A403" s="5">
        <v>35650</v>
      </c>
      <c r="B403" s="10">
        <v>27309</v>
      </c>
    </row>
    <row r="404" spans="1:2" x14ac:dyDescent="0.3">
      <c r="A404" s="5">
        <v>35653</v>
      </c>
      <c r="B404" s="10">
        <v>27469</v>
      </c>
    </row>
    <row r="405" spans="1:2" x14ac:dyDescent="0.3">
      <c r="A405" s="5">
        <v>35654</v>
      </c>
      <c r="B405" s="10">
        <v>27545</v>
      </c>
    </row>
    <row r="406" spans="1:2" x14ac:dyDescent="0.3">
      <c r="A406" s="5">
        <v>35655</v>
      </c>
      <c r="B406" s="10">
        <v>27655</v>
      </c>
    </row>
    <row r="407" spans="1:2" x14ac:dyDescent="0.3">
      <c r="A407" s="5">
        <v>35656</v>
      </c>
      <c r="B407" s="10">
        <v>27667</v>
      </c>
    </row>
    <row r="408" spans="1:2" x14ac:dyDescent="0.3">
      <c r="A408" s="5">
        <v>35657</v>
      </c>
      <c r="B408" s="10">
        <v>27593</v>
      </c>
    </row>
    <row r="409" spans="1:2" x14ac:dyDescent="0.3">
      <c r="A409" s="5">
        <v>35661</v>
      </c>
      <c r="B409" s="10">
        <v>27546</v>
      </c>
    </row>
    <row r="410" spans="1:2" x14ac:dyDescent="0.3">
      <c r="A410" s="5">
        <v>35662</v>
      </c>
      <c r="B410" s="10">
        <v>27682</v>
      </c>
    </row>
    <row r="411" spans="1:2" x14ac:dyDescent="0.3">
      <c r="A411" s="5">
        <v>35663</v>
      </c>
      <c r="B411" s="10">
        <v>27999</v>
      </c>
    </row>
    <row r="412" spans="1:2" x14ac:dyDescent="0.3">
      <c r="A412" s="5">
        <v>35664</v>
      </c>
      <c r="B412" s="10">
        <v>28128</v>
      </c>
    </row>
    <row r="413" spans="1:2" x14ac:dyDescent="0.3">
      <c r="A413" s="5">
        <v>35667</v>
      </c>
      <c r="B413" s="10">
        <v>28197</v>
      </c>
    </row>
    <row r="414" spans="1:2" x14ac:dyDescent="0.3">
      <c r="A414" s="5">
        <v>35668</v>
      </c>
      <c r="B414" s="10">
        <v>28180</v>
      </c>
    </row>
    <row r="415" spans="1:2" x14ac:dyDescent="0.3">
      <c r="A415" s="5">
        <v>35669</v>
      </c>
      <c r="B415" s="10">
        <v>28192</v>
      </c>
    </row>
    <row r="416" spans="1:2" x14ac:dyDescent="0.3">
      <c r="A416" s="5">
        <v>35670</v>
      </c>
      <c r="B416" s="10">
        <v>28271</v>
      </c>
    </row>
    <row r="417" spans="1:2" x14ac:dyDescent="0.3">
      <c r="A417" s="5">
        <v>35671</v>
      </c>
      <c r="B417" s="10">
        <v>27879</v>
      </c>
    </row>
    <row r="418" spans="1:2" x14ac:dyDescent="0.3">
      <c r="A418" s="5">
        <v>35674</v>
      </c>
      <c r="B418" s="10">
        <v>28044</v>
      </c>
    </row>
    <row r="419" spans="1:2" x14ac:dyDescent="0.3">
      <c r="A419" s="5">
        <v>35675</v>
      </c>
      <c r="B419" s="10">
        <v>27632</v>
      </c>
    </row>
    <row r="420" spans="1:2" x14ac:dyDescent="0.3">
      <c r="A420" s="5">
        <v>35676</v>
      </c>
      <c r="B420" s="10">
        <v>27483</v>
      </c>
    </row>
    <row r="421" spans="1:2" x14ac:dyDescent="0.3">
      <c r="A421" s="5">
        <v>35677</v>
      </c>
      <c r="B421" s="10">
        <v>27703</v>
      </c>
    </row>
    <row r="422" spans="1:2" x14ac:dyDescent="0.3">
      <c r="A422" s="5">
        <v>35678</v>
      </c>
      <c r="B422" s="10">
        <v>27734</v>
      </c>
    </row>
    <row r="423" spans="1:2" x14ac:dyDescent="0.3">
      <c r="A423" s="5">
        <v>35681</v>
      </c>
      <c r="B423" s="10">
        <v>27387</v>
      </c>
    </row>
    <row r="424" spans="1:2" x14ac:dyDescent="0.3">
      <c r="A424" s="5">
        <v>35682</v>
      </c>
      <c r="B424" s="10">
        <v>27469</v>
      </c>
    </row>
    <row r="425" spans="1:2" x14ac:dyDescent="0.3">
      <c r="A425" s="5">
        <v>35683</v>
      </c>
      <c r="B425" s="10">
        <v>27364</v>
      </c>
    </row>
    <row r="426" spans="1:2" x14ac:dyDescent="0.3">
      <c r="A426" s="5">
        <v>35684</v>
      </c>
      <c r="B426" s="10">
        <v>27435</v>
      </c>
    </row>
    <row r="427" spans="1:2" x14ac:dyDescent="0.3">
      <c r="A427" s="5">
        <v>35685</v>
      </c>
      <c r="B427" s="10">
        <v>27692</v>
      </c>
    </row>
    <row r="428" spans="1:2" x14ac:dyDescent="0.3">
      <c r="A428" s="5">
        <v>35688</v>
      </c>
      <c r="B428" s="10">
        <v>27374</v>
      </c>
    </row>
    <row r="429" spans="1:2" x14ac:dyDescent="0.3">
      <c r="A429" s="5">
        <v>35689</v>
      </c>
      <c r="B429" s="10">
        <v>27111</v>
      </c>
    </row>
    <row r="430" spans="1:2" x14ac:dyDescent="0.3">
      <c r="A430" s="5">
        <v>35690</v>
      </c>
      <c r="B430" s="10">
        <v>27316</v>
      </c>
    </row>
    <row r="431" spans="1:2" x14ac:dyDescent="0.3">
      <c r="A431" s="5">
        <v>35691</v>
      </c>
      <c r="B431" s="10">
        <v>27076</v>
      </c>
    </row>
    <row r="432" spans="1:2" x14ac:dyDescent="0.3">
      <c r="A432" s="5">
        <v>35692</v>
      </c>
      <c r="B432" s="10">
        <v>27077</v>
      </c>
    </row>
    <row r="433" spans="1:2" x14ac:dyDescent="0.3">
      <c r="A433" s="5">
        <v>35695</v>
      </c>
      <c r="B433" s="10">
        <v>27230</v>
      </c>
    </row>
    <row r="434" spans="1:2" x14ac:dyDescent="0.3">
      <c r="A434" s="5">
        <v>35696</v>
      </c>
      <c r="B434" s="10">
        <v>27134</v>
      </c>
    </row>
    <row r="435" spans="1:2" x14ac:dyDescent="0.3">
      <c r="A435" s="5">
        <v>35697</v>
      </c>
      <c r="B435" s="10">
        <v>27284</v>
      </c>
    </row>
    <row r="436" spans="1:2" x14ac:dyDescent="0.3">
      <c r="A436" s="5">
        <v>35698</v>
      </c>
      <c r="B436" s="10">
        <v>27890</v>
      </c>
    </row>
    <row r="437" spans="1:2" x14ac:dyDescent="0.3">
      <c r="A437" s="5">
        <v>35699</v>
      </c>
      <c r="B437" s="10">
        <v>28029</v>
      </c>
    </row>
    <row r="438" spans="1:2" x14ac:dyDescent="0.3">
      <c r="A438" s="5">
        <v>35702</v>
      </c>
      <c r="B438" s="10">
        <v>26812</v>
      </c>
    </row>
    <row r="439" spans="1:2" x14ac:dyDescent="0.3">
      <c r="A439" s="5">
        <v>35703</v>
      </c>
      <c r="B439" s="10">
        <v>26521</v>
      </c>
    </row>
    <row r="440" spans="1:2" x14ac:dyDescent="0.3">
      <c r="A440" s="5">
        <v>35704</v>
      </c>
      <c r="B440" s="10">
        <v>27019</v>
      </c>
    </row>
    <row r="441" spans="1:2" x14ac:dyDescent="0.3">
      <c r="A441" s="5">
        <v>35705</v>
      </c>
      <c r="B441" s="10">
        <v>26976</v>
      </c>
    </row>
    <row r="442" spans="1:2" x14ac:dyDescent="0.3">
      <c r="A442" s="5">
        <v>35706</v>
      </c>
      <c r="B442" s="10">
        <v>26984</v>
      </c>
    </row>
    <row r="443" spans="1:2" x14ac:dyDescent="0.3">
      <c r="A443" s="5">
        <v>35709</v>
      </c>
      <c r="B443" s="10">
        <v>27316</v>
      </c>
    </row>
    <row r="444" spans="1:2" x14ac:dyDescent="0.3">
      <c r="A444" s="5">
        <v>35710</v>
      </c>
      <c r="B444" s="10">
        <v>27163</v>
      </c>
    </row>
    <row r="445" spans="1:2" x14ac:dyDescent="0.3">
      <c r="A445" s="5">
        <v>35711</v>
      </c>
      <c r="B445" s="10">
        <v>27259</v>
      </c>
    </row>
    <row r="446" spans="1:2" x14ac:dyDescent="0.3">
      <c r="A446" s="5">
        <v>35712</v>
      </c>
      <c r="B446" s="10">
        <v>27450</v>
      </c>
    </row>
    <row r="447" spans="1:2" x14ac:dyDescent="0.3">
      <c r="A447" s="5">
        <v>35713</v>
      </c>
      <c r="B447" s="10">
        <v>27549</v>
      </c>
    </row>
    <row r="448" spans="1:2" x14ac:dyDescent="0.3">
      <c r="A448" s="5">
        <v>35716</v>
      </c>
      <c r="B448" s="10">
        <v>27682</v>
      </c>
    </row>
    <row r="449" spans="1:2" x14ac:dyDescent="0.3">
      <c r="A449" s="5">
        <v>35717</v>
      </c>
      <c r="B449" s="10">
        <v>27547</v>
      </c>
    </row>
    <row r="450" spans="1:2" x14ac:dyDescent="0.3">
      <c r="A450" s="5">
        <v>35718</v>
      </c>
      <c r="B450" s="10">
        <v>27414</v>
      </c>
    </row>
    <row r="451" spans="1:2" x14ac:dyDescent="0.3">
      <c r="A451" s="5">
        <v>35719</v>
      </c>
      <c r="B451" s="10">
        <v>27619</v>
      </c>
    </row>
    <row r="452" spans="1:2" x14ac:dyDescent="0.3">
      <c r="A452" s="5">
        <v>35720</v>
      </c>
      <c r="B452" s="10">
        <v>27859</v>
      </c>
    </row>
    <row r="453" spans="1:2" x14ac:dyDescent="0.3">
      <c r="A453" s="5">
        <v>35723</v>
      </c>
      <c r="B453" s="10">
        <v>27798</v>
      </c>
    </row>
    <row r="454" spans="1:2" x14ac:dyDescent="0.3">
      <c r="A454" s="5">
        <v>35724</v>
      </c>
      <c r="B454" s="10">
        <v>28141</v>
      </c>
    </row>
    <row r="455" spans="1:2" x14ac:dyDescent="0.3">
      <c r="A455" s="5">
        <v>35725</v>
      </c>
      <c r="B455" s="10">
        <v>28003</v>
      </c>
    </row>
    <row r="456" spans="1:2" x14ac:dyDescent="0.3">
      <c r="A456" s="5">
        <v>35726</v>
      </c>
      <c r="B456" s="10">
        <v>28101</v>
      </c>
    </row>
    <row r="457" spans="1:2" x14ac:dyDescent="0.3">
      <c r="A457" s="5">
        <v>35727</v>
      </c>
      <c r="B457" s="10">
        <v>28183</v>
      </c>
    </row>
    <row r="458" spans="1:2" x14ac:dyDescent="0.3">
      <c r="A458" s="5">
        <v>35730</v>
      </c>
      <c r="B458" s="10">
        <v>27981</v>
      </c>
    </row>
    <row r="459" spans="1:2" x14ac:dyDescent="0.3">
      <c r="A459" s="5">
        <v>35731</v>
      </c>
      <c r="B459" s="10">
        <v>27590</v>
      </c>
    </row>
    <row r="460" spans="1:2" x14ac:dyDescent="0.3">
      <c r="A460" s="5">
        <v>35732</v>
      </c>
      <c r="B460" s="10">
        <v>27451</v>
      </c>
    </row>
    <row r="461" spans="1:2" x14ac:dyDescent="0.3">
      <c r="A461" s="5">
        <v>35733</v>
      </c>
      <c r="B461" s="10">
        <v>27692</v>
      </c>
    </row>
    <row r="462" spans="1:2" x14ac:dyDescent="0.3">
      <c r="A462" s="5">
        <v>35734</v>
      </c>
      <c r="B462" s="10">
        <v>27591</v>
      </c>
    </row>
    <row r="463" spans="1:2" x14ac:dyDescent="0.3">
      <c r="A463" s="5">
        <v>35737</v>
      </c>
      <c r="B463" s="10">
        <v>28000</v>
      </c>
    </row>
    <row r="464" spans="1:2" x14ac:dyDescent="0.3">
      <c r="A464" s="5">
        <v>35738</v>
      </c>
      <c r="B464" s="10">
        <v>28192</v>
      </c>
    </row>
    <row r="465" spans="1:2" x14ac:dyDescent="0.3">
      <c r="A465" s="5">
        <v>35739</v>
      </c>
      <c r="B465" s="10">
        <v>28526</v>
      </c>
    </row>
    <row r="466" spans="1:2" x14ac:dyDescent="0.3">
      <c r="A466" s="5">
        <v>35740</v>
      </c>
      <c r="B466" s="10">
        <v>28981</v>
      </c>
    </row>
    <row r="467" spans="1:2" x14ac:dyDescent="0.3">
      <c r="A467" s="5">
        <v>35741</v>
      </c>
      <c r="B467" s="10">
        <v>29045</v>
      </c>
    </row>
    <row r="468" spans="1:2" x14ac:dyDescent="0.3">
      <c r="A468" s="5">
        <v>35744</v>
      </c>
      <c r="B468" s="10">
        <v>28944</v>
      </c>
    </row>
    <row r="469" spans="1:2" x14ac:dyDescent="0.3">
      <c r="A469" s="5">
        <v>35745</v>
      </c>
      <c r="B469" s="10">
        <v>28873</v>
      </c>
    </row>
    <row r="470" spans="1:2" x14ac:dyDescent="0.3">
      <c r="A470" s="5">
        <v>35746</v>
      </c>
      <c r="B470" s="10">
        <v>28739</v>
      </c>
    </row>
    <row r="471" spans="1:2" x14ac:dyDescent="0.3">
      <c r="A471" s="5">
        <v>35747</v>
      </c>
      <c r="B471" s="10">
        <v>28757</v>
      </c>
    </row>
    <row r="472" spans="1:2" x14ac:dyDescent="0.3">
      <c r="A472" s="5">
        <v>35748</v>
      </c>
      <c r="B472" s="10">
        <v>28669</v>
      </c>
    </row>
    <row r="473" spans="1:2" x14ac:dyDescent="0.3">
      <c r="A473" s="5">
        <v>35751</v>
      </c>
      <c r="B473" s="10">
        <v>28542</v>
      </c>
    </row>
    <row r="474" spans="1:2" x14ac:dyDescent="0.3">
      <c r="A474" s="5">
        <v>35752</v>
      </c>
      <c r="B474" s="10">
        <v>28350</v>
      </c>
    </row>
    <row r="475" spans="1:2" x14ac:dyDescent="0.3">
      <c r="A475" s="5">
        <v>35753</v>
      </c>
      <c r="B475" s="10">
        <v>28371</v>
      </c>
    </row>
    <row r="476" spans="1:2" x14ac:dyDescent="0.3">
      <c r="A476" s="5">
        <v>35754</v>
      </c>
      <c r="B476" s="10">
        <v>28350</v>
      </c>
    </row>
    <row r="477" spans="1:2" x14ac:dyDescent="0.3">
      <c r="A477" s="5">
        <v>35755</v>
      </c>
      <c r="B477" s="10">
        <v>28061</v>
      </c>
    </row>
    <row r="478" spans="1:2" x14ac:dyDescent="0.3">
      <c r="A478" s="5">
        <v>35758</v>
      </c>
      <c r="B478" s="10">
        <v>27990</v>
      </c>
    </row>
    <row r="479" spans="1:2" x14ac:dyDescent="0.3">
      <c r="A479" s="5">
        <v>35759</v>
      </c>
      <c r="B479" s="10">
        <v>27628</v>
      </c>
    </row>
    <row r="480" spans="1:2" x14ac:dyDescent="0.3">
      <c r="A480" s="5">
        <v>35760</v>
      </c>
      <c r="B480" s="10">
        <v>27429</v>
      </c>
    </row>
    <row r="481" spans="1:2" x14ac:dyDescent="0.3">
      <c r="A481" s="5">
        <v>35761</v>
      </c>
      <c r="B481" s="10">
        <v>27471</v>
      </c>
    </row>
    <row r="482" spans="1:2" x14ac:dyDescent="0.3">
      <c r="A482" s="5">
        <v>35762</v>
      </c>
      <c r="B482" s="10">
        <v>27331</v>
      </c>
    </row>
    <row r="483" spans="1:2" x14ac:dyDescent="0.3">
      <c r="A483" s="5">
        <v>35765</v>
      </c>
      <c r="B483" s="10">
        <v>27536</v>
      </c>
    </row>
    <row r="484" spans="1:2" x14ac:dyDescent="0.3">
      <c r="A484" s="5">
        <v>35766</v>
      </c>
      <c r="B484" s="10">
        <v>28200</v>
      </c>
    </row>
    <row r="485" spans="1:2" x14ac:dyDescent="0.3">
      <c r="A485" s="5">
        <v>35767</v>
      </c>
      <c r="B485" s="10">
        <v>28315</v>
      </c>
    </row>
    <row r="486" spans="1:2" x14ac:dyDescent="0.3">
      <c r="A486" s="5">
        <v>35768</v>
      </c>
      <c r="B486" s="10">
        <v>28440</v>
      </c>
    </row>
    <row r="487" spans="1:2" x14ac:dyDescent="0.3">
      <c r="A487" s="5">
        <v>35769</v>
      </c>
      <c r="B487" s="10">
        <v>28632</v>
      </c>
    </row>
    <row r="488" spans="1:2" x14ac:dyDescent="0.3">
      <c r="A488" s="5">
        <v>35773</v>
      </c>
      <c r="B488" s="10">
        <v>28476</v>
      </c>
    </row>
    <row r="489" spans="1:2" x14ac:dyDescent="0.3">
      <c r="A489" s="5">
        <v>35774</v>
      </c>
      <c r="B489" s="10">
        <v>28475</v>
      </c>
    </row>
    <row r="490" spans="1:2" x14ac:dyDescent="0.3">
      <c r="A490" s="5">
        <v>35775</v>
      </c>
      <c r="B490" s="10">
        <v>28670</v>
      </c>
    </row>
    <row r="491" spans="1:2" x14ac:dyDescent="0.3">
      <c r="A491" s="5">
        <v>35776</v>
      </c>
      <c r="B491" s="10">
        <v>28771</v>
      </c>
    </row>
    <row r="492" spans="1:2" x14ac:dyDescent="0.3">
      <c r="A492" s="5">
        <v>35779</v>
      </c>
      <c r="B492" s="10">
        <v>28467</v>
      </c>
    </row>
    <row r="493" spans="1:2" x14ac:dyDescent="0.3">
      <c r="A493" s="5">
        <v>35780</v>
      </c>
      <c r="B493" s="10">
        <v>29354</v>
      </c>
    </row>
    <row r="494" spans="1:2" x14ac:dyDescent="0.3">
      <c r="A494" s="5">
        <v>35781</v>
      </c>
      <c r="B494" s="10">
        <v>29325</v>
      </c>
    </row>
    <row r="495" spans="1:2" x14ac:dyDescent="0.3">
      <c r="A495" s="5">
        <v>35782</v>
      </c>
      <c r="B495" s="10">
        <v>29555</v>
      </c>
    </row>
    <row r="496" spans="1:2" x14ac:dyDescent="0.3">
      <c r="A496" s="5">
        <v>35783</v>
      </c>
      <c r="B496" s="10">
        <v>30129</v>
      </c>
    </row>
    <row r="497" spans="1:2" x14ac:dyDescent="0.3">
      <c r="A497" s="5">
        <v>35786</v>
      </c>
      <c r="B497" s="10">
        <v>30192</v>
      </c>
    </row>
    <row r="498" spans="1:2" x14ac:dyDescent="0.3">
      <c r="A498" s="5">
        <v>35787</v>
      </c>
      <c r="B498" s="10">
        <v>30337</v>
      </c>
    </row>
    <row r="499" spans="1:2" x14ac:dyDescent="0.3">
      <c r="A499" s="5">
        <v>35788</v>
      </c>
      <c r="B499" s="10">
        <v>30478</v>
      </c>
    </row>
    <row r="500" spans="1:2" x14ac:dyDescent="0.3">
      <c r="A500" s="5">
        <v>35790</v>
      </c>
      <c r="B500" s="10">
        <v>30453</v>
      </c>
    </row>
    <row r="501" spans="1:2" x14ac:dyDescent="0.3">
      <c r="A501" s="5">
        <v>35793</v>
      </c>
      <c r="B501" s="10">
        <v>29799</v>
      </c>
    </row>
    <row r="502" spans="1:2" x14ac:dyDescent="0.3">
      <c r="A502" s="5">
        <v>35795</v>
      </c>
      <c r="B502" s="10">
        <v>29769</v>
      </c>
    </row>
    <row r="503" spans="1:2" x14ac:dyDescent="0.3">
      <c r="A503" s="5">
        <v>35797</v>
      </c>
      <c r="B503" s="10">
        <v>29628</v>
      </c>
    </row>
    <row r="504" spans="1:2" x14ac:dyDescent="0.3">
      <c r="A504" s="5">
        <v>35800</v>
      </c>
      <c r="B504" s="10">
        <v>30175</v>
      </c>
    </row>
    <row r="505" spans="1:2" x14ac:dyDescent="0.3">
      <c r="A505" s="5">
        <v>35801</v>
      </c>
      <c r="B505" s="10">
        <v>30318</v>
      </c>
    </row>
    <row r="506" spans="1:2" x14ac:dyDescent="0.3">
      <c r="A506" s="5">
        <v>35802</v>
      </c>
      <c r="B506" s="10">
        <v>30321</v>
      </c>
    </row>
    <row r="507" spans="1:2" x14ac:dyDescent="0.3">
      <c r="A507" s="5">
        <v>35803</v>
      </c>
      <c r="B507" s="10">
        <v>30121</v>
      </c>
    </row>
    <row r="508" spans="1:2" x14ac:dyDescent="0.3">
      <c r="A508" s="5">
        <v>35804</v>
      </c>
      <c r="B508" s="10">
        <v>29950</v>
      </c>
    </row>
    <row r="509" spans="1:2" x14ac:dyDescent="0.3">
      <c r="A509" s="5">
        <v>35807</v>
      </c>
      <c r="B509" s="10">
        <v>29960</v>
      </c>
    </row>
    <row r="510" spans="1:2" x14ac:dyDescent="0.3">
      <c r="A510" s="5">
        <v>35808</v>
      </c>
      <c r="B510" s="10">
        <v>30190</v>
      </c>
    </row>
    <row r="511" spans="1:2" x14ac:dyDescent="0.3">
      <c r="A511" s="5">
        <v>35809</v>
      </c>
      <c r="B511" s="10">
        <v>30677</v>
      </c>
    </row>
    <row r="512" spans="1:2" x14ac:dyDescent="0.3">
      <c r="A512" s="5">
        <v>35810</v>
      </c>
      <c r="B512" s="10">
        <v>30437</v>
      </c>
    </row>
    <row r="513" spans="1:2" x14ac:dyDescent="0.3">
      <c r="A513" s="5">
        <v>35811</v>
      </c>
      <c r="B513" s="10">
        <v>30646</v>
      </c>
    </row>
    <row r="514" spans="1:2" x14ac:dyDescent="0.3">
      <c r="A514" s="5">
        <v>35814</v>
      </c>
      <c r="B514" s="10">
        <v>30477</v>
      </c>
    </row>
    <row r="515" spans="1:2" x14ac:dyDescent="0.3">
      <c r="A515" s="5">
        <v>35815</v>
      </c>
      <c r="B515" s="10">
        <v>29675</v>
      </c>
    </row>
    <row r="516" spans="1:2" x14ac:dyDescent="0.3">
      <c r="A516" s="5">
        <v>35816</v>
      </c>
      <c r="B516" s="10">
        <v>29539</v>
      </c>
    </row>
    <row r="517" spans="1:2" x14ac:dyDescent="0.3">
      <c r="A517" s="5">
        <v>35817</v>
      </c>
      <c r="B517" s="10">
        <v>29177</v>
      </c>
    </row>
    <row r="518" spans="1:2" x14ac:dyDescent="0.3">
      <c r="A518" s="5">
        <v>35818</v>
      </c>
      <c r="B518" s="10">
        <v>28930</v>
      </c>
    </row>
    <row r="519" spans="1:2" x14ac:dyDescent="0.3">
      <c r="A519" s="5">
        <v>35821</v>
      </c>
      <c r="B519" s="10">
        <v>28772</v>
      </c>
    </row>
    <row r="520" spans="1:2" x14ac:dyDescent="0.3">
      <c r="A520" s="5">
        <v>35822</v>
      </c>
      <c r="B520" s="10">
        <v>28918</v>
      </c>
    </row>
    <row r="521" spans="1:2" x14ac:dyDescent="0.3">
      <c r="A521" s="5">
        <v>35823</v>
      </c>
      <c r="B521" s="10">
        <v>28879</v>
      </c>
    </row>
    <row r="522" spans="1:2" x14ac:dyDescent="0.3">
      <c r="A522" s="5">
        <v>35824</v>
      </c>
      <c r="B522" s="10">
        <v>28494</v>
      </c>
    </row>
    <row r="523" spans="1:2" x14ac:dyDescent="0.3">
      <c r="A523" s="5">
        <v>35825</v>
      </c>
      <c r="B523" s="10">
        <v>27914</v>
      </c>
    </row>
    <row r="524" spans="1:2" x14ac:dyDescent="0.3">
      <c r="A524" s="5">
        <v>35828</v>
      </c>
      <c r="B524" s="10">
        <v>28617</v>
      </c>
    </row>
    <row r="525" spans="1:2" x14ac:dyDescent="0.3">
      <c r="A525" s="5">
        <v>35829</v>
      </c>
      <c r="B525" s="10">
        <v>29178</v>
      </c>
    </row>
    <row r="526" spans="1:2" x14ac:dyDescent="0.3">
      <c r="A526" s="5">
        <v>35830</v>
      </c>
      <c r="B526" s="10">
        <v>29970</v>
      </c>
    </row>
    <row r="527" spans="1:2" x14ac:dyDescent="0.3">
      <c r="A527" s="5">
        <v>35831</v>
      </c>
      <c r="B527" s="10">
        <v>29998</v>
      </c>
    </row>
    <row r="528" spans="1:2" x14ac:dyDescent="0.3">
      <c r="A528" s="5">
        <v>35832</v>
      </c>
      <c r="B528" s="10">
        <v>29905</v>
      </c>
    </row>
    <row r="529" spans="1:2" x14ac:dyDescent="0.3">
      <c r="A529" s="5">
        <v>35835</v>
      </c>
      <c r="B529" s="10">
        <v>29866</v>
      </c>
    </row>
    <row r="530" spans="1:2" x14ac:dyDescent="0.3">
      <c r="A530" s="5">
        <v>35836</v>
      </c>
      <c r="B530" s="10">
        <v>30387</v>
      </c>
    </row>
    <row r="531" spans="1:2" x14ac:dyDescent="0.3">
      <c r="A531" s="5">
        <v>35837</v>
      </c>
      <c r="B531" s="10">
        <v>30258</v>
      </c>
    </row>
    <row r="532" spans="1:2" x14ac:dyDescent="0.3">
      <c r="A532" s="5">
        <v>35838</v>
      </c>
      <c r="B532" s="10">
        <v>30344</v>
      </c>
    </row>
    <row r="533" spans="1:2" x14ac:dyDescent="0.3">
      <c r="A533" s="5">
        <v>35839</v>
      </c>
      <c r="B533" s="10">
        <v>30164</v>
      </c>
    </row>
    <row r="534" spans="1:2" x14ac:dyDescent="0.3">
      <c r="A534" s="5">
        <v>35842</v>
      </c>
      <c r="B534" s="10">
        <v>30206</v>
      </c>
    </row>
    <row r="535" spans="1:2" x14ac:dyDescent="0.3">
      <c r="A535" s="5">
        <v>35843</v>
      </c>
      <c r="B535" s="10">
        <v>30059</v>
      </c>
    </row>
    <row r="536" spans="1:2" x14ac:dyDescent="0.3">
      <c r="A536" s="5">
        <v>35844</v>
      </c>
      <c r="B536" s="10">
        <v>30294</v>
      </c>
    </row>
    <row r="537" spans="1:2" x14ac:dyDescent="0.3">
      <c r="A537" s="5">
        <v>35845</v>
      </c>
      <c r="B537" s="10">
        <v>30362</v>
      </c>
    </row>
    <row r="538" spans="1:2" x14ac:dyDescent="0.3">
      <c r="A538" s="5">
        <v>35846</v>
      </c>
      <c r="B538" s="10">
        <v>30647</v>
      </c>
    </row>
    <row r="539" spans="1:2" x14ac:dyDescent="0.3">
      <c r="A539" s="5">
        <v>35849</v>
      </c>
      <c r="B539" s="10">
        <v>30622</v>
      </c>
    </row>
    <row r="540" spans="1:2" x14ac:dyDescent="0.3">
      <c r="A540" s="5">
        <v>35850</v>
      </c>
      <c r="B540" s="10">
        <v>30572</v>
      </c>
    </row>
    <row r="541" spans="1:2" x14ac:dyDescent="0.3">
      <c r="A541" s="5">
        <v>35851</v>
      </c>
      <c r="B541" s="10">
        <v>30603</v>
      </c>
    </row>
    <row r="542" spans="1:2" x14ac:dyDescent="0.3">
      <c r="A542" s="5">
        <v>35852</v>
      </c>
      <c r="B542" s="10">
        <v>31513</v>
      </c>
    </row>
    <row r="543" spans="1:2" x14ac:dyDescent="0.3">
      <c r="A543" s="5">
        <v>35853</v>
      </c>
      <c r="B543" s="10">
        <v>31325</v>
      </c>
    </row>
    <row r="544" spans="1:2" x14ac:dyDescent="0.3">
      <c r="A544" s="5">
        <v>35856</v>
      </c>
      <c r="B544" s="10">
        <v>30825</v>
      </c>
    </row>
    <row r="545" spans="1:2" x14ac:dyDescent="0.3">
      <c r="A545" s="5">
        <v>35857</v>
      </c>
      <c r="B545" s="10">
        <v>30643</v>
      </c>
    </row>
    <row r="546" spans="1:2" x14ac:dyDescent="0.3">
      <c r="A546" s="5">
        <v>35858</v>
      </c>
      <c r="B546" s="10">
        <v>30652</v>
      </c>
    </row>
    <row r="547" spans="1:2" x14ac:dyDescent="0.3">
      <c r="A547" s="5">
        <v>35859</v>
      </c>
      <c r="B547" s="10">
        <v>30867</v>
      </c>
    </row>
    <row r="548" spans="1:2" x14ac:dyDescent="0.3">
      <c r="A548" s="5">
        <v>35860</v>
      </c>
      <c r="B548" s="10">
        <v>30716</v>
      </c>
    </row>
    <row r="549" spans="1:2" x14ac:dyDescent="0.3">
      <c r="A549" s="5">
        <v>35863</v>
      </c>
      <c r="B549" s="10">
        <v>30509</v>
      </c>
    </row>
    <row r="550" spans="1:2" x14ac:dyDescent="0.3">
      <c r="A550" s="5">
        <v>35864</v>
      </c>
      <c r="B550" s="10">
        <v>30267</v>
      </c>
    </row>
    <row r="551" spans="1:2" x14ac:dyDescent="0.3">
      <c r="A551" s="5">
        <v>35865</v>
      </c>
      <c r="B551" s="10">
        <v>30257</v>
      </c>
    </row>
    <row r="552" spans="1:2" x14ac:dyDescent="0.3">
      <c r="A552" s="5">
        <v>35866</v>
      </c>
      <c r="B552" s="10">
        <v>30571</v>
      </c>
    </row>
    <row r="553" spans="1:2" x14ac:dyDescent="0.3">
      <c r="A553" s="5">
        <v>35867</v>
      </c>
      <c r="B553" s="10">
        <v>30644</v>
      </c>
    </row>
    <row r="554" spans="1:2" x14ac:dyDescent="0.3">
      <c r="A554" s="5">
        <v>35870</v>
      </c>
      <c r="B554" s="10">
        <v>30122</v>
      </c>
    </row>
    <row r="555" spans="1:2" x14ac:dyDescent="0.3">
      <c r="A555" s="5">
        <v>35871</v>
      </c>
      <c r="B555" s="10">
        <v>30155</v>
      </c>
    </row>
    <row r="556" spans="1:2" x14ac:dyDescent="0.3">
      <c r="A556" s="5">
        <v>35872</v>
      </c>
      <c r="B556" s="10">
        <v>29992</v>
      </c>
    </row>
    <row r="557" spans="1:2" x14ac:dyDescent="0.3">
      <c r="A557" s="5">
        <v>35873</v>
      </c>
      <c r="B557" s="10">
        <v>30830</v>
      </c>
    </row>
    <row r="558" spans="1:2" x14ac:dyDescent="0.3">
      <c r="A558" s="5">
        <v>35874</v>
      </c>
      <c r="B558" s="10">
        <v>30864</v>
      </c>
    </row>
    <row r="559" spans="1:2" x14ac:dyDescent="0.3">
      <c r="A559" s="5">
        <v>35877</v>
      </c>
      <c r="B559" s="10">
        <v>30635</v>
      </c>
    </row>
    <row r="560" spans="1:2" x14ac:dyDescent="0.3">
      <c r="A560" s="5">
        <v>35878</v>
      </c>
      <c r="B560" s="10">
        <v>30600</v>
      </c>
    </row>
    <row r="561" spans="1:2" x14ac:dyDescent="0.3">
      <c r="A561" s="5">
        <v>35879</v>
      </c>
      <c r="B561" s="10">
        <v>30464</v>
      </c>
    </row>
    <row r="562" spans="1:2" x14ac:dyDescent="0.3">
      <c r="A562" s="5">
        <v>35880</v>
      </c>
      <c r="B562" s="10">
        <v>30556</v>
      </c>
    </row>
    <row r="563" spans="1:2" x14ac:dyDescent="0.3">
      <c r="A563" s="5">
        <v>35881</v>
      </c>
      <c r="B563" s="10">
        <v>30839</v>
      </c>
    </row>
    <row r="564" spans="1:2" x14ac:dyDescent="0.3">
      <c r="A564" s="5">
        <v>35884</v>
      </c>
      <c r="B564" s="10">
        <v>30202</v>
      </c>
    </row>
    <row r="565" spans="1:2" x14ac:dyDescent="0.3">
      <c r="A565" s="5">
        <v>35885</v>
      </c>
      <c r="B565" s="10">
        <v>29993</v>
      </c>
    </row>
    <row r="566" spans="1:2" x14ac:dyDescent="0.3">
      <c r="A566" s="5">
        <v>35886</v>
      </c>
      <c r="B566" s="10">
        <v>30870</v>
      </c>
    </row>
    <row r="567" spans="1:2" x14ac:dyDescent="0.3">
      <c r="A567" s="5">
        <v>35887</v>
      </c>
      <c r="B567" s="10">
        <v>30860</v>
      </c>
    </row>
    <row r="568" spans="1:2" x14ac:dyDescent="0.3">
      <c r="A568" s="5">
        <v>35888</v>
      </c>
      <c r="B568" s="10">
        <v>30375</v>
      </c>
    </row>
    <row r="569" spans="1:2" x14ac:dyDescent="0.3">
      <c r="A569" s="5">
        <v>35891</v>
      </c>
      <c r="B569" s="10">
        <v>30171</v>
      </c>
    </row>
    <row r="570" spans="1:2" x14ac:dyDescent="0.3">
      <c r="A570" s="5">
        <v>35892</v>
      </c>
      <c r="B570" s="10">
        <v>30409</v>
      </c>
    </row>
    <row r="571" spans="1:2" x14ac:dyDescent="0.3">
      <c r="A571" s="5">
        <v>35893</v>
      </c>
      <c r="B571" s="10">
        <v>29955</v>
      </c>
    </row>
    <row r="572" spans="1:2" x14ac:dyDescent="0.3">
      <c r="A572" s="5">
        <v>35898</v>
      </c>
      <c r="B572" s="10">
        <v>30725</v>
      </c>
    </row>
    <row r="573" spans="1:2" x14ac:dyDescent="0.3">
      <c r="A573" s="5">
        <v>35899</v>
      </c>
      <c r="B573" s="10">
        <v>30546</v>
      </c>
    </row>
    <row r="574" spans="1:2" x14ac:dyDescent="0.3">
      <c r="A574" s="5">
        <v>35900</v>
      </c>
      <c r="B574" s="10">
        <v>30549</v>
      </c>
    </row>
    <row r="575" spans="1:2" x14ac:dyDescent="0.3">
      <c r="A575" s="5">
        <v>35901</v>
      </c>
      <c r="B575" s="10">
        <v>30680</v>
      </c>
    </row>
    <row r="576" spans="1:2" x14ac:dyDescent="0.3">
      <c r="A576" s="5">
        <v>35902</v>
      </c>
      <c r="B576" s="10">
        <v>30845</v>
      </c>
    </row>
    <row r="577" spans="1:2" x14ac:dyDescent="0.3">
      <c r="A577" s="5">
        <v>35905</v>
      </c>
      <c r="B577" s="10">
        <v>30700</v>
      </c>
    </row>
    <row r="578" spans="1:2" x14ac:dyDescent="0.3">
      <c r="A578" s="5">
        <v>35906</v>
      </c>
      <c r="B578" s="10">
        <v>31520</v>
      </c>
    </row>
    <row r="579" spans="1:2" x14ac:dyDescent="0.3">
      <c r="A579" s="5">
        <v>35907</v>
      </c>
      <c r="B579" s="10">
        <v>31354</v>
      </c>
    </row>
    <row r="580" spans="1:2" x14ac:dyDescent="0.3">
      <c r="A580" s="5">
        <v>35908</v>
      </c>
      <c r="B580" s="10">
        <v>30233</v>
      </c>
    </row>
    <row r="581" spans="1:2" x14ac:dyDescent="0.3">
      <c r="A581" s="5">
        <v>35909</v>
      </c>
      <c r="B581" s="10">
        <v>30339</v>
      </c>
    </row>
    <row r="582" spans="1:2" x14ac:dyDescent="0.3">
      <c r="A582" s="5">
        <v>35912</v>
      </c>
      <c r="B582" s="10">
        <v>30293</v>
      </c>
    </row>
    <row r="583" spans="1:2" x14ac:dyDescent="0.3">
      <c r="A583" s="5">
        <v>35913</v>
      </c>
      <c r="B583" s="10">
        <v>30373</v>
      </c>
    </row>
    <row r="584" spans="1:2" x14ac:dyDescent="0.3">
      <c r="A584" s="5">
        <v>35914</v>
      </c>
      <c r="B584" s="10">
        <v>30190</v>
      </c>
    </row>
    <row r="585" spans="1:2" x14ac:dyDescent="0.3">
      <c r="A585" s="5">
        <v>35915</v>
      </c>
      <c r="B585" s="10">
        <v>29941</v>
      </c>
    </row>
    <row r="586" spans="1:2" x14ac:dyDescent="0.3">
      <c r="A586" s="5">
        <v>35919</v>
      </c>
      <c r="B586" s="10">
        <v>30905</v>
      </c>
    </row>
    <row r="587" spans="1:2" x14ac:dyDescent="0.3">
      <c r="A587" s="5">
        <v>35920</v>
      </c>
      <c r="B587" s="10">
        <v>31065</v>
      </c>
    </row>
    <row r="588" spans="1:2" x14ac:dyDescent="0.3">
      <c r="A588" s="5">
        <v>35921</v>
      </c>
      <c r="B588" s="10">
        <v>31056</v>
      </c>
    </row>
    <row r="589" spans="1:2" x14ac:dyDescent="0.3">
      <c r="A589" s="5">
        <v>35922</v>
      </c>
      <c r="B589" s="10">
        <v>31174</v>
      </c>
    </row>
    <row r="590" spans="1:2" x14ac:dyDescent="0.3">
      <c r="A590" s="5">
        <v>35923</v>
      </c>
      <c r="B590" s="10">
        <v>31385</v>
      </c>
    </row>
    <row r="591" spans="1:2" x14ac:dyDescent="0.3">
      <c r="A591" s="5">
        <v>35926</v>
      </c>
      <c r="B591" s="10">
        <v>31577</v>
      </c>
    </row>
    <row r="592" spans="1:2" x14ac:dyDescent="0.3">
      <c r="A592" s="5">
        <v>35927</v>
      </c>
      <c r="B592" s="10">
        <v>31465</v>
      </c>
    </row>
    <row r="593" spans="1:2" x14ac:dyDescent="0.3">
      <c r="A593" s="5">
        <v>35928</v>
      </c>
      <c r="B593" s="10">
        <v>31519</v>
      </c>
    </row>
    <row r="594" spans="1:2" x14ac:dyDescent="0.3">
      <c r="A594" s="5">
        <v>35929</v>
      </c>
      <c r="B594" s="10">
        <v>31329</v>
      </c>
    </row>
    <row r="595" spans="1:2" x14ac:dyDescent="0.3">
      <c r="A595" s="5">
        <v>35930</v>
      </c>
      <c r="B595" s="10">
        <v>31336</v>
      </c>
    </row>
    <row r="596" spans="1:2" x14ac:dyDescent="0.3">
      <c r="A596" s="5">
        <v>35933</v>
      </c>
      <c r="B596" s="10">
        <v>30934</v>
      </c>
    </row>
    <row r="597" spans="1:2" x14ac:dyDescent="0.3">
      <c r="A597" s="5">
        <v>35934</v>
      </c>
      <c r="B597" s="10">
        <v>30868</v>
      </c>
    </row>
    <row r="598" spans="1:2" x14ac:dyDescent="0.3">
      <c r="A598" s="5">
        <v>35935</v>
      </c>
      <c r="B598" s="10">
        <v>31164</v>
      </c>
    </row>
    <row r="599" spans="1:2" x14ac:dyDescent="0.3">
      <c r="A599" s="5">
        <v>35936</v>
      </c>
      <c r="B599" s="10">
        <v>31178</v>
      </c>
    </row>
    <row r="600" spans="1:2" x14ac:dyDescent="0.3">
      <c r="A600" s="5">
        <v>35937</v>
      </c>
      <c r="B600" s="10">
        <v>31535</v>
      </c>
    </row>
    <row r="601" spans="1:2" x14ac:dyDescent="0.3">
      <c r="A601" s="5">
        <v>35941</v>
      </c>
      <c r="B601" s="10">
        <v>31880</v>
      </c>
    </row>
    <row r="602" spans="1:2" x14ac:dyDescent="0.3">
      <c r="A602" s="5">
        <v>35942</v>
      </c>
      <c r="B602" s="10">
        <v>31628</v>
      </c>
    </row>
    <row r="603" spans="1:2" x14ac:dyDescent="0.3">
      <c r="A603" s="5">
        <v>35943</v>
      </c>
      <c r="B603" s="10">
        <v>31782</v>
      </c>
    </row>
    <row r="604" spans="1:2" x14ac:dyDescent="0.3">
      <c r="A604" s="5">
        <v>35944</v>
      </c>
      <c r="B604" s="10">
        <v>30462</v>
      </c>
    </row>
    <row r="605" spans="1:2" x14ac:dyDescent="0.3">
      <c r="A605" s="5">
        <v>35947</v>
      </c>
      <c r="B605" s="10">
        <v>31266</v>
      </c>
    </row>
    <row r="606" spans="1:2" x14ac:dyDescent="0.3">
      <c r="A606" s="5">
        <v>35948</v>
      </c>
      <c r="B606" s="10">
        <v>31486</v>
      </c>
    </row>
    <row r="607" spans="1:2" x14ac:dyDescent="0.3">
      <c r="A607" s="5">
        <v>35949</v>
      </c>
      <c r="B607" s="10">
        <v>31523</v>
      </c>
    </row>
    <row r="608" spans="1:2" x14ac:dyDescent="0.3">
      <c r="A608" s="5">
        <v>35950</v>
      </c>
      <c r="B608" s="10">
        <v>31903</v>
      </c>
    </row>
    <row r="609" spans="1:2" x14ac:dyDescent="0.3">
      <c r="A609" s="5">
        <v>35951</v>
      </c>
      <c r="B609" s="10">
        <v>32043</v>
      </c>
    </row>
    <row r="610" spans="1:2" x14ac:dyDescent="0.3">
      <c r="A610" s="5">
        <v>35955</v>
      </c>
      <c r="B610" s="10">
        <v>32082</v>
      </c>
    </row>
    <row r="611" spans="1:2" x14ac:dyDescent="0.3">
      <c r="A611" s="5">
        <v>35956</v>
      </c>
      <c r="B611" s="10">
        <v>32041</v>
      </c>
    </row>
    <row r="612" spans="1:2" x14ac:dyDescent="0.3">
      <c r="A612" s="5">
        <v>35957</v>
      </c>
      <c r="B612" s="10">
        <v>32315</v>
      </c>
    </row>
    <row r="613" spans="1:2" x14ac:dyDescent="0.3">
      <c r="A613" s="5">
        <v>35958</v>
      </c>
      <c r="B613" s="10">
        <v>32306</v>
      </c>
    </row>
    <row r="614" spans="1:2" x14ac:dyDescent="0.3">
      <c r="A614" s="5">
        <v>35962</v>
      </c>
      <c r="B614" s="10">
        <v>32065</v>
      </c>
    </row>
    <row r="615" spans="1:2" x14ac:dyDescent="0.3">
      <c r="A615" s="5">
        <v>35963</v>
      </c>
      <c r="B615" s="10">
        <v>32091</v>
      </c>
    </row>
    <row r="616" spans="1:2" x14ac:dyDescent="0.3">
      <c r="A616" s="5">
        <v>35964</v>
      </c>
      <c r="B616" s="10">
        <v>32124</v>
      </c>
    </row>
    <row r="617" spans="1:2" x14ac:dyDescent="0.3">
      <c r="A617" s="5">
        <v>35965</v>
      </c>
      <c r="B617" s="10">
        <v>32175</v>
      </c>
    </row>
    <row r="618" spans="1:2" x14ac:dyDescent="0.3">
      <c r="A618" s="5">
        <v>35968</v>
      </c>
      <c r="B618" s="10">
        <v>31839</v>
      </c>
    </row>
    <row r="619" spans="1:2" x14ac:dyDescent="0.3">
      <c r="A619" s="5">
        <v>35969</v>
      </c>
      <c r="B619" s="10">
        <v>31667</v>
      </c>
    </row>
    <row r="620" spans="1:2" x14ac:dyDescent="0.3">
      <c r="A620" s="5">
        <v>35970</v>
      </c>
      <c r="B620" s="10">
        <v>31900</v>
      </c>
    </row>
    <row r="621" spans="1:2" x14ac:dyDescent="0.3">
      <c r="A621" s="5">
        <v>35971</v>
      </c>
      <c r="B621" s="10">
        <v>31261</v>
      </c>
    </row>
    <row r="622" spans="1:2" x14ac:dyDescent="0.3">
      <c r="A622" s="5">
        <v>35972</v>
      </c>
      <c r="B622" s="10">
        <v>30980</v>
      </c>
    </row>
    <row r="623" spans="1:2" x14ac:dyDescent="0.3">
      <c r="A623" s="5">
        <v>35975</v>
      </c>
      <c r="B623" s="10">
        <v>30980</v>
      </c>
    </row>
    <row r="624" spans="1:2" x14ac:dyDescent="0.3">
      <c r="A624" s="5">
        <v>35976</v>
      </c>
      <c r="B624" s="10">
        <v>30919</v>
      </c>
    </row>
    <row r="625" spans="1:2" x14ac:dyDescent="0.3">
      <c r="A625" s="5">
        <v>35977</v>
      </c>
      <c r="B625" s="10">
        <v>32140</v>
      </c>
    </row>
    <row r="626" spans="1:2" x14ac:dyDescent="0.3">
      <c r="A626" s="5">
        <v>35978</v>
      </c>
      <c r="B626" s="10">
        <v>32459</v>
      </c>
    </row>
    <row r="627" spans="1:2" x14ac:dyDescent="0.3">
      <c r="A627" s="5">
        <v>35979</v>
      </c>
      <c r="B627" s="10">
        <v>32444</v>
      </c>
    </row>
    <row r="628" spans="1:2" x14ac:dyDescent="0.3">
      <c r="A628" s="5">
        <v>35982</v>
      </c>
      <c r="B628" s="10">
        <v>33259</v>
      </c>
    </row>
    <row r="629" spans="1:2" x14ac:dyDescent="0.3">
      <c r="A629" s="5">
        <v>35983</v>
      </c>
      <c r="B629" s="10">
        <v>33374</v>
      </c>
    </row>
    <row r="630" spans="1:2" x14ac:dyDescent="0.3">
      <c r="A630" s="5">
        <v>35984</v>
      </c>
      <c r="B630" s="10">
        <v>33811</v>
      </c>
    </row>
    <row r="631" spans="1:2" x14ac:dyDescent="0.3">
      <c r="A631" s="5">
        <v>35986</v>
      </c>
      <c r="B631" s="10">
        <v>33859</v>
      </c>
    </row>
    <row r="632" spans="1:2" x14ac:dyDescent="0.3">
      <c r="A632" s="5">
        <v>35989</v>
      </c>
      <c r="B632" s="10">
        <v>33923</v>
      </c>
    </row>
    <row r="633" spans="1:2" x14ac:dyDescent="0.3">
      <c r="A633" s="5">
        <v>35990</v>
      </c>
      <c r="B633" s="10">
        <v>33623</v>
      </c>
    </row>
    <row r="634" spans="1:2" x14ac:dyDescent="0.3">
      <c r="A634" s="5">
        <v>35991</v>
      </c>
      <c r="B634" s="10">
        <v>33523</v>
      </c>
    </row>
    <row r="635" spans="1:2" x14ac:dyDescent="0.3">
      <c r="A635" s="5">
        <v>35992</v>
      </c>
      <c r="B635" s="10">
        <v>33685</v>
      </c>
    </row>
    <row r="636" spans="1:2" x14ac:dyDescent="0.3">
      <c r="A636" s="5">
        <v>35993</v>
      </c>
      <c r="B636" s="10">
        <v>33808</v>
      </c>
    </row>
    <row r="637" spans="1:2" x14ac:dyDescent="0.3">
      <c r="A637" s="5">
        <v>35996</v>
      </c>
      <c r="B637" s="10">
        <v>33516</v>
      </c>
    </row>
    <row r="638" spans="1:2" x14ac:dyDescent="0.3">
      <c r="A638" s="5">
        <v>35997</v>
      </c>
      <c r="B638" s="10">
        <v>34030</v>
      </c>
    </row>
    <row r="639" spans="1:2" x14ac:dyDescent="0.3">
      <c r="A639" s="5">
        <v>35998</v>
      </c>
      <c r="B639" s="10">
        <v>33908</v>
      </c>
    </row>
    <row r="640" spans="1:2" x14ac:dyDescent="0.3">
      <c r="A640" s="5">
        <v>35999</v>
      </c>
      <c r="B640" s="10">
        <v>34220</v>
      </c>
    </row>
    <row r="641" spans="1:2" x14ac:dyDescent="0.3">
      <c r="A641" s="5">
        <v>36000</v>
      </c>
      <c r="B641" s="10">
        <v>34572</v>
      </c>
    </row>
    <row r="642" spans="1:2" x14ac:dyDescent="0.3">
      <c r="A642" s="5">
        <v>36003</v>
      </c>
      <c r="B642" s="10">
        <v>34500</v>
      </c>
    </row>
    <row r="643" spans="1:2" x14ac:dyDescent="0.3">
      <c r="A643" s="5">
        <v>36004</v>
      </c>
      <c r="B643" s="10">
        <v>33907</v>
      </c>
    </row>
    <row r="644" spans="1:2" x14ac:dyDescent="0.3">
      <c r="A644" s="5">
        <v>36005</v>
      </c>
      <c r="B644" s="10">
        <v>34139</v>
      </c>
    </row>
    <row r="645" spans="1:2" x14ac:dyDescent="0.3">
      <c r="A645" s="5">
        <v>36006</v>
      </c>
      <c r="B645" s="10">
        <v>34397</v>
      </c>
    </row>
    <row r="646" spans="1:2" x14ac:dyDescent="0.3">
      <c r="A646" s="5">
        <v>36007</v>
      </c>
      <c r="B646" s="10">
        <v>33513</v>
      </c>
    </row>
    <row r="647" spans="1:2" x14ac:dyDescent="0.3">
      <c r="A647" s="5">
        <v>36010</v>
      </c>
      <c r="B647" s="10">
        <v>34140</v>
      </c>
    </row>
    <row r="648" spans="1:2" x14ac:dyDescent="0.3">
      <c r="A648" s="5">
        <v>36011</v>
      </c>
      <c r="B648" s="10">
        <v>34198</v>
      </c>
    </row>
    <row r="649" spans="1:2" x14ac:dyDescent="0.3">
      <c r="A649" s="5">
        <v>36012</v>
      </c>
      <c r="B649" s="10">
        <v>34712</v>
      </c>
    </row>
    <row r="650" spans="1:2" x14ac:dyDescent="0.3">
      <c r="A650" s="5">
        <v>36013</v>
      </c>
      <c r="B650" s="10">
        <v>34849</v>
      </c>
    </row>
    <row r="651" spans="1:2" x14ac:dyDescent="0.3">
      <c r="A651" s="5">
        <v>36014</v>
      </c>
      <c r="B651" s="10">
        <v>34808</v>
      </c>
    </row>
    <row r="652" spans="1:2" x14ac:dyDescent="0.3">
      <c r="A652" s="5">
        <v>36017</v>
      </c>
      <c r="B652" s="10">
        <v>34437</v>
      </c>
    </row>
    <row r="653" spans="1:2" x14ac:dyDescent="0.3">
      <c r="A653" s="5">
        <v>36018</v>
      </c>
      <c r="B653" s="10">
        <v>34354</v>
      </c>
    </row>
    <row r="654" spans="1:2" x14ac:dyDescent="0.3">
      <c r="A654" s="5">
        <v>36019</v>
      </c>
      <c r="B654" s="10">
        <v>34328</v>
      </c>
    </row>
    <row r="655" spans="1:2" x14ac:dyDescent="0.3">
      <c r="A655" s="5">
        <v>36020</v>
      </c>
      <c r="B655" s="10">
        <v>32927</v>
      </c>
    </row>
    <row r="656" spans="1:2" x14ac:dyDescent="0.3">
      <c r="A656" s="5">
        <v>36021</v>
      </c>
      <c r="B656" s="10">
        <v>32812</v>
      </c>
    </row>
    <row r="657" spans="1:2" x14ac:dyDescent="0.3">
      <c r="A657" s="5">
        <v>36025</v>
      </c>
      <c r="B657" s="10">
        <v>32764</v>
      </c>
    </row>
    <row r="658" spans="1:2" x14ac:dyDescent="0.3">
      <c r="A658" s="5">
        <v>36026</v>
      </c>
      <c r="B658" s="10">
        <v>32681</v>
      </c>
    </row>
    <row r="659" spans="1:2" x14ac:dyDescent="0.3">
      <c r="A659" s="5">
        <v>36027</v>
      </c>
      <c r="B659" s="10">
        <v>32623</v>
      </c>
    </row>
    <row r="660" spans="1:2" x14ac:dyDescent="0.3">
      <c r="A660" s="5">
        <v>36028</v>
      </c>
      <c r="B660" s="10">
        <v>32804</v>
      </c>
    </row>
    <row r="661" spans="1:2" x14ac:dyDescent="0.3">
      <c r="A661" s="5">
        <v>36031</v>
      </c>
      <c r="B661" s="10">
        <v>32921</v>
      </c>
    </row>
    <row r="662" spans="1:2" x14ac:dyDescent="0.3">
      <c r="A662" s="5">
        <v>36032</v>
      </c>
      <c r="B662" s="10">
        <v>32776</v>
      </c>
    </row>
    <row r="663" spans="1:2" x14ac:dyDescent="0.3">
      <c r="A663" s="5">
        <v>36033</v>
      </c>
      <c r="B663" s="10">
        <v>32635</v>
      </c>
    </row>
    <row r="664" spans="1:2" x14ac:dyDescent="0.3">
      <c r="A664" s="5">
        <v>36034</v>
      </c>
      <c r="B664" s="10">
        <v>32462</v>
      </c>
    </row>
    <row r="665" spans="1:2" x14ac:dyDescent="0.3">
      <c r="A665" s="5">
        <v>36035</v>
      </c>
      <c r="B665" s="10">
        <v>32499</v>
      </c>
    </row>
    <row r="666" spans="1:2" x14ac:dyDescent="0.3">
      <c r="A666" s="5">
        <v>36038</v>
      </c>
      <c r="B666" s="10">
        <v>31766</v>
      </c>
    </row>
    <row r="667" spans="1:2" x14ac:dyDescent="0.3">
      <c r="A667" s="5">
        <v>36039</v>
      </c>
      <c r="B667" s="10">
        <v>32496</v>
      </c>
    </row>
    <row r="668" spans="1:2" x14ac:dyDescent="0.3">
      <c r="A668" s="5">
        <v>36040</v>
      </c>
      <c r="B668" s="10">
        <v>32622</v>
      </c>
    </row>
    <row r="669" spans="1:2" x14ac:dyDescent="0.3">
      <c r="A669" s="5">
        <v>36041</v>
      </c>
      <c r="B669" s="10">
        <v>32443</v>
      </c>
    </row>
    <row r="670" spans="1:2" x14ac:dyDescent="0.3">
      <c r="A670" s="5">
        <v>36042</v>
      </c>
      <c r="B670" s="10">
        <v>32456</v>
      </c>
    </row>
    <row r="671" spans="1:2" x14ac:dyDescent="0.3">
      <c r="A671" s="5">
        <v>36045</v>
      </c>
      <c r="B671" s="10">
        <v>32484</v>
      </c>
    </row>
    <row r="672" spans="1:2" x14ac:dyDescent="0.3">
      <c r="A672" s="5">
        <v>36046</v>
      </c>
      <c r="B672" s="10">
        <v>31918</v>
      </c>
    </row>
    <row r="673" spans="1:2" x14ac:dyDescent="0.3">
      <c r="A673" s="5">
        <v>36047</v>
      </c>
      <c r="B673" s="10">
        <v>32172</v>
      </c>
    </row>
    <row r="674" spans="1:2" x14ac:dyDescent="0.3">
      <c r="A674" s="5">
        <v>36048</v>
      </c>
      <c r="B674" s="10">
        <v>31944</v>
      </c>
    </row>
    <row r="675" spans="1:2" x14ac:dyDescent="0.3">
      <c r="A675" s="5">
        <v>36049</v>
      </c>
      <c r="B675" s="10">
        <v>31994</v>
      </c>
    </row>
    <row r="676" spans="1:2" x14ac:dyDescent="0.3">
      <c r="A676" s="5">
        <v>36052</v>
      </c>
      <c r="B676" s="10">
        <v>31881</v>
      </c>
    </row>
    <row r="677" spans="1:2" x14ac:dyDescent="0.3">
      <c r="A677" s="5">
        <v>36053</v>
      </c>
      <c r="B677" s="10">
        <v>31537</v>
      </c>
    </row>
    <row r="678" spans="1:2" x14ac:dyDescent="0.3">
      <c r="A678" s="5">
        <v>36054</v>
      </c>
      <c r="B678" s="10">
        <v>31428</v>
      </c>
    </row>
    <row r="679" spans="1:2" x14ac:dyDescent="0.3">
      <c r="A679" s="5">
        <v>36055</v>
      </c>
      <c r="B679" s="10">
        <v>31791</v>
      </c>
    </row>
    <row r="680" spans="1:2" x14ac:dyDescent="0.3">
      <c r="A680" s="5">
        <v>36056</v>
      </c>
      <c r="B680" s="10">
        <v>31545</v>
      </c>
    </row>
    <row r="681" spans="1:2" x14ac:dyDescent="0.3">
      <c r="A681" s="5">
        <v>36059</v>
      </c>
      <c r="B681" s="10">
        <v>31508</v>
      </c>
    </row>
    <row r="682" spans="1:2" x14ac:dyDescent="0.3">
      <c r="A682" s="5">
        <v>36060</v>
      </c>
      <c r="B682" s="10">
        <v>31649</v>
      </c>
    </row>
    <row r="683" spans="1:2" x14ac:dyDescent="0.3">
      <c r="A683" s="5">
        <v>36061</v>
      </c>
      <c r="B683" s="10">
        <v>31706</v>
      </c>
    </row>
    <row r="684" spans="1:2" x14ac:dyDescent="0.3">
      <c r="A684" s="5">
        <v>36062</v>
      </c>
      <c r="B684" s="10">
        <v>31619</v>
      </c>
    </row>
    <row r="685" spans="1:2" x14ac:dyDescent="0.3">
      <c r="A685" s="5">
        <v>36063</v>
      </c>
      <c r="B685" s="10">
        <v>32226</v>
      </c>
    </row>
    <row r="686" spans="1:2" x14ac:dyDescent="0.3">
      <c r="A686" s="5">
        <v>36066</v>
      </c>
      <c r="B686" s="10">
        <v>32118</v>
      </c>
    </row>
    <row r="687" spans="1:2" x14ac:dyDescent="0.3">
      <c r="A687" s="5">
        <v>36067</v>
      </c>
      <c r="B687" s="10">
        <v>31556</v>
      </c>
    </row>
    <row r="688" spans="1:2" x14ac:dyDescent="0.3">
      <c r="A688" s="5">
        <v>36068</v>
      </c>
      <c r="B688" s="10">
        <v>30716</v>
      </c>
    </row>
    <row r="689" spans="1:2" x14ac:dyDescent="0.3">
      <c r="A689" s="5">
        <v>36069</v>
      </c>
      <c r="B689" s="10">
        <v>31164</v>
      </c>
    </row>
    <row r="690" spans="1:2" x14ac:dyDescent="0.3">
      <c r="A690" s="5">
        <v>36070</v>
      </c>
      <c r="B690" s="10">
        <v>31425</v>
      </c>
    </row>
    <row r="691" spans="1:2" x14ac:dyDescent="0.3">
      <c r="A691" s="5">
        <v>36073</v>
      </c>
      <c r="B691" s="10">
        <v>31463</v>
      </c>
    </row>
    <row r="692" spans="1:2" x14ac:dyDescent="0.3">
      <c r="A692" s="5">
        <v>36074</v>
      </c>
      <c r="B692" s="10">
        <v>31429</v>
      </c>
    </row>
    <row r="693" spans="1:2" x14ac:dyDescent="0.3">
      <c r="A693" s="5">
        <v>36075</v>
      </c>
      <c r="B693" s="10">
        <v>31591</v>
      </c>
    </row>
    <row r="694" spans="1:2" x14ac:dyDescent="0.3">
      <c r="A694" s="5">
        <v>36076</v>
      </c>
      <c r="B694" s="10">
        <v>31446</v>
      </c>
    </row>
    <row r="695" spans="1:2" x14ac:dyDescent="0.3">
      <c r="A695" s="5">
        <v>36077</v>
      </c>
      <c r="B695" s="10">
        <v>31518</v>
      </c>
    </row>
    <row r="696" spans="1:2" x14ac:dyDescent="0.3">
      <c r="A696" s="5">
        <v>36081</v>
      </c>
      <c r="B696" s="10">
        <v>31524</v>
      </c>
    </row>
    <row r="697" spans="1:2" x14ac:dyDescent="0.3">
      <c r="A697" s="5">
        <v>36082</v>
      </c>
      <c r="B697" s="10">
        <v>31554</v>
      </c>
    </row>
    <row r="698" spans="1:2" x14ac:dyDescent="0.3">
      <c r="A698" s="5">
        <v>36083</v>
      </c>
      <c r="B698" s="10">
        <v>31248</v>
      </c>
    </row>
    <row r="699" spans="1:2" x14ac:dyDescent="0.3">
      <c r="A699" s="5">
        <v>36084</v>
      </c>
      <c r="B699" s="10">
        <v>31137</v>
      </c>
    </row>
    <row r="700" spans="1:2" x14ac:dyDescent="0.3">
      <c r="A700" s="5">
        <v>36087</v>
      </c>
      <c r="B700" s="10">
        <v>31026</v>
      </c>
    </row>
    <row r="701" spans="1:2" x14ac:dyDescent="0.3">
      <c r="A701" s="5">
        <v>36088</v>
      </c>
      <c r="B701" s="10">
        <v>31183</v>
      </c>
    </row>
    <row r="702" spans="1:2" x14ac:dyDescent="0.3">
      <c r="A702" s="5">
        <v>36089</v>
      </c>
      <c r="B702" s="10">
        <v>31065</v>
      </c>
    </row>
    <row r="703" spans="1:2" x14ac:dyDescent="0.3">
      <c r="A703" s="5">
        <v>36090</v>
      </c>
      <c r="B703" s="10">
        <v>30944</v>
      </c>
    </row>
    <row r="704" spans="1:2" x14ac:dyDescent="0.3">
      <c r="A704" s="5">
        <v>36091</v>
      </c>
      <c r="B704" s="10">
        <v>31462</v>
      </c>
    </row>
    <row r="705" spans="1:2" x14ac:dyDescent="0.3">
      <c r="A705" s="5">
        <v>36094</v>
      </c>
      <c r="B705" s="10">
        <v>31286</v>
      </c>
    </row>
    <row r="706" spans="1:2" x14ac:dyDescent="0.3">
      <c r="A706" s="5">
        <v>36095</v>
      </c>
      <c r="B706" s="10">
        <v>31011</v>
      </c>
    </row>
    <row r="707" spans="1:2" x14ac:dyDescent="0.3">
      <c r="A707" s="5">
        <v>36096</v>
      </c>
      <c r="B707" s="10">
        <v>30873</v>
      </c>
    </row>
    <row r="708" spans="1:2" x14ac:dyDescent="0.3">
      <c r="A708" s="5">
        <v>36097</v>
      </c>
      <c r="B708" s="10">
        <v>30647</v>
      </c>
    </row>
    <row r="709" spans="1:2" x14ac:dyDescent="0.3">
      <c r="A709" s="5">
        <v>36098</v>
      </c>
      <c r="B709" s="10">
        <v>30283</v>
      </c>
    </row>
    <row r="710" spans="1:2" x14ac:dyDescent="0.3">
      <c r="A710" s="5">
        <v>36101</v>
      </c>
      <c r="B710" s="10">
        <v>30801</v>
      </c>
    </row>
    <row r="711" spans="1:2" x14ac:dyDescent="0.3">
      <c r="A711" s="5">
        <v>36102</v>
      </c>
      <c r="B711" s="10">
        <v>30907</v>
      </c>
    </row>
    <row r="712" spans="1:2" x14ac:dyDescent="0.3">
      <c r="A712" s="5">
        <v>36103</v>
      </c>
      <c r="B712" s="10">
        <v>30990</v>
      </c>
    </row>
    <row r="713" spans="1:2" x14ac:dyDescent="0.3">
      <c r="A713" s="5">
        <v>36104</v>
      </c>
      <c r="B713" s="10">
        <v>30798</v>
      </c>
    </row>
    <row r="714" spans="1:2" x14ac:dyDescent="0.3">
      <c r="A714" s="5">
        <v>36105</v>
      </c>
      <c r="B714" s="10">
        <v>31002</v>
      </c>
    </row>
    <row r="715" spans="1:2" x14ac:dyDescent="0.3">
      <c r="A715" s="5">
        <v>36108</v>
      </c>
      <c r="B715" s="10">
        <v>30885</v>
      </c>
    </row>
    <row r="716" spans="1:2" x14ac:dyDescent="0.3">
      <c r="A716" s="5">
        <v>36109</v>
      </c>
      <c r="B716" s="10">
        <v>30971</v>
      </c>
    </row>
    <row r="717" spans="1:2" x14ac:dyDescent="0.3">
      <c r="A717" s="5">
        <v>36110</v>
      </c>
      <c r="B717" s="10">
        <v>30897</v>
      </c>
    </row>
    <row r="718" spans="1:2" x14ac:dyDescent="0.3">
      <c r="A718" s="5">
        <v>36111</v>
      </c>
      <c r="B718" s="10">
        <v>30902</v>
      </c>
    </row>
    <row r="719" spans="1:2" x14ac:dyDescent="0.3">
      <c r="A719" s="5">
        <v>36112</v>
      </c>
      <c r="B719" s="10">
        <v>30930</v>
      </c>
    </row>
    <row r="720" spans="1:2" x14ac:dyDescent="0.3">
      <c r="A720" s="5">
        <v>36115</v>
      </c>
      <c r="B720" s="10">
        <v>31138</v>
      </c>
    </row>
    <row r="721" spans="1:2" x14ac:dyDescent="0.3">
      <c r="A721" s="5">
        <v>36116</v>
      </c>
      <c r="B721" s="10">
        <v>32234</v>
      </c>
    </row>
    <row r="722" spans="1:2" x14ac:dyDescent="0.3">
      <c r="A722" s="5">
        <v>36117</v>
      </c>
      <c r="B722" s="10">
        <v>32358</v>
      </c>
    </row>
    <row r="723" spans="1:2" x14ac:dyDescent="0.3">
      <c r="A723" s="5">
        <v>36118</v>
      </c>
      <c r="B723" s="10">
        <v>31142</v>
      </c>
    </row>
    <row r="724" spans="1:2" x14ac:dyDescent="0.3">
      <c r="A724" s="5">
        <v>36119</v>
      </c>
      <c r="B724" s="10">
        <v>31230</v>
      </c>
    </row>
    <row r="725" spans="1:2" x14ac:dyDescent="0.3">
      <c r="A725" s="5">
        <v>36122</v>
      </c>
      <c r="B725" s="10">
        <v>31152</v>
      </c>
    </row>
    <row r="726" spans="1:2" x14ac:dyDescent="0.3">
      <c r="A726" s="5">
        <v>36123</v>
      </c>
      <c r="B726" s="10">
        <v>31188</v>
      </c>
    </row>
    <row r="727" spans="1:2" x14ac:dyDescent="0.3">
      <c r="A727" s="5">
        <v>36124</v>
      </c>
      <c r="B727" s="10">
        <v>31621</v>
      </c>
    </row>
    <row r="728" spans="1:2" x14ac:dyDescent="0.3">
      <c r="A728" s="5">
        <v>36125</v>
      </c>
      <c r="B728" s="10">
        <v>31621</v>
      </c>
    </row>
    <row r="729" spans="1:2" x14ac:dyDescent="0.3">
      <c r="A729" s="5">
        <v>36126</v>
      </c>
      <c r="B729" s="10">
        <v>31059</v>
      </c>
    </row>
    <row r="730" spans="1:2" x14ac:dyDescent="0.3">
      <c r="A730" s="5">
        <v>36129</v>
      </c>
      <c r="B730" s="10">
        <v>30468</v>
      </c>
    </row>
    <row r="731" spans="1:2" x14ac:dyDescent="0.3">
      <c r="A731" s="5">
        <v>36130</v>
      </c>
      <c r="B731" s="10">
        <v>31303</v>
      </c>
    </row>
    <row r="732" spans="1:2" x14ac:dyDescent="0.3">
      <c r="A732" s="5">
        <v>36131</v>
      </c>
      <c r="B732" s="10">
        <v>31646</v>
      </c>
    </row>
    <row r="733" spans="1:2" x14ac:dyDescent="0.3">
      <c r="A733" s="5">
        <v>36132</v>
      </c>
      <c r="B733" s="10">
        <v>31667</v>
      </c>
    </row>
    <row r="734" spans="1:2" x14ac:dyDescent="0.3">
      <c r="A734" s="5">
        <v>36133</v>
      </c>
      <c r="B734" s="10">
        <v>32758</v>
      </c>
    </row>
    <row r="735" spans="1:2" x14ac:dyDescent="0.3">
      <c r="A735" s="5">
        <v>36136</v>
      </c>
      <c r="B735" s="10">
        <v>32897</v>
      </c>
    </row>
    <row r="736" spans="1:2" x14ac:dyDescent="0.3">
      <c r="A736" s="5">
        <v>36138</v>
      </c>
      <c r="B736" s="10">
        <v>32771</v>
      </c>
    </row>
    <row r="737" spans="1:2" x14ac:dyDescent="0.3">
      <c r="A737" s="5">
        <v>36139</v>
      </c>
      <c r="B737" s="10">
        <v>32939</v>
      </c>
    </row>
    <row r="738" spans="1:2" x14ac:dyDescent="0.3">
      <c r="A738" s="5">
        <v>36140</v>
      </c>
      <c r="B738" s="10">
        <v>34085</v>
      </c>
    </row>
    <row r="739" spans="1:2" x14ac:dyDescent="0.3">
      <c r="A739" s="5">
        <v>36143</v>
      </c>
      <c r="B739" s="10">
        <v>32752</v>
      </c>
    </row>
    <row r="740" spans="1:2" x14ac:dyDescent="0.3">
      <c r="A740" s="5">
        <v>36144</v>
      </c>
      <c r="B740" s="10">
        <v>32848</v>
      </c>
    </row>
    <row r="741" spans="1:2" x14ac:dyDescent="0.3">
      <c r="A741" s="5">
        <v>36145</v>
      </c>
      <c r="B741" s="10">
        <v>32891</v>
      </c>
    </row>
    <row r="742" spans="1:2" x14ac:dyDescent="0.3">
      <c r="A742" s="5">
        <v>36146</v>
      </c>
      <c r="B742" s="10">
        <v>33125</v>
      </c>
    </row>
    <row r="743" spans="1:2" x14ac:dyDescent="0.3">
      <c r="A743" s="5">
        <v>36147</v>
      </c>
      <c r="B743" s="10">
        <v>32962</v>
      </c>
    </row>
    <row r="744" spans="1:2" x14ac:dyDescent="0.3">
      <c r="A744" s="5">
        <v>36150</v>
      </c>
      <c r="B744" s="10">
        <v>32752</v>
      </c>
    </row>
    <row r="745" spans="1:2" x14ac:dyDescent="0.3">
      <c r="A745" s="5">
        <v>36151</v>
      </c>
      <c r="B745" s="10">
        <v>32540</v>
      </c>
    </row>
    <row r="746" spans="1:2" x14ac:dyDescent="0.3">
      <c r="A746" s="5">
        <v>36152</v>
      </c>
      <c r="B746" s="10">
        <v>33890</v>
      </c>
    </row>
    <row r="747" spans="1:2" x14ac:dyDescent="0.3">
      <c r="A747" s="5">
        <v>36153</v>
      </c>
      <c r="B747" s="10">
        <v>33636</v>
      </c>
    </row>
    <row r="748" spans="1:2" x14ac:dyDescent="0.3">
      <c r="A748" s="5">
        <v>36157</v>
      </c>
      <c r="B748" s="10">
        <v>33128</v>
      </c>
    </row>
    <row r="749" spans="1:2" x14ac:dyDescent="0.3">
      <c r="A749" s="5">
        <v>36158</v>
      </c>
      <c r="B749" s="10">
        <v>32508</v>
      </c>
    </row>
    <row r="750" spans="1:2" x14ac:dyDescent="0.3">
      <c r="A750" s="5">
        <v>36159</v>
      </c>
      <c r="B750" s="10">
        <v>31736</v>
      </c>
    </row>
    <row r="751" spans="1:2" x14ac:dyDescent="0.3">
      <c r="A751" s="5">
        <v>36164</v>
      </c>
      <c r="B751" s="10">
        <v>32947</v>
      </c>
    </row>
    <row r="752" spans="1:2" x14ac:dyDescent="0.3">
      <c r="A752" s="5">
        <v>36165</v>
      </c>
      <c r="B752" s="10">
        <v>33043</v>
      </c>
    </row>
    <row r="753" spans="1:2" x14ac:dyDescent="0.3">
      <c r="A753" s="5">
        <v>36166</v>
      </c>
      <c r="B753" s="10">
        <v>33130</v>
      </c>
    </row>
    <row r="754" spans="1:2" x14ac:dyDescent="0.3">
      <c r="A754" s="5">
        <v>36167</v>
      </c>
      <c r="B754" s="10">
        <v>33555</v>
      </c>
    </row>
    <row r="755" spans="1:2" x14ac:dyDescent="0.3">
      <c r="A755" s="5">
        <v>36168</v>
      </c>
      <c r="B755" s="10">
        <v>33555</v>
      </c>
    </row>
    <row r="756" spans="1:2" x14ac:dyDescent="0.3">
      <c r="A756" s="5">
        <v>36171</v>
      </c>
      <c r="B756" s="10">
        <v>33482</v>
      </c>
    </row>
    <row r="757" spans="1:2" x14ac:dyDescent="0.3">
      <c r="A757" s="5">
        <v>36172</v>
      </c>
      <c r="B757" s="10">
        <v>33564</v>
      </c>
    </row>
    <row r="758" spans="1:2" x14ac:dyDescent="0.3">
      <c r="A758" s="5">
        <v>36173</v>
      </c>
      <c r="B758" s="10">
        <v>33562</v>
      </c>
    </row>
    <row r="759" spans="1:2" x14ac:dyDescent="0.3">
      <c r="A759" s="5">
        <v>36174</v>
      </c>
      <c r="B759" s="10">
        <v>33587</v>
      </c>
    </row>
    <row r="760" spans="1:2" x14ac:dyDescent="0.3">
      <c r="A760" s="5">
        <v>36175</v>
      </c>
      <c r="B760" s="10">
        <v>33009</v>
      </c>
    </row>
    <row r="761" spans="1:2" x14ac:dyDescent="0.3">
      <c r="A761" s="5">
        <v>36178</v>
      </c>
      <c r="B761" s="10">
        <v>33016</v>
      </c>
    </row>
    <row r="762" spans="1:2" x14ac:dyDescent="0.3">
      <c r="A762" s="5">
        <v>36179</v>
      </c>
      <c r="B762" s="10">
        <v>32953</v>
      </c>
    </row>
    <row r="763" spans="1:2" x14ac:dyDescent="0.3">
      <c r="A763" s="5">
        <v>36180</v>
      </c>
      <c r="B763" s="10">
        <v>32963</v>
      </c>
    </row>
    <row r="764" spans="1:2" x14ac:dyDescent="0.3">
      <c r="A764" s="5">
        <v>36181</v>
      </c>
      <c r="B764" s="10">
        <v>33052</v>
      </c>
    </row>
    <row r="765" spans="1:2" x14ac:dyDescent="0.3">
      <c r="A765" s="5">
        <v>36182</v>
      </c>
      <c r="B765" s="10">
        <v>33084</v>
      </c>
    </row>
    <row r="766" spans="1:2" x14ac:dyDescent="0.3">
      <c r="A766" s="5">
        <v>36185</v>
      </c>
      <c r="B766" s="10">
        <v>32982</v>
      </c>
    </row>
    <row r="767" spans="1:2" x14ac:dyDescent="0.3">
      <c r="A767" s="5">
        <v>36186</v>
      </c>
      <c r="B767" s="10">
        <v>32987</v>
      </c>
    </row>
    <row r="768" spans="1:2" x14ac:dyDescent="0.3">
      <c r="A768" s="5">
        <v>36187</v>
      </c>
      <c r="B768" s="10">
        <v>32763</v>
      </c>
    </row>
    <row r="769" spans="1:2" x14ac:dyDescent="0.3">
      <c r="A769" s="5">
        <v>36188</v>
      </c>
      <c r="B769" s="10">
        <v>32719</v>
      </c>
    </row>
    <row r="770" spans="1:2" x14ac:dyDescent="0.3">
      <c r="A770" s="5">
        <v>36189</v>
      </c>
      <c r="B770" s="10">
        <v>30931</v>
      </c>
    </row>
    <row r="771" spans="1:2" x14ac:dyDescent="0.3">
      <c r="A771" s="5">
        <v>36192</v>
      </c>
      <c r="B771" s="10">
        <v>31893</v>
      </c>
    </row>
    <row r="772" spans="1:2" x14ac:dyDescent="0.3">
      <c r="A772" s="5">
        <v>36193</v>
      </c>
      <c r="B772" s="10">
        <v>32086</v>
      </c>
    </row>
    <row r="773" spans="1:2" x14ac:dyDescent="0.3">
      <c r="A773" s="5">
        <v>36194</v>
      </c>
      <c r="B773" s="10">
        <v>33816</v>
      </c>
    </row>
    <row r="774" spans="1:2" x14ac:dyDescent="0.3">
      <c r="A774" s="5">
        <v>36195</v>
      </c>
      <c r="B774" s="10">
        <v>33865</v>
      </c>
    </row>
    <row r="775" spans="1:2" x14ac:dyDescent="0.3">
      <c r="A775" s="5">
        <v>36196</v>
      </c>
      <c r="B775" s="10">
        <v>33782</v>
      </c>
    </row>
    <row r="776" spans="1:2" x14ac:dyDescent="0.3">
      <c r="A776" s="5">
        <v>36199</v>
      </c>
      <c r="B776" s="10">
        <v>33832</v>
      </c>
    </row>
    <row r="777" spans="1:2" x14ac:dyDescent="0.3">
      <c r="A777" s="5">
        <v>36200</v>
      </c>
      <c r="B777" s="10">
        <v>33736</v>
      </c>
    </row>
    <row r="778" spans="1:2" x14ac:dyDescent="0.3">
      <c r="A778" s="5">
        <v>36201</v>
      </c>
      <c r="B778" s="10">
        <v>33881</v>
      </c>
    </row>
    <row r="779" spans="1:2" x14ac:dyDescent="0.3">
      <c r="A779" s="5">
        <v>36202</v>
      </c>
      <c r="B779" s="10">
        <v>33844</v>
      </c>
    </row>
    <row r="780" spans="1:2" x14ac:dyDescent="0.3">
      <c r="A780" s="5">
        <v>36203</v>
      </c>
      <c r="B780" s="10">
        <v>33593</v>
      </c>
    </row>
    <row r="781" spans="1:2" x14ac:dyDescent="0.3">
      <c r="A781" s="5">
        <v>36206</v>
      </c>
      <c r="B781" s="10">
        <v>33611</v>
      </c>
    </row>
    <row r="782" spans="1:2" x14ac:dyDescent="0.3">
      <c r="A782" s="5">
        <v>36207</v>
      </c>
      <c r="B782" s="10">
        <v>33383</v>
      </c>
    </row>
    <row r="783" spans="1:2" x14ac:dyDescent="0.3">
      <c r="A783" s="5">
        <v>36208</v>
      </c>
      <c r="B783" s="10">
        <v>33276</v>
      </c>
    </row>
    <row r="784" spans="1:2" x14ac:dyDescent="0.3">
      <c r="A784" s="5">
        <v>36209</v>
      </c>
      <c r="B784" s="10">
        <v>33549</v>
      </c>
    </row>
    <row r="785" spans="1:2" x14ac:dyDescent="0.3">
      <c r="A785" s="5">
        <v>36210</v>
      </c>
      <c r="B785" s="10">
        <v>33454</v>
      </c>
    </row>
    <row r="786" spans="1:2" x14ac:dyDescent="0.3">
      <c r="A786" s="5">
        <v>36213</v>
      </c>
      <c r="B786" s="10">
        <v>33042</v>
      </c>
    </row>
    <row r="787" spans="1:2" x14ac:dyDescent="0.3">
      <c r="A787" s="5">
        <v>36214</v>
      </c>
      <c r="B787" s="10">
        <v>32718</v>
      </c>
    </row>
    <row r="788" spans="1:2" x14ac:dyDescent="0.3">
      <c r="A788" s="5">
        <v>36215</v>
      </c>
      <c r="B788" s="10">
        <v>32320</v>
      </c>
    </row>
    <row r="789" spans="1:2" x14ac:dyDescent="0.3">
      <c r="A789" s="5">
        <v>36216</v>
      </c>
      <c r="B789" s="10">
        <v>33368</v>
      </c>
    </row>
    <row r="790" spans="1:2" x14ac:dyDescent="0.3">
      <c r="A790" s="5">
        <v>36217</v>
      </c>
      <c r="B790" s="10">
        <v>33342</v>
      </c>
    </row>
    <row r="791" spans="1:2" x14ac:dyDescent="0.3">
      <c r="A791" s="5">
        <v>36220</v>
      </c>
      <c r="B791" s="10">
        <v>33969</v>
      </c>
    </row>
    <row r="792" spans="1:2" x14ac:dyDescent="0.3">
      <c r="A792" s="5">
        <v>36221</v>
      </c>
      <c r="B792" s="10">
        <v>34046</v>
      </c>
    </row>
    <row r="793" spans="1:2" x14ac:dyDescent="0.3">
      <c r="A793" s="5">
        <v>36222</v>
      </c>
      <c r="B793" s="10">
        <v>33872</v>
      </c>
    </row>
    <row r="794" spans="1:2" x14ac:dyDescent="0.3">
      <c r="A794" s="5">
        <v>36223</v>
      </c>
      <c r="B794" s="10">
        <v>34126</v>
      </c>
    </row>
    <row r="795" spans="1:2" x14ac:dyDescent="0.3">
      <c r="A795" s="5">
        <v>36224</v>
      </c>
      <c r="B795" s="10">
        <v>34224</v>
      </c>
    </row>
    <row r="796" spans="1:2" x14ac:dyDescent="0.3">
      <c r="A796" s="5">
        <v>36227</v>
      </c>
      <c r="B796" s="10">
        <v>34115</v>
      </c>
    </row>
    <row r="797" spans="1:2" x14ac:dyDescent="0.3">
      <c r="A797" s="5">
        <v>36228</v>
      </c>
      <c r="B797" s="10">
        <v>33774</v>
      </c>
    </row>
    <row r="798" spans="1:2" x14ac:dyDescent="0.3">
      <c r="A798" s="5">
        <v>36229</v>
      </c>
      <c r="B798" s="10">
        <v>33803</v>
      </c>
    </row>
    <row r="799" spans="1:2" x14ac:dyDescent="0.3">
      <c r="A799" s="5">
        <v>36230</v>
      </c>
      <c r="B799" s="10">
        <v>33653</v>
      </c>
    </row>
    <row r="800" spans="1:2" x14ac:dyDescent="0.3">
      <c r="A800" s="5">
        <v>36231</v>
      </c>
      <c r="B800" s="10">
        <v>33585</v>
      </c>
    </row>
    <row r="801" spans="1:2" x14ac:dyDescent="0.3">
      <c r="A801" s="5">
        <v>36234</v>
      </c>
      <c r="B801" s="10">
        <v>33629</v>
      </c>
    </row>
    <row r="802" spans="1:2" x14ac:dyDescent="0.3">
      <c r="A802" s="5">
        <v>36235</v>
      </c>
      <c r="B802" s="10">
        <v>33469</v>
      </c>
    </row>
    <row r="803" spans="1:2" x14ac:dyDescent="0.3">
      <c r="A803" s="5">
        <v>36236</v>
      </c>
      <c r="B803" s="10">
        <v>33460</v>
      </c>
    </row>
    <row r="804" spans="1:2" x14ac:dyDescent="0.3">
      <c r="A804" s="5">
        <v>36237</v>
      </c>
      <c r="B804" s="10">
        <v>33271</v>
      </c>
    </row>
    <row r="805" spans="1:2" x14ac:dyDescent="0.3">
      <c r="A805" s="5">
        <v>36238</v>
      </c>
      <c r="B805" s="10">
        <v>33555</v>
      </c>
    </row>
    <row r="806" spans="1:2" x14ac:dyDescent="0.3">
      <c r="A806" s="5">
        <v>36241</v>
      </c>
      <c r="B806" s="10">
        <v>33600</v>
      </c>
    </row>
    <row r="807" spans="1:2" x14ac:dyDescent="0.3">
      <c r="A807" s="5">
        <v>36242</v>
      </c>
      <c r="B807" s="10">
        <v>33266</v>
      </c>
    </row>
    <row r="808" spans="1:2" x14ac:dyDescent="0.3">
      <c r="A808" s="5">
        <v>36243</v>
      </c>
      <c r="B808" s="10">
        <v>33371</v>
      </c>
    </row>
    <row r="809" spans="1:2" x14ac:dyDescent="0.3">
      <c r="A809" s="5">
        <v>36244</v>
      </c>
      <c r="B809" s="10">
        <v>33517</v>
      </c>
    </row>
    <row r="810" spans="1:2" x14ac:dyDescent="0.3">
      <c r="A810" s="5">
        <v>36245</v>
      </c>
      <c r="B810" s="10">
        <v>33726</v>
      </c>
    </row>
    <row r="811" spans="1:2" x14ac:dyDescent="0.3">
      <c r="A811" s="5">
        <v>36248</v>
      </c>
      <c r="B811" s="10">
        <v>32762</v>
      </c>
    </row>
    <row r="812" spans="1:2" x14ac:dyDescent="0.3">
      <c r="A812" s="5">
        <v>36249</v>
      </c>
      <c r="B812" s="10">
        <v>32054</v>
      </c>
    </row>
    <row r="813" spans="1:2" x14ac:dyDescent="0.3">
      <c r="A813" s="5">
        <v>36250</v>
      </c>
      <c r="B813" s="10">
        <v>31725</v>
      </c>
    </row>
    <row r="814" spans="1:2" x14ac:dyDescent="0.3">
      <c r="A814" s="5">
        <v>36255</v>
      </c>
      <c r="B814" s="10">
        <v>32727</v>
      </c>
    </row>
    <row r="815" spans="1:2" x14ac:dyDescent="0.3">
      <c r="A815" s="5">
        <v>36256</v>
      </c>
      <c r="B815" s="10">
        <v>33108</v>
      </c>
    </row>
    <row r="816" spans="1:2" x14ac:dyDescent="0.3">
      <c r="A816" s="5">
        <v>36257</v>
      </c>
      <c r="B816" s="10">
        <v>34165</v>
      </c>
    </row>
    <row r="817" spans="1:2" x14ac:dyDescent="0.3">
      <c r="A817" s="5">
        <v>36258</v>
      </c>
      <c r="B817" s="10">
        <v>33997</v>
      </c>
    </row>
    <row r="818" spans="1:2" x14ac:dyDescent="0.3">
      <c r="A818" s="5">
        <v>36259</v>
      </c>
      <c r="B818" s="10">
        <v>33885</v>
      </c>
    </row>
    <row r="819" spans="1:2" x14ac:dyDescent="0.3">
      <c r="A819" s="5">
        <v>36262</v>
      </c>
      <c r="B819" s="10">
        <v>33683</v>
      </c>
    </row>
    <row r="820" spans="1:2" x14ac:dyDescent="0.3">
      <c r="A820" s="5">
        <v>36263</v>
      </c>
      <c r="B820" s="10">
        <v>33822</v>
      </c>
    </row>
    <row r="821" spans="1:2" x14ac:dyDescent="0.3">
      <c r="A821" s="5">
        <v>36264</v>
      </c>
      <c r="B821" s="10">
        <v>33452</v>
      </c>
    </row>
    <row r="822" spans="1:2" x14ac:dyDescent="0.3">
      <c r="A822" s="5">
        <v>36265</v>
      </c>
      <c r="B822" s="10">
        <v>33210</v>
      </c>
    </row>
    <row r="823" spans="1:2" x14ac:dyDescent="0.3">
      <c r="A823" s="5">
        <v>36266</v>
      </c>
      <c r="B823" s="10">
        <v>32968</v>
      </c>
    </row>
    <row r="824" spans="1:2" x14ac:dyDescent="0.3">
      <c r="A824" s="5">
        <v>36269</v>
      </c>
      <c r="B824" s="10">
        <v>32830</v>
      </c>
    </row>
    <row r="825" spans="1:2" x14ac:dyDescent="0.3">
      <c r="A825" s="5">
        <v>36270</v>
      </c>
      <c r="B825" s="10">
        <v>32388</v>
      </c>
    </row>
    <row r="826" spans="1:2" x14ac:dyDescent="0.3">
      <c r="A826" s="5">
        <v>36271</v>
      </c>
      <c r="B826" s="10">
        <v>32438</v>
      </c>
    </row>
    <row r="827" spans="1:2" x14ac:dyDescent="0.3">
      <c r="A827" s="5">
        <v>36272</v>
      </c>
      <c r="B827" s="10">
        <v>32356</v>
      </c>
    </row>
    <row r="828" spans="1:2" x14ac:dyDescent="0.3">
      <c r="A828" s="5">
        <v>36273</v>
      </c>
      <c r="B828" s="10">
        <v>31025</v>
      </c>
    </row>
    <row r="829" spans="1:2" x14ac:dyDescent="0.3">
      <c r="A829" s="5">
        <v>36276</v>
      </c>
      <c r="B829" s="10">
        <v>31251</v>
      </c>
    </row>
    <row r="830" spans="1:2" x14ac:dyDescent="0.3">
      <c r="A830" s="5">
        <v>36277</v>
      </c>
      <c r="B830" s="10">
        <v>31031</v>
      </c>
    </row>
    <row r="831" spans="1:2" x14ac:dyDescent="0.3">
      <c r="A831" s="5">
        <v>36278</v>
      </c>
      <c r="B831" s="10">
        <v>30873</v>
      </c>
    </row>
    <row r="832" spans="1:2" x14ac:dyDescent="0.3">
      <c r="A832" s="5">
        <v>36279</v>
      </c>
      <c r="B832" s="10">
        <v>30801</v>
      </c>
    </row>
    <row r="833" spans="1:2" x14ac:dyDescent="0.3">
      <c r="A833" s="5">
        <v>36280</v>
      </c>
      <c r="B833" s="10">
        <v>30522</v>
      </c>
    </row>
    <row r="834" spans="1:2" x14ac:dyDescent="0.3">
      <c r="A834" s="5">
        <v>36283</v>
      </c>
      <c r="B834" s="10">
        <v>31410</v>
      </c>
    </row>
    <row r="835" spans="1:2" x14ac:dyDescent="0.3">
      <c r="A835" s="5">
        <v>36284</v>
      </c>
      <c r="B835" s="10">
        <v>31644</v>
      </c>
    </row>
    <row r="836" spans="1:2" x14ac:dyDescent="0.3">
      <c r="A836" s="5">
        <v>36285</v>
      </c>
      <c r="B836" s="10">
        <v>31160</v>
      </c>
    </row>
    <row r="837" spans="1:2" x14ac:dyDescent="0.3">
      <c r="A837" s="5">
        <v>36286</v>
      </c>
      <c r="B837" s="10">
        <v>31293</v>
      </c>
    </row>
    <row r="838" spans="1:2" x14ac:dyDescent="0.3">
      <c r="A838" s="5">
        <v>36287</v>
      </c>
      <c r="B838" s="10">
        <v>31492</v>
      </c>
    </row>
    <row r="839" spans="1:2" x14ac:dyDescent="0.3">
      <c r="A839" s="5">
        <v>36290</v>
      </c>
      <c r="B839" s="10">
        <v>31445</v>
      </c>
    </row>
    <row r="840" spans="1:2" x14ac:dyDescent="0.3">
      <c r="A840" s="5">
        <v>36291</v>
      </c>
      <c r="B840" s="10">
        <v>31670</v>
      </c>
    </row>
    <row r="841" spans="1:2" x14ac:dyDescent="0.3">
      <c r="A841" s="5">
        <v>36292</v>
      </c>
      <c r="B841" s="10">
        <v>32012</v>
      </c>
    </row>
    <row r="842" spans="1:2" x14ac:dyDescent="0.3">
      <c r="A842" s="5">
        <v>36293</v>
      </c>
      <c r="B842" s="10">
        <v>32077</v>
      </c>
    </row>
    <row r="843" spans="1:2" x14ac:dyDescent="0.3">
      <c r="A843" s="5">
        <v>36294</v>
      </c>
      <c r="B843" s="10">
        <v>32238</v>
      </c>
    </row>
    <row r="844" spans="1:2" x14ac:dyDescent="0.3">
      <c r="A844" s="5">
        <v>36297</v>
      </c>
      <c r="B844" s="10">
        <v>32251</v>
      </c>
    </row>
    <row r="845" spans="1:2" x14ac:dyDescent="0.3">
      <c r="A845" s="5">
        <v>36298</v>
      </c>
      <c r="B845" s="10">
        <v>31957</v>
      </c>
    </row>
    <row r="846" spans="1:2" x14ac:dyDescent="0.3">
      <c r="A846" s="5">
        <v>36299</v>
      </c>
      <c r="B846" s="10">
        <v>31814</v>
      </c>
    </row>
    <row r="847" spans="1:2" x14ac:dyDescent="0.3">
      <c r="A847" s="5">
        <v>36300</v>
      </c>
      <c r="B847" s="10">
        <v>31565</v>
      </c>
    </row>
    <row r="848" spans="1:2" x14ac:dyDescent="0.3">
      <c r="A848" s="5">
        <v>36301</v>
      </c>
      <c r="B848" s="10">
        <v>31433</v>
      </c>
    </row>
    <row r="849" spans="1:2" x14ac:dyDescent="0.3">
      <c r="A849" s="5">
        <v>36304</v>
      </c>
      <c r="B849" s="10">
        <v>31406</v>
      </c>
    </row>
    <row r="850" spans="1:2" x14ac:dyDescent="0.3">
      <c r="A850" s="5">
        <v>36306</v>
      </c>
      <c r="B850" s="10">
        <v>32126</v>
      </c>
    </row>
    <row r="851" spans="1:2" x14ac:dyDescent="0.3">
      <c r="A851" s="5">
        <v>36307</v>
      </c>
      <c r="B851" s="10">
        <v>32251</v>
      </c>
    </row>
    <row r="852" spans="1:2" x14ac:dyDescent="0.3">
      <c r="A852" s="5">
        <v>36308</v>
      </c>
      <c r="B852" s="10">
        <v>31379</v>
      </c>
    </row>
    <row r="853" spans="1:2" x14ac:dyDescent="0.3">
      <c r="A853" s="5">
        <v>36311</v>
      </c>
      <c r="B853" s="10">
        <v>31403</v>
      </c>
    </row>
    <row r="854" spans="1:2" x14ac:dyDescent="0.3">
      <c r="A854" s="5">
        <v>36312</v>
      </c>
      <c r="B854" s="10">
        <v>32141</v>
      </c>
    </row>
    <row r="855" spans="1:2" x14ac:dyDescent="0.3">
      <c r="A855" s="5">
        <v>36313</v>
      </c>
      <c r="B855" s="10">
        <v>32008</v>
      </c>
    </row>
    <row r="856" spans="1:2" x14ac:dyDescent="0.3">
      <c r="A856" s="5">
        <v>36314</v>
      </c>
      <c r="B856" s="10">
        <v>31842</v>
      </c>
    </row>
    <row r="857" spans="1:2" x14ac:dyDescent="0.3">
      <c r="A857" s="5">
        <v>36315</v>
      </c>
      <c r="B857" s="10">
        <v>32012</v>
      </c>
    </row>
    <row r="858" spans="1:2" x14ac:dyDescent="0.3">
      <c r="A858" s="5">
        <v>36318</v>
      </c>
      <c r="B858" s="10">
        <v>30921</v>
      </c>
    </row>
    <row r="859" spans="1:2" x14ac:dyDescent="0.3">
      <c r="A859" s="5">
        <v>36319</v>
      </c>
      <c r="B859" s="10">
        <v>30777</v>
      </c>
    </row>
    <row r="860" spans="1:2" x14ac:dyDescent="0.3">
      <c r="A860" s="5">
        <v>36320</v>
      </c>
      <c r="B860" s="10">
        <v>30753</v>
      </c>
    </row>
    <row r="861" spans="1:2" x14ac:dyDescent="0.3">
      <c r="A861" s="5">
        <v>36321</v>
      </c>
      <c r="B861" s="10">
        <v>30975</v>
      </c>
    </row>
    <row r="862" spans="1:2" x14ac:dyDescent="0.3">
      <c r="A862" s="5">
        <v>36322</v>
      </c>
      <c r="B862" s="10">
        <v>30986</v>
      </c>
    </row>
    <row r="863" spans="1:2" x14ac:dyDescent="0.3">
      <c r="A863" s="5">
        <v>36326</v>
      </c>
      <c r="B863" s="10">
        <v>31174</v>
      </c>
    </row>
    <row r="864" spans="1:2" x14ac:dyDescent="0.3">
      <c r="A864" s="5">
        <v>36327</v>
      </c>
      <c r="B864" s="10">
        <v>31270</v>
      </c>
    </row>
    <row r="865" spans="1:2" x14ac:dyDescent="0.3">
      <c r="A865" s="5">
        <v>36328</v>
      </c>
      <c r="B865" s="10">
        <v>31445</v>
      </c>
    </row>
    <row r="866" spans="1:2" x14ac:dyDescent="0.3">
      <c r="A866" s="5">
        <v>36329</v>
      </c>
      <c r="B866" s="10">
        <v>31402</v>
      </c>
    </row>
    <row r="867" spans="1:2" x14ac:dyDescent="0.3">
      <c r="A867" s="5">
        <v>36333</v>
      </c>
      <c r="B867" s="10">
        <v>31335</v>
      </c>
    </row>
    <row r="868" spans="1:2" x14ac:dyDescent="0.3">
      <c r="A868" s="5">
        <v>36334</v>
      </c>
      <c r="B868" s="10">
        <v>31333</v>
      </c>
    </row>
    <row r="869" spans="1:2" x14ac:dyDescent="0.3">
      <c r="A869" s="5">
        <v>36335</v>
      </c>
      <c r="B869" s="10">
        <v>31555</v>
      </c>
    </row>
    <row r="870" spans="1:2" x14ac:dyDescent="0.3">
      <c r="A870" s="5">
        <v>36336</v>
      </c>
      <c r="B870" s="10">
        <v>31528</v>
      </c>
    </row>
    <row r="871" spans="1:2" x14ac:dyDescent="0.3">
      <c r="A871" s="5">
        <v>36339</v>
      </c>
      <c r="B871" s="10">
        <v>32413</v>
      </c>
    </row>
    <row r="872" spans="1:2" x14ac:dyDescent="0.3">
      <c r="A872" s="5">
        <v>36340</v>
      </c>
      <c r="B872" s="10">
        <v>31949</v>
      </c>
    </row>
    <row r="873" spans="1:2" x14ac:dyDescent="0.3">
      <c r="A873" s="5">
        <v>36341</v>
      </c>
      <c r="B873" s="10">
        <v>32192</v>
      </c>
    </row>
    <row r="874" spans="1:2" x14ac:dyDescent="0.3">
      <c r="A874" s="5">
        <v>36342</v>
      </c>
      <c r="B874" s="10">
        <v>33523</v>
      </c>
    </row>
    <row r="875" spans="1:2" x14ac:dyDescent="0.3">
      <c r="A875" s="5">
        <v>36343</v>
      </c>
      <c r="B875" s="10">
        <v>33940</v>
      </c>
    </row>
    <row r="876" spans="1:2" x14ac:dyDescent="0.3">
      <c r="A876" s="5">
        <v>36346</v>
      </c>
      <c r="B876" s="10">
        <v>33976</v>
      </c>
    </row>
    <row r="877" spans="1:2" x14ac:dyDescent="0.3">
      <c r="A877" s="5">
        <v>36347</v>
      </c>
      <c r="B877" s="10">
        <v>33740</v>
      </c>
    </row>
    <row r="878" spans="1:2" x14ac:dyDescent="0.3">
      <c r="A878" s="5">
        <v>36348</v>
      </c>
      <c r="B878" s="10">
        <v>33705</v>
      </c>
    </row>
    <row r="879" spans="1:2" x14ac:dyDescent="0.3">
      <c r="A879" s="5">
        <v>36349</v>
      </c>
      <c r="B879" s="10">
        <v>33881</v>
      </c>
    </row>
    <row r="880" spans="1:2" x14ac:dyDescent="0.3">
      <c r="A880" s="5">
        <v>36353</v>
      </c>
      <c r="B880" s="10">
        <v>33960</v>
      </c>
    </row>
    <row r="881" spans="1:2" x14ac:dyDescent="0.3">
      <c r="A881" s="5">
        <v>36354</v>
      </c>
      <c r="B881" s="10">
        <v>33029</v>
      </c>
    </row>
    <row r="882" spans="1:2" x14ac:dyDescent="0.3">
      <c r="A882" s="5">
        <v>36355</v>
      </c>
      <c r="B882" s="10">
        <v>33315</v>
      </c>
    </row>
    <row r="883" spans="1:2" x14ac:dyDescent="0.3">
      <c r="A883" s="5">
        <v>36356</v>
      </c>
      <c r="B883" s="10">
        <v>33122</v>
      </c>
    </row>
    <row r="884" spans="1:2" x14ac:dyDescent="0.3">
      <c r="A884" s="5">
        <v>36357</v>
      </c>
      <c r="B884" s="10">
        <v>33312</v>
      </c>
    </row>
    <row r="885" spans="1:2" x14ac:dyDescent="0.3">
      <c r="A885" s="5">
        <v>36360</v>
      </c>
      <c r="B885" s="10">
        <v>33393</v>
      </c>
    </row>
    <row r="886" spans="1:2" x14ac:dyDescent="0.3">
      <c r="A886" s="5">
        <v>36361</v>
      </c>
      <c r="B886" s="10">
        <v>33400</v>
      </c>
    </row>
    <row r="887" spans="1:2" x14ac:dyDescent="0.3">
      <c r="A887" s="5">
        <v>36362</v>
      </c>
      <c r="B887" s="10">
        <v>33056</v>
      </c>
    </row>
    <row r="888" spans="1:2" x14ac:dyDescent="0.3">
      <c r="A888" s="5">
        <v>36363</v>
      </c>
      <c r="B888" s="10">
        <v>33106</v>
      </c>
    </row>
    <row r="889" spans="1:2" x14ac:dyDescent="0.3">
      <c r="A889" s="5">
        <v>36364</v>
      </c>
      <c r="B889" s="10">
        <v>33079</v>
      </c>
    </row>
    <row r="890" spans="1:2" x14ac:dyDescent="0.3">
      <c r="A890" s="5">
        <v>36367</v>
      </c>
      <c r="B890" s="10">
        <v>32971</v>
      </c>
    </row>
    <row r="891" spans="1:2" x14ac:dyDescent="0.3">
      <c r="A891" s="5">
        <v>36368</v>
      </c>
      <c r="B891" s="10">
        <v>32952</v>
      </c>
    </row>
    <row r="892" spans="1:2" x14ac:dyDescent="0.3">
      <c r="A892" s="5">
        <v>36369</v>
      </c>
      <c r="B892" s="10">
        <v>33268</v>
      </c>
    </row>
    <row r="893" spans="1:2" x14ac:dyDescent="0.3">
      <c r="A893" s="5">
        <v>36370</v>
      </c>
      <c r="B893" s="10">
        <v>32897</v>
      </c>
    </row>
    <row r="894" spans="1:2" x14ac:dyDescent="0.3">
      <c r="A894" s="5">
        <v>36371</v>
      </c>
      <c r="B894" s="10">
        <v>31933</v>
      </c>
    </row>
    <row r="895" spans="1:2" x14ac:dyDescent="0.3">
      <c r="A895" s="5">
        <v>36374</v>
      </c>
      <c r="B895" s="10">
        <v>33143</v>
      </c>
    </row>
    <row r="896" spans="1:2" x14ac:dyDescent="0.3">
      <c r="A896" s="5">
        <v>36375</v>
      </c>
      <c r="B896" s="10">
        <v>33328</v>
      </c>
    </row>
    <row r="897" spans="1:2" x14ac:dyDescent="0.3">
      <c r="A897" s="5">
        <v>36376</v>
      </c>
      <c r="B897" s="10">
        <v>33249</v>
      </c>
    </row>
    <row r="898" spans="1:2" x14ac:dyDescent="0.3">
      <c r="A898" s="5">
        <v>36377</v>
      </c>
      <c r="B898" s="10">
        <v>33193</v>
      </c>
    </row>
    <row r="899" spans="1:2" x14ac:dyDescent="0.3">
      <c r="A899" s="5">
        <v>36378</v>
      </c>
      <c r="B899" s="10">
        <v>33538</v>
      </c>
    </row>
    <row r="900" spans="1:2" x14ac:dyDescent="0.3">
      <c r="A900" s="5">
        <v>36381</v>
      </c>
      <c r="B900" s="10">
        <v>33311</v>
      </c>
    </row>
    <row r="901" spans="1:2" x14ac:dyDescent="0.3">
      <c r="A901" s="5">
        <v>36382</v>
      </c>
      <c r="B901" s="10">
        <v>33250</v>
      </c>
    </row>
    <row r="902" spans="1:2" x14ac:dyDescent="0.3">
      <c r="A902" s="5">
        <v>36383</v>
      </c>
      <c r="B902" s="10">
        <v>33845</v>
      </c>
    </row>
    <row r="903" spans="1:2" x14ac:dyDescent="0.3">
      <c r="A903" s="5">
        <v>36384</v>
      </c>
      <c r="B903" s="10">
        <v>33884</v>
      </c>
    </row>
    <row r="904" spans="1:2" x14ac:dyDescent="0.3">
      <c r="A904" s="5">
        <v>36385</v>
      </c>
      <c r="B904" s="10">
        <v>33224</v>
      </c>
    </row>
    <row r="905" spans="1:2" x14ac:dyDescent="0.3">
      <c r="A905" s="5">
        <v>36389</v>
      </c>
      <c r="B905" s="10">
        <v>33022</v>
      </c>
    </row>
    <row r="906" spans="1:2" x14ac:dyDescent="0.3">
      <c r="A906" s="5">
        <v>36390</v>
      </c>
      <c r="B906" s="10">
        <v>33067</v>
      </c>
    </row>
    <row r="907" spans="1:2" x14ac:dyDescent="0.3">
      <c r="A907" s="5">
        <v>36391</v>
      </c>
      <c r="B907" s="10">
        <v>33106</v>
      </c>
    </row>
    <row r="908" spans="1:2" x14ac:dyDescent="0.3">
      <c r="A908" s="5">
        <v>36392</v>
      </c>
      <c r="B908" s="10">
        <v>32040</v>
      </c>
    </row>
    <row r="909" spans="1:2" x14ac:dyDescent="0.3">
      <c r="A909" s="5">
        <v>36395</v>
      </c>
      <c r="B909" s="10">
        <v>31811</v>
      </c>
    </row>
    <row r="910" spans="1:2" x14ac:dyDescent="0.3">
      <c r="A910" s="5">
        <v>36396</v>
      </c>
      <c r="B910" s="10">
        <v>31490</v>
      </c>
    </row>
    <row r="911" spans="1:2" x14ac:dyDescent="0.3">
      <c r="A911" s="5">
        <v>36397</v>
      </c>
      <c r="B911" s="10">
        <v>31441</v>
      </c>
    </row>
    <row r="912" spans="1:2" x14ac:dyDescent="0.3">
      <c r="A912" s="5">
        <v>36398</v>
      </c>
      <c r="B912" s="10">
        <v>31337</v>
      </c>
    </row>
    <row r="913" spans="1:2" x14ac:dyDescent="0.3">
      <c r="A913" s="5">
        <v>36399</v>
      </c>
      <c r="B913" s="10">
        <v>31149</v>
      </c>
    </row>
    <row r="914" spans="1:2" x14ac:dyDescent="0.3">
      <c r="A914" s="5">
        <v>36402</v>
      </c>
      <c r="B914" s="10">
        <v>30518</v>
      </c>
    </row>
    <row r="915" spans="1:2" x14ac:dyDescent="0.3">
      <c r="A915" s="5">
        <v>36403</v>
      </c>
      <c r="B915" s="10">
        <v>30856</v>
      </c>
    </row>
    <row r="916" spans="1:2" x14ac:dyDescent="0.3">
      <c r="A916" s="5">
        <v>36404</v>
      </c>
      <c r="B916" s="10">
        <v>31606</v>
      </c>
    </row>
    <row r="917" spans="1:2" x14ac:dyDescent="0.3">
      <c r="A917" s="5">
        <v>36405</v>
      </c>
      <c r="B917" s="10">
        <v>31701</v>
      </c>
    </row>
    <row r="918" spans="1:2" x14ac:dyDescent="0.3">
      <c r="A918" s="5">
        <v>36406</v>
      </c>
      <c r="B918" s="10">
        <v>32176</v>
      </c>
    </row>
    <row r="919" spans="1:2" x14ac:dyDescent="0.3">
      <c r="A919" s="5">
        <v>36409</v>
      </c>
      <c r="B919" s="10">
        <v>32208</v>
      </c>
    </row>
    <row r="920" spans="1:2" x14ac:dyDescent="0.3">
      <c r="A920" s="5">
        <v>36410</v>
      </c>
      <c r="B920" s="10">
        <v>32021</v>
      </c>
    </row>
    <row r="921" spans="1:2" x14ac:dyDescent="0.3">
      <c r="A921" s="5">
        <v>36411</v>
      </c>
      <c r="B921" s="10">
        <v>32068</v>
      </c>
    </row>
    <row r="922" spans="1:2" x14ac:dyDescent="0.3">
      <c r="A922" s="5">
        <v>36412</v>
      </c>
      <c r="B922" s="10">
        <v>32260</v>
      </c>
    </row>
    <row r="923" spans="1:2" x14ac:dyDescent="0.3">
      <c r="A923" s="5">
        <v>36413</v>
      </c>
      <c r="B923" s="10">
        <v>32416</v>
      </c>
    </row>
    <row r="924" spans="1:2" x14ac:dyDescent="0.3">
      <c r="A924" s="5">
        <v>36416</v>
      </c>
      <c r="B924" s="10">
        <v>32189</v>
      </c>
    </row>
    <row r="925" spans="1:2" x14ac:dyDescent="0.3">
      <c r="A925" s="5">
        <v>36417</v>
      </c>
      <c r="B925" s="10">
        <v>32111</v>
      </c>
    </row>
    <row r="926" spans="1:2" x14ac:dyDescent="0.3">
      <c r="A926" s="5">
        <v>36418</v>
      </c>
      <c r="B926" s="10">
        <v>31691</v>
      </c>
    </row>
    <row r="927" spans="1:2" x14ac:dyDescent="0.3">
      <c r="A927" s="5">
        <v>36419</v>
      </c>
      <c r="B927" s="10">
        <v>31762</v>
      </c>
    </row>
    <row r="928" spans="1:2" x14ac:dyDescent="0.3">
      <c r="A928" s="5">
        <v>36420</v>
      </c>
      <c r="B928" s="10">
        <v>32384</v>
      </c>
    </row>
    <row r="929" spans="1:2" x14ac:dyDescent="0.3">
      <c r="A929" s="5">
        <v>36423</v>
      </c>
      <c r="B929" s="10">
        <v>32399</v>
      </c>
    </row>
    <row r="930" spans="1:2" x14ac:dyDescent="0.3">
      <c r="A930" s="5">
        <v>36424</v>
      </c>
      <c r="B930" s="10">
        <v>32423</v>
      </c>
    </row>
    <row r="931" spans="1:2" x14ac:dyDescent="0.3">
      <c r="A931" s="5">
        <v>36425</v>
      </c>
      <c r="B931" s="10">
        <v>32494</v>
      </c>
    </row>
    <row r="932" spans="1:2" x14ac:dyDescent="0.3">
      <c r="A932" s="5">
        <v>36426</v>
      </c>
      <c r="B932" s="10">
        <v>32887</v>
      </c>
    </row>
    <row r="933" spans="1:2" x14ac:dyDescent="0.3">
      <c r="A933" s="5">
        <v>36427</v>
      </c>
      <c r="B933" s="10">
        <v>33190</v>
      </c>
    </row>
    <row r="934" spans="1:2" x14ac:dyDescent="0.3">
      <c r="A934" s="5">
        <v>36430</v>
      </c>
      <c r="B934" s="10">
        <v>33349</v>
      </c>
    </row>
    <row r="935" spans="1:2" x14ac:dyDescent="0.3">
      <c r="A935" s="5">
        <v>36431</v>
      </c>
      <c r="B935" s="10">
        <v>33271</v>
      </c>
    </row>
    <row r="936" spans="1:2" x14ac:dyDescent="0.3">
      <c r="A936" s="5">
        <v>36432</v>
      </c>
      <c r="B936" s="10">
        <v>32563</v>
      </c>
    </row>
    <row r="937" spans="1:2" x14ac:dyDescent="0.3">
      <c r="A937" s="5">
        <v>36433</v>
      </c>
      <c r="B937" s="10">
        <v>32084</v>
      </c>
    </row>
    <row r="938" spans="1:2" x14ac:dyDescent="0.3">
      <c r="A938" s="5">
        <v>36434</v>
      </c>
      <c r="B938" s="10">
        <v>32909</v>
      </c>
    </row>
    <row r="939" spans="1:2" x14ac:dyDescent="0.3">
      <c r="A939" s="5">
        <v>36437</v>
      </c>
      <c r="B939" s="10">
        <v>32785</v>
      </c>
    </row>
    <row r="940" spans="1:2" x14ac:dyDescent="0.3">
      <c r="A940" s="5">
        <v>36438</v>
      </c>
      <c r="B940" s="10">
        <v>33061</v>
      </c>
    </row>
    <row r="941" spans="1:2" x14ac:dyDescent="0.3">
      <c r="A941" s="5">
        <v>36439</v>
      </c>
      <c r="B941" s="10">
        <v>32859</v>
      </c>
    </row>
    <row r="942" spans="1:2" x14ac:dyDescent="0.3">
      <c r="A942" s="5">
        <v>36440</v>
      </c>
      <c r="B942" s="10">
        <v>32831</v>
      </c>
    </row>
    <row r="943" spans="1:2" x14ac:dyDescent="0.3">
      <c r="A943" s="5">
        <v>36441</v>
      </c>
      <c r="B943" s="10">
        <v>32503</v>
      </c>
    </row>
    <row r="944" spans="1:2" x14ac:dyDescent="0.3">
      <c r="A944" s="5">
        <v>36445</v>
      </c>
      <c r="B944" s="10">
        <v>32339</v>
      </c>
    </row>
    <row r="945" spans="1:2" x14ac:dyDescent="0.3">
      <c r="A945" s="5">
        <v>36446</v>
      </c>
      <c r="B945" s="10">
        <v>32285</v>
      </c>
    </row>
    <row r="946" spans="1:2" x14ac:dyDescent="0.3">
      <c r="A946" s="5">
        <v>36447</v>
      </c>
      <c r="B946" s="10">
        <v>32505</v>
      </c>
    </row>
    <row r="947" spans="1:2" x14ac:dyDescent="0.3">
      <c r="A947" s="5">
        <v>36448</v>
      </c>
      <c r="B947" s="10">
        <v>33300</v>
      </c>
    </row>
    <row r="948" spans="1:2" x14ac:dyDescent="0.3">
      <c r="A948" s="5">
        <v>36451</v>
      </c>
      <c r="B948" s="10">
        <v>33363</v>
      </c>
    </row>
    <row r="949" spans="1:2" x14ac:dyDescent="0.3">
      <c r="A949" s="5">
        <v>36452</v>
      </c>
      <c r="B949" s="10">
        <v>32919</v>
      </c>
    </row>
    <row r="950" spans="1:2" x14ac:dyDescent="0.3">
      <c r="A950" s="5">
        <v>36453</v>
      </c>
      <c r="B950" s="10">
        <v>32287</v>
      </c>
    </row>
    <row r="951" spans="1:2" x14ac:dyDescent="0.3">
      <c r="A951" s="5">
        <v>36454</v>
      </c>
      <c r="B951" s="10">
        <v>33448</v>
      </c>
    </row>
    <row r="952" spans="1:2" x14ac:dyDescent="0.3">
      <c r="A952" s="5">
        <v>36455</v>
      </c>
      <c r="B952" s="10">
        <v>33365</v>
      </c>
    </row>
    <row r="953" spans="1:2" x14ac:dyDescent="0.3">
      <c r="A953" s="5">
        <v>36458</v>
      </c>
      <c r="B953" s="10">
        <v>33494</v>
      </c>
    </row>
    <row r="954" spans="1:2" x14ac:dyDescent="0.3">
      <c r="A954" s="5">
        <v>36459</v>
      </c>
      <c r="B954" s="10">
        <v>33763</v>
      </c>
    </row>
    <row r="955" spans="1:2" x14ac:dyDescent="0.3">
      <c r="A955" s="5">
        <v>36460</v>
      </c>
      <c r="B955" s="10">
        <v>33705</v>
      </c>
    </row>
    <row r="956" spans="1:2" x14ac:dyDescent="0.3">
      <c r="A956" s="5">
        <v>36461</v>
      </c>
      <c r="B956" s="10">
        <v>33163</v>
      </c>
    </row>
    <row r="957" spans="1:2" x14ac:dyDescent="0.3">
      <c r="A957" s="5">
        <v>36462</v>
      </c>
      <c r="B957" s="10">
        <v>32041</v>
      </c>
    </row>
    <row r="958" spans="1:2" x14ac:dyDescent="0.3">
      <c r="A958" s="5">
        <v>36465</v>
      </c>
      <c r="B958" s="10">
        <v>32686</v>
      </c>
    </row>
    <row r="959" spans="1:2" x14ac:dyDescent="0.3">
      <c r="A959" s="5">
        <v>36466</v>
      </c>
      <c r="B959" s="10">
        <v>33229</v>
      </c>
    </row>
    <row r="960" spans="1:2" x14ac:dyDescent="0.3">
      <c r="A960" s="5">
        <v>36467</v>
      </c>
      <c r="B960" s="10">
        <v>33241</v>
      </c>
    </row>
    <row r="961" spans="1:2" x14ac:dyDescent="0.3">
      <c r="A961" s="5">
        <v>36468</v>
      </c>
      <c r="B961" s="10">
        <v>33253</v>
      </c>
    </row>
    <row r="962" spans="1:2" x14ac:dyDescent="0.3">
      <c r="A962" s="5">
        <v>36469</v>
      </c>
      <c r="B962" s="10">
        <v>33372</v>
      </c>
    </row>
    <row r="963" spans="1:2" x14ac:dyDescent="0.3">
      <c r="A963" s="5">
        <v>36472</v>
      </c>
      <c r="B963" s="10">
        <v>33215</v>
      </c>
    </row>
    <row r="964" spans="1:2" x14ac:dyDescent="0.3">
      <c r="A964" s="5">
        <v>36473</v>
      </c>
      <c r="B964" s="10">
        <v>33629</v>
      </c>
    </row>
    <row r="965" spans="1:2" x14ac:dyDescent="0.3">
      <c r="A965" s="5">
        <v>36474</v>
      </c>
      <c r="B965" s="10">
        <v>33570</v>
      </c>
    </row>
    <row r="966" spans="1:2" x14ac:dyDescent="0.3">
      <c r="A966" s="5">
        <v>36475</v>
      </c>
      <c r="B966" s="10">
        <v>33563</v>
      </c>
    </row>
    <row r="967" spans="1:2" x14ac:dyDescent="0.3">
      <c r="A967" s="5">
        <v>36476</v>
      </c>
      <c r="B967" s="10">
        <v>33848</v>
      </c>
    </row>
    <row r="968" spans="1:2" x14ac:dyDescent="0.3">
      <c r="A968" s="5">
        <v>36479</v>
      </c>
      <c r="B968" s="10">
        <v>33407</v>
      </c>
    </row>
    <row r="969" spans="1:2" x14ac:dyDescent="0.3">
      <c r="A969" s="5">
        <v>36480</v>
      </c>
      <c r="B969" s="10">
        <v>33554</v>
      </c>
    </row>
    <row r="970" spans="1:2" x14ac:dyDescent="0.3">
      <c r="A970" s="5">
        <v>36481</v>
      </c>
      <c r="B970" s="10">
        <v>33373</v>
      </c>
    </row>
    <row r="971" spans="1:2" x14ac:dyDescent="0.3">
      <c r="A971" s="5">
        <v>36482</v>
      </c>
      <c r="B971" s="10">
        <v>33426</v>
      </c>
    </row>
    <row r="972" spans="1:2" x14ac:dyDescent="0.3">
      <c r="A972" s="5">
        <v>36483</v>
      </c>
      <c r="B972" s="10">
        <v>33419</v>
      </c>
    </row>
    <row r="973" spans="1:2" x14ac:dyDescent="0.3">
      <c r="A973" s="5">
        <v>36486</v>
      </c>
      <c r="B973" s="10">
        <v>33703</v>
      </c>
    </row>
    <row r="974" spans="1:2" x14ac:dyDescent="0.3">
      <c r="A974" s="5">
        <v>36487</v>
      </c>
      <c r="B974" s="10">
        <v>33770</v>
      </c>
    </row>
    <row r="975" spans="1:2" x14ac:dyDescent="0.3">
      <c r="A975" s="5">
        <v>36488</v>
      </c>
      <c r="B975" s="10">
        <v>33571</v>
      </c>
    </row>
    <row r="976" spans="1:2" x14ac:dyDescent="0.3">
      <c r="A976" s="5">
        <v>36489</v>
      </c>
      <c r="B976" s="10">
        <v>33551</v>
      </c>
    </row>
    <row r="977" spans="1:2" x14ac:dyDescent="0.3">
      <c r="A977" s="5">
        <v>36490</v>
      </c>
      <c r="B977" s="10">
        <v>33744</v>
      </c>
    </row>
    <row r="978" spans="1:2" x14ac:dyDescent="0.3">
      <c r="A978" s="5">
        <v>36493</v>
      </c>
      <c r="B978" s="10">
        <v>32898</v>
      </c>
    </row>
    <row r="979" spans="1:2" x14ac:dyDescent="0.3">
      <c r="A979" s="5">
        <v>36494</v>
      </c>
      <c r="B979" s="10">
        <v>32427</v>
      </c>
    </row>
    <row r="980" spans="1:2" x14ac:dyDescent="0.3">
      <c r="A980" s="5">
        <v>36495</v>
      </c>
      <c r="B980" s="10">
        <v>33332</v>
      </c>
    </row>
    <row r="981" spans="1:2" x14ac:dyDescent="0.3">
      <c r="A981" s="5">
        <v>36496</v>
      </c>
      <c r="B981" s="10">
        <v>33604</v>
      </c>
    </row>
    <row r="982" spans="1:2" x14ac:dyDescent="0.3">
      <c r="A982" s="5">
        <v>36497</v>
      </c>
      <c r="B982" s="10">
        <v>33687</v>
      </c>
    </row>
    <row r="983" spans="1:2" x14ac:dyDescent="0.3">
      <c r="A983" s="5">
        <v>36500</v>
      </c>
      <c r="B983" s="10">
        <v>33726</v>
      </c>
    </row>
    <row r="984" spans="1:2" x14ac:dyDescent="0.3">
      <c r="A984" s="5">
        <v>36501</v>
      </c>
      <c r="B984" s="10">
        <v>33955</v>
      </c>
    </row>
    <row r="985" spans="1:2" x14ac:dyDescent="0.3">
      <c r="A985" s="5">
        <v>36503</v>
      </c>
      <c r="B985" s="10">
        <v>34071</v>
      </c>
    </row>
    <row r="986" spans="1:2" x14ac:dyDescent="0.3">
      <c r="A986" s="5">
        <v>36504</v>
      </c>
      <c r="B986" s="10">
        <v>34169</v>
      </c>
    </row>
    <row r="987" spans="1:2" x14ac:dyDescent="0.3">
      <c r="A987" s="5">
        <v>36507</v>
      </c>
      <c r="B987" s="10">
        <v>33720</v>
      </c>
    </row>
    <row r="988" spans="1:2" x14ac:dyDescent="0.3">
      <c r="A988" s="5">
        <v>36508</v>
      </c>
      <c r="B988" s="10">
        <v>33777</v>
      </c>
    </row>
    <row r="989" spans="1:2" x14ac:dyDescent="0.3">
      <c r="A989" s="5">
        <v>36509</v>
      </c>
      <c r="B989" s="10">
        <v>33834</v>
      </c>
    </row>
    <row r="990" spans="1:2" x14ac:dyDescent="0.3">
      <c r="A990" s="5">
        <v>36510</v>
      </c>
      <c r="B990" s="10">
        <v>33979</v>
      </c>
    </row>
    <row r="991" spans="1:2" x14ac:dyDescent="0.3">
      <c r="A991" s="5">
        <v>36511</v>
      </c>
      <c r="B991" s="10">
        <v>34074</v>
      </c>
    </row>
    <row r="992" spans="1:2" x14ac:dyDescent="0.3">
      <c r="A992" s="5">
        <v>36514</v>
      </c>
      <c r="B992" s="10">
        <v>34032</v>
      </c>
    </row>
    <row r="993" spans="1:2" x14ac:dyDescent="0.3">
      <c r="A993" s="5">
        <v>36515</v>
      </c>
      <c r="B993" s="10">
        <v>34407</v>
      </c>
    </row>
    <row r="994" spans="1:2" x14ac:dyDescent="0.3">
      <c r="A994" s="5">
        <v>36516</v>
      </c>
      <c r="B994" s="10">
        <v>34481</v>
      </c>
    </row>
    <row r="995" spans="1:2" x14ac:dyDescent="0.3">
      <c r="A995" s="5">
        <v>36517</v>
      </c>
      <c r="B995" s="10">
        <v>34435</v>
      </c>
    </row>
    <row r="996" spans="1:2" x14ac:dyDescent="0.3">
      <c r="A996" s="5">
        <v>36518</v>
      </c>
      <c r="B996" s="10">
        <v>34526</v>
      </c>
    </row>
    <row r="997" spans="1:2" x14ac:dyDescent="0.3">
      <c r="A997" s="5">
        <v>36521</v>
      </c>
      <c r="B997" s="10">
        <v>34172</v>
      </c>
    </row>
    <row r="998" spans="1:2" x14ac:dyDescent="0.3">
      <c r="A998" s="5">
        <v>36522</v>
      </c>
      <c r="B998" s="10">
        <v>33739</v>
      </c>
    </row>
    <row r="999" spans="1:2" x14ac:dyDescent="0.3">
      <c r="A999" s="5">
        <v>36523</v>
      </c>
      <c r="B999" s="10">
        <v>33230</v>
      </c>
    </row>
    <row r="1000" spans="1:2" x14ac:dyDescent="0.3">
      <c r="A1000" s="5">
        <v>36525</v>
      </c>
      <c r="B1000" s="10">
        <v>33100</v>
      </c>
    </row>
    <row r="1001" spans="1:2" x14ac:dyDescent="0.3">
      <c r="A1001" s="5">
        <v>36528</v>
      </c>
      <c r="B1001" s="10">
        <v>33070</v>
      </c>
    </row>
    <row r="1002" spans="1:2" x14ac:dyDescent="0.3">
      <c r="A1002" s="5">
        <v>36529</v>
      </c>
      <c r="B1002" s="10">
        <v>33075</v>
      </c>
    </row>
    <row r="1003" spans="1:2" x14ac:dyDescent="0.3">
      <c r="A1003" s="5">
        <v>36530</v>
      </c>
      <c r="B1003" s="10">
        <v>32657</v>
      </c>
    </row>
    <row r="1004" spans="1:2" x14ac:dyDescent="0.3">
      <c r="A1004" s="5">
        <v>36531</v>
      </c>
      <c r="B1004" s="10">
        <v>32537</v>
      </c>
    </row>
    <row r="1005" spans="1:2" x14ac:dyDescent="0.3">
      <c r="A1005" s="5">
        <v>36532</v>
      </c>
      <c r="B1005" s="10">
        <v>32126</v>
      </c>
    </row>
    <row r="1006" spans="1:2" x14ac:dyDescent="0.3">
      <c r="A1006" s="5">
        <v>36535</v>
      </c>
      <c r="B1006" s="10">
        <v>32098</v>
      </c>
    </row>
    <row r="1007" spans="1:2" x14ac:dyDescent="0.3">
      <c r="A1007" s="5">
        <v>36536</v>
      </c>
      <c r="B1007" s="10">
        <v>32190</v>
      </c>
    </row>
    <row r="1008" spans="1:2" x14ac:dyDescent="0.3">
      <c r="A1008" s="5">
        <v>36537</v>
      </c>
      <c r="B1008" s="10">
        <v>32326</v>
      </c>
    </row>
    <row r="1009" spans="1:2" x14ac:dyDescent="0.3">
      <c r="A1009" s="5">
        <v>36538</v>
      </c>
      <c r="B1009" s="10">
        <v>32199</v>
      </c>
    </row>
    <row r="1010" spans="1:2" x14ac:dyDescent="0.3">
      <c r="A1010" s="5">
        <v>36539</v>
      </c>
      <c r="B1010" s="10">
        <v>32073</v>
      </c>
    </row>
    <row r="1011" spans="1:2" x14ac:dyDescent="0.3">
      <c r="A1011" s="5">
        <v>36542</v>
      </c>
      <c r="B1011" s="10">
        <v>32017</v>
      </c>
    </row>
    <row r="1012" spans="1:2" x14ac:dyDescent="0.3">
      <c r="A1012" s="5">
        <v>36543</v>
      </c>
      <c r="B1012" s="10">
        <v>31891</v>
      </c>
    </row>
    <row r="1013" spans="1:2" x14ac:dyDescent="0.3">
      <c r="A1013" s="5">
        <v>36544</v>
      </c>
      <c r="B1013" s="10">
        <v>31899</v>
      </c>
    </row>
    <row r="1014" spans="1:2" x14ac:dyDescent="0.3">
      <c r="A1014" s="5">
        <v>36545</v>
      </c>
      <c r="B1014" s="10">
        <v>31974</v>
      </c>
    </row>
    <row r="1015" spans="1:2" x14ac:dyDescent="0.3">
      <c r="A1015" s="5">
        <v>36546</v>
      </c>
      <c r="B1015" s="10">
        <v>31782</v>
      </c>
    </row>
    <row r="1016" spans="1:2" x14ac:dyDescent="0.3">
      <c r="A1016" s="5">
        <v>36549</v>
      </c>
      <c r="B1016" s="10">
        <v>31661</v>
      </c>
    </row>
    <row r="1017" spans="1:2" x14ac:dyDescent="0.3">
      <c r="A1017" s="5">
        <v>36550</v>
      </c>
      <c r="B1017" s="10">
        <v>31829</v>
      </c>
    </row>
    <row r="1018" spans="1:2" x14ac:dyDescent="0.3">
      <c r="A1018" s="5">
        <v>36551</v>
      </c>
      <c r="B1018" s="10">
        <v>32478</v>
      </c>
    </row>
    <row r="1019" spans="1:2" x14ac:dyDescent="0.3">
      <c r="A1019" s="5">
        <v>36552</v>
      </c>
      <c r="B1019" s="10">
        <v>32508</v>
      </c>
    </row>
    <row r="1020" spans="1:2" x14ac:dyDescent="0.3">
      <c r="A1020" s="5">
        <v>36553</v>
      </c>
      <c r="B1020" s="10">
        <v>32365</v>
      </c>
    </row>
    <row r="1021" spans="1:2" x14ac:dyDescent="0.3">
      <c r="A1021" s="5">
        <v>36556</v>
      </c>
      <c r="B1021" s="10">
        <v>31100</v>
      </c>
    </row>
    <row r="1022" spans="1:2" x14ac:dyDescent="0.3">
      <c r="A1022" s="5">
        <v>36557</v>
      </c>
      <c r="B1022" s="10">
        <v>32762</v>
      </c>
    </row>
    <row r="1023" spans="1:2" x14ac:dyDescent="0.3">
      <c r="A1023" s="5">
        <v>36558</v>
      </c>
      <c r="B1023" s="10">
        <v>32432</v>
      </c>
    </row>
    <row r="1024" spans="1:2" x14ac:dyDescent="0.3">
      <c r="A1024" s="5">
        <v>36559</v>
      </c>
      <c r="B1024" s="10">
        <v>33436</v>
      </c>
    </row>
    <row r="1025" spans="1:2" x14ac:dyDescent="0.3">
      <c r="A1025" s="5">
        <v>36560</v>
      </c>
      <c r="B1025" s="10">
        <v>33671</v>
      </c>
    </row>
    <row r="1026" spans="1:2" x14ac:dyDescent="0.3">
      <c r="A1026" s="5">
        <v>36563</v>
      </c>
      <c r="B1026" s="10">
        <v>33626</v>
      </c>
    </row>
    <row r="1027" spans="1:2" x14ac:dyDescent="0.3">
      <c r="A1027" s="5">
        <v>36564</v>
      </c>
      <c r="B1027" s="10">
        <v>33768</v>
      </c>
    </row>
    <row r="1028" spans="1:2" x14ac:dyDescent="0.3">
      <c r="A1028" s="5">
        <v>36565</v>
      </c>
      <c r="B1028" s="10">
        <v>33960</v>
      </c>
    </row>
    <row r="1029" spans="1:2" x14ac:dyDescent="0.3">
      <c r="A1029" s="5">
        <v>36566</v>
      </c>
      <c r="B1029" s="10">
        <v>34123</v>
      </c>
    </row>
    <row r="1030" spans="1:2" x14ac:dyDescent="0.3">
      <c r="A1030" s="5">
        <v>36567</v>
      </c>
      <c r="B1030" s="10">
        <v>34615</v>
      </c>
    </row>
    <row r="1031" spans="1:2" x14ac:dyDescent="0.3">
      <c r="A1031" s="5">
        <v>36570</v>
      </c>
      <c r="B1031" s="10">
        <v>34239</v>
      </c>
    </row>
    <row r="1032" spans="1:2" x14ac:dyDescent="0.3">
      <c r="A1032" s="5">
        <v>36571</v>
      </c>
      <c r="B1032" s="10">
        <v>33267</v>
      </c>
    </row>
    <row r="1033" spans="1:2" x14ac:dyDescent="0.3">
      <c r="A1033" s="5">
        <v>36572</v>
      </c>
      <c r="B1033" s="10">
        <v>33415</v>
      </c>
    </row>
    <row r="1034" spans="1:2" x14ac:dyDescent="0.3">
      <c r="A1034" s="5">
        <v>36573</v>
      </c>
      <c r="B1034" s="10">
        <v>33378</v>
      </c>
    </row>
    <row r="1035" spans="1:2" x14ac:dyDescent="0.3">
      <c r="A1035" s="5">
        <v>36574</v>
      </c>
      <c r="B1035" s="10">
        <v>33432</v>
      </c>
    </row>
    <row r="1036" spans="1:2" x14ac:dyDescent="0.3">
      <c r="A1036" s="5">
        <v>36577</v>
      </c>
      <c r="B1036" s="10">
        <v>33438</v>
      </c>
    </row>
    <row r="1037" spans="1:2" x14ac:dyDescent="0.3">
      <c r="A1037" s="5">
        <v>36578</v>
      </c>
      <c r="B1037" s="10">
        <v>32889</v>
      </c>
    </row>
    <row r="1038" spans="1:2" x14ac:dyDescent="0.3">
      <c r="A1038" s="5">
        <v>36579</v>
      </c>
      <c r="B1038" s="10">
        <v>32846</v>
      </c>
    </row>
    <row r="1039" spans="1:2" x14ac:dyDescent="0.3">
      <c r="A1039" s="5">
        <v>36580</v>
      </c>
      <c r="B1039" s="10">
        <v>32761</v>
      </c>
    </row>
    <row r="1040" spans="1:2" x14ac:dyDescent="0.3">
      <c r="A1040" s="5">
        <v>36581</v>
      </c>
      <c r="B1040" s="10">
        <v>32869</v>
      </c>
    </row>
    <row r="1041" spans="1:2" x14ac:dyDescent="0.3">
      <c r="A1041" s="5">
        <v>36584</v>
      </c>
      <c r="B1041" s="10">
        <v>32569</v>
      </c>
    </row>
    <row r="1042" spans="1:2" x14ac:dyDescent="0.3">
      <c r="A1042" s="5">
        <v>36585</v>
      </c>
      <c r="B1042" s="10">
        <v>32255</v>
      </c>
    </row>
    <row r="1043" spans="1:2" x14ac:dyDescent="0.3">
      <c r="A1043" s="5">
        <v>36586</v>
      </c>
      <c r="B1043" s="10">
        <v>33162</v>
      </c>
    </row>
    <row r="1044" spans="1:2" x14ac:dyDescent="0.3">
      <c r="A1044" s="5">
        <v>36587</v>
      </c>
      <c r="B1044" s="10">
        <v>33231</v>
      </c>
    </row>
    <row r="1045" spans="1:2" x14ac:dyDescent="0.3">
      <c r="A1045" s="5">
        <v>36588</v>
      </c>
      <c r="B1045" s="10">
        <v>33655</v>
      </c>
    </row>
    <row r="1046" spans="1:2" x14ac:dyDescent="0.3">
      <c r="A1046" s="5">
        <v>36591</v>
      </c>
      <c r="B1046" s="10">
        <v>33585</v>
      </c>
    </row>
    <row r="1047" spans="1:2" x14ac:dyDescent="0.3">
      <c r="A1047" s="5">
        <v>36592</v>
      </c>
      <c r="B1047" s="10">
        <v>33341</v>
      </c>
    </row>
    <row r="1048" spans="1:2" x14ac:dyDescent="0.3">
      <c r="A1048" s="5">
        <v>36593</v>
      </c>
      <c r="B1048" s="10">
        <v>33161</v>
      </c>
    </row>
    <row r="1049" spans="1:2" x14ac:dyDescent="0.3">
      <c r="A1049" s="5">
        <v>36594</v>
      </c>
      <c r="B1049" s="10">
        <v>33222</v>
      </c>
    </row>
    <row r="1050" spans="1:2" x14ac:dyDescent="0.3">
      <c r="A1050" s="5">
        <v>36595</v>
      </c>
      <c r="B1050" s="10">
        <v>33413</v>
      </c>
    </row>
    <row r="1051" spans="1:2" x14ac:dyDescent="0.3">
      <c r="A1051" s="5">
        <v>36598</v>
      </c>
      <c r="B1051" s="10">
        <v>33239</v>
      </c>
    </row>
    <row r="1052" spans="1:2" x14ac:dyDescent="0.3">
      <c r="A1052" s="5">
        <v>36599</v>
      </c>
      <c r="B1052" s="10">
        <v>34297</v>
      </c>
    </row>
    <row r="1053" spans="1:2" x14ac:dyDescent="0.3">
      <c r="A1053" s="5">
        <v>36600</v>
      </c>
      <c r="B1053" s="10">
        <v>33905</v>
      </c>
    </row>
    <row r="1054" spans="1:2" x14ac:dyDescent="0.3">
      <c r="A1054" s="5">
        <v>36601</v>
      </c>
      <c r="B1054" s="10">
        <v>34744</v>
      </c>
    </row>
    <row r="1055" spans="1:2" x14ac:dyDescent="0.3">
      <c r="A1055" s="5">
        <v>36602</v>
      </c>
      <c r="B1055" s="10">
        <v>34361</v>
      </c>
    </row>
    <row r="1056" spans="1:2" x14ac:dyDescent="0.3">
      <c r="A1056" s="5">
        <v>36605</v>
      </c>
      <c r="B1056" s="10">
        <v>34190</v>
      </c>
    </row>
    <row r="1057" spans="1:2" x14ac:dyDescent="0.3">
      <c r="A1057" s="5">
        <v>36606</v>
      </c>
      <c r="B1057" s="10">
        <v>34175</v>
      </c>
    </row>
    <row r="1058" spans="1:2" x14ac:dyDescent="0.3">
      <c r="A1058" s="5">
        <v>36607</v>
      </c>
      <c r="B1058" s="10">
        <v>34052</v>
      </c>
    </row>
    <row r="1059" spans="1:2" x14ac:dyDescent="0.3">
      <c r="A1059" s="5">
        <v>36608</v>
      </c>
      <c r="B1059" s="10">
        <v>33960</v>
      </c>
    </row>
    <row r="1060" spans="1:2" x14ac:dyDescent="0.3">
      <c r="A1060" s="5">
        <v>36609</v>
      </c>
      <c r="B1060" s="10">
        <v>33940</v>
      </c>
    </row>
    <row r="1061" spans="1:2" x14ac:dyDescent="0.3">
      <c r="A1061" s="5">
        <v>36612</v>
      </c>
      <c r="B1061" s="10">
        <v>34059</v>
      </c>
    </row>
    <row r="1062" spans="1:2" x14ac:dyDescent="0.3">
      <c r="A1062" s="5">
        <v>36613</v>
      </c>
      <c r="B1062" s="10">
        <v>33768</v>
      </c>
    </row>
    <row r="1063" spans="1:2" x14ac:dyDescent="0.3">
      <c r="A1063" s="5">
        <v>36614</v>
      </c>
      <c r="B1063" s="10">
        <v>33439</v>
      </c>
    </row>
    <row r="1064" spans="1:2" x14ac:dyDescent="0.3">
      <c r="A1064" s="5">
        <v>36615</v>
      </c>
      <c r="B1064" s="10">
        <v>32189</v>
      </c>
    </row>
    <row r="1065" spans="1:2" x14ac:dyDescent="0.3">
      <c r="A1065" s="5">
        <v>36616</v>
      </c>
      <c r="B1065" s="10">
        <v>32976</v>
      </c>
    </row>
    <row r="1066" spans="1:2" x14ac:dyDescent="0.3">
      <c r="A1066" s="5">
        <v>36619</v>
      </c>
      <c r="B1066" s="10">
        <v>33490</v>
      </c>
    </row>
    <row r="1067" spans="1:2" x14ac:dyDescent="0.3">
      <c r="A1067" s="5">
        <v>36620</v>
      </c>
      <c r="B1067" s="10">
        <v>33616</v>
      </c>
    </row>
    <row r="1068" spans="1:2" x14ac:dyDescent="0.3">
      <c r="A1068" s="5">
        <v>36621</v>
      </c>
      <c r="B1068" s="10">
        <v>34178</v>
      </c>
    </row>
    <row r="1069" spans="1:2" x14ac:dyDescent="0.3">
      <c r="A1069" s="5">
        <v>36622</v>
      </c>
      <c r="B1069" s="10">
        <v>33874</v>
      </c>
    </row>
    <row r="1070" spans="1:2" x14ac:dyDescent="0.3">
      <c r="A1070" s="5">
        <v>36623</v>
      </c>
      <c r="B1070" s="10">
        <v>33915</v>
      </c>
    </row>
    <row r="1071" spans="1:2" x14ac:dyDescent="0.3">
      <c r="A1071" s="5">
        <v>36626</v>
      </c>
      <c r="B1071" s="10">
        <v>33602</v>
      </c>
    </row>
    <row r="1072" spans="1:2" x14ac:dyDescent="0.3">
      <c r="A1072" s="5">
        <v>36627</v>
      </c>
      <c r="B1072" s="10">
        <v>33890</v>
      </c>
    </row>
    <row r="1073" spans="1:2" x14ac:dyDescent="0.3">
      <c r="A1073" s="5">
        <v>36628</v>
      </c>
      <c r="B1073" s="10">
        <v>33886</v>
      </c>
    </row>
    <row r="1074" spans="1:2" x14ac:dyDescent="0.3">
      <c r="A1074" s="5">
        <v>36629</v>
      </c>
      <c r="B1074" s="10">
        <v>33826</v>
      </c>
    </row>
    <row r="1075" spans="1:2" x14ac:dyDescent="0.3">
      <c r="A1075" s="5">
        <v>36630</v>
      </c>
      <c r="B1075" s="10">
        <v>33774</v>
      </c>
    </row>
    <row r="1076" spans="1:2" x14ac:dyDescent="0.3">
      <c r="A1076" s="5">
        <v>36633</v>
      </c>
      <c r="B1076" s="10">
        <v>33587</v>
      </c>
    </row>
    <row r="1077" spans="1:2" x14ac:dyDescent="0.3">
      <c r="A1077" s="5">
        <v>36634</v>
      </c>
      <c r="B1077" s="10">
        <v>33429</v>
      </c>
    </row>
    <row r="1078" spans="1:2" x14ac:dyDescent="0.3">
      <c r="A1078" s="5">
        <v>36635</v>
      </c>
      <c r="B1078" s="10">
        <v>33574</v>
      </c>
    </row>
    <row r="1079" spans="1:2" x14ac:dyDescent="0.3">
      <c r="A1079" s="5">
        <v>36640</v>
      </c>
      <c r="B1079" s="10">
        <v>33003</v>
      </c>
    </row>
    <row r="1080" spans="1:2" x14ac:dyDescent="0.3">
      <c r="A1080" s="5">
        <v>36641</v>
      </c>
      <c r="B1080" s="10">
        <v>31729</v>
      </c>
    </row>
    <row r="1081" spans="1:2" x14ac:dyDescent="0.3">
      <c r="A1081" s="5">
        <v>36642</v>
      </c>
      <c r="B1081" s="10">
        <v>31625</v>
      </c>
    </row>
    <row r="1082" spans="1:2" x14ac:dyDescent="0.3">
      <c r="A1082" s="5">
        <v>36643</v>
      </c>
      <c r="B1082" s="10">
        <v>31329</v>
      </c>
    </row>
    <row r="1083" spans="1:2" x14ac:dyDescent="0.3">
      <c r="A1083" s="5">
        <v>36644</v>
      </c>
      <c r="B1083" s="10">
        <v>31182</v>
      </c>
    </row>
    <row r="1084" spans="1:2" x14ac:dyDescent="0.3">
      <c r="A1084" s="5">
        <v>36648</v>
      </c>
      <c r="B1084" s="10">
        <v>32415</v>
      </c>
    </row>
    <row r="1085" spans="1:2" x14ac:dyDescent="0.3">
      <c r="A1085" s="5">
        <v>36649</v>
      </c>
      <c r="B1085" s="10">
        <v>32659</v>
      </c>
    </row>
    <row r="1086" spans="1:2" x14ac:dyDescent="0.3">
      <c r="A1086" s="5">
        <v>36650</v>
      </c>
      <c r="B1086" s="10">
        <v>32493</v>
      </c>
    </row>
    <row r="1087" spans="1:2" x14ac:dyDescent="0.3">
      <c r="A1087" s="5">
        <v>36651</v>
      </c>
      <c r="B1087" s="10">
        <v>32813</v>
      </c>
    </row>
    <row r="1088" spans="1:2" x14ac:dyDescent="0.3">
      <c r="A1088" s="5">
        <v>36654</v>
      </c>
      <c r="B1088" s="10">
        <v>32429</v>
      </c>
    </row>
    <row r="1089" spans="1:2" x14ac:dyDescent="0.3">
      <c r="A1089" s="5">
        <v>36655</v>
      </c>
      <c r="B1089" s="10">
        <v>32765</v>
      </c>
    </row>
    <row r="1090" spans="1:2" x14ac:dyDescent="0.3">
      <c r="A1090" s="5">
        <v>36656</v>
      </c>
      <c r="B1090" s="10">
        <v>32679</v>
      </c>
    </row>
    <row r="1091" spans="1:2" x14ac:dyDescent="0.3">
      <c r="A1091" s="5">
        <v>36657</v>
      </c>
      <c r="B1091" s="10">
        <v>33032</v>
      </c>
    </row>
    <row r="1092" spans="1:2" x14ac:dyDescent="0.3">
      <c r="A1092" s="5">
        <v>36658</v>
      </c>
      <c r="B1092" s="10">
        <v>33011</v>
      </c>
    </row>
    <row r="1093" spans="1:2" x14ac:dyDescent="0.3">
      <c r="A1093" s="5">
        <v>36661</v>
      </c>
      <c r="B1093" s="10">
        <v>32755</v>
      </c>
    </row>
    <row r="1094" spans="1:2" x14ac:dyDescent="0.3">
      <c r="A1094" s="5">
        <v>36662</v>
      </c>
      <c r="B1094" s="10">
        <v>32570</v>
      </c>
    </row>
    <row r="1095" spans="1:2" x14ac:dyDescent="0.3">
      <c r="A1095" s="5">
        <v>36663</v>
      </c>
      <c r="B1095" s="10">
        <v>32579</v>
      </c>
    </row>
    <row r="1096" spans="1:2" x14ac:dyDescent="0.3">
      <c r="A1096" s="5">
        <v>36664</v>
      </c>
      <c r="B1096" s="10">
        <v>32417</v>
      </c>
    </row>
    <row r="1097" spans="1:2" x14ac:dyDescent="0.3">
      <c r="A1097" s="5">
        <v>36665</v>
      </c>
      <c r="B1097" s="10">
        <v>32524</v>
      </c>
    </row>
    <row r="1098" spans="1:2" x14ac:dyDescent="0.3">
      <c r="A1098" s="5">
        <v>36668</v>
      </c>
      <c r="B1098" s="10">
        <v>32308</v>
      </c>
    </row>
    <row r="1099" spans="1:2" x14ac:dyDescent="0.3">
      <c r="A1099" s="5">
        <v>36669</v>
      </c>
      <c r="B1099" s="10">
        <v>32166</v>
      </c>
    </row>
    <row r="1100" spans="1:2" x14ac:dyDescent="0.3">
      <c r="A1100" s="5">
        <v>36670</v>
      </c>
      <c r="B1100" s="10">
        <v>32534</v>
      </c>
    </row>
    <row r="1101" spans="1:2" x14ac:dyDescent="0.3">
      <c r="A1101" s="5">
        <v>36672</v>
      </c>
      <c r="B1101" s="10">
        <v>32680</v>
      </c>
    </row>
    <row r="1102" spans="1:2" x14ac:dyDescent="0.3">
      <c r="A1102" s="5">
        <v>36675</v>
      </c>
      <c r="B1102" s="10">
        <v>32703</v>
      </c>
    </row>
    <row r="1103" spans="1:2" x14ac:dyDescent="0.3">
      <c r="A1103" s="5">
        <v>36676</v>
      </c>
      <c r="B1103" s="10">
        <v>31113</v>
      </c>
    </row>
    <row r="1104" spans="1:2" x14ac:dyDescent="0.3">
      <c r="A1104" s="5">
        <v>36677</v>
      </c>
      <c r="B1104" s="10">
        <v>30601</v>
      </c>
    </row>
    <row r="1105" spans="1:2" x14ac:dyDescent="0.3">
      <c r="A1105" s="5">
        <v>36678</v>
      </c>
      <c r="B1105" s="10">
        <v>32298</v>
      </c>
    </row>
    <row r="1106" spans="1:2" x14ac:dyDescent="0.3">
      <c r="A1106" s="5">
        <v>36679</v>
      </c>
      <c r="B1106" s="10">
        <v>32354</v>
      </c>
    </row>
    <row r="1107" spans="1:2" x14ac:dyDescent="0.3">
      <c r="A1107" s="5">
        <v>36682</v>
      </c>
      <c r="B1107" s="10">
        <v>32100</v>
      </c>
    </row>
    <row r="1108" spans="1:2" x14ac:dyDescent="0.3">
      <c r="A1108" s="5">
        <v>36683</v>
      </c>
      <c r="B1108" s="10">
        <v>32102</v>
      </c>
    </row>
    <row r="1109" spans="1:2" x14ac:dyDescent="0.3">
      <c r="A1109" s="5">
        <v>36684</v>
      </c>
      <c r="B1109" s="10">
        <v>32168</v>
      </c>
    </row>
    <row r="1110" spans="1:2" x14ac:dyDescent="0.3">
      <c r="A1110" s="5">
        <v>36685</v>
      </c>
      <c r="B1110" s="10">
        <v>32364</v>
      </c>
    </row>
    <row r="1111" spans="1:2" x14ac:dyDescent="0.3">
      <c r="A1111" s="5">
        <v>36686</v>
      </c>
      <c r="B1111" s="10">
        <v>32410</v>
      </c>
    </row>
    <row r="1112" spans="1:2" x14ac:dyDescent="0.3">
      <c r="A1112" s="5">
        <v>36689</v>
      </c>
      <c r="B1112" s="10">
        <v>32518</v>
      </c>
    </row>
    <row r="1113" spans="1:2" x14ac:dyDescent="0.3">
      <c r="A1113" s="5">
        <v>36690</v>
      </c>
      <c r="B1113" s="10">
        <v>32419</v>
      </c>
    </row>
    <row r="1114" spans="1:2" x14ac:dyDescent="0.3">
      <c r="A1114" s="5">
        <v>36691</v>
      </c>
      <c r="B1114" s="10">
        <v>32708</v>
      </c>
    </row>
    <row r="1115" spans="1:2" x14ac:dyDescent="0.3">
      <c r="A1115" s="5">
        <v>36692</v>
      </c>
      <c r="B1115" s="10">
        <v>32852</v>
      </c>
    </row>
    <row r="1116" spans="1:2" x14ac:dyDescent="0.3">
      <c r="A1116" s="5">
        <v>36693</v>
      </c>
      <c r="B1116" s="10">
        <v>32769</v>
      </c>
    </row>
    <row r="1117" spans="1:2" x14ac:dyDescent="0.3">
      <c r="A1117" s="5">
        <v>36697</v>
      </c>
      <c r="B1117" s="10">
        <v>33996</v>
      </c>
    </row>
    <row r="1118" spans="1:2" x14ac:dyDescent="0.3">
      <c r="A1118" s="5">
        <v>36698</v>
      </c>
      <c r="B1118" s="10">
        <v>34257</v>
      </c>
    </row>
    <row r="1119" spans="1:2" x14ac:dyDescent="0.3">
      <c r="A1119" s="5">
        <v>36699</v>
      </c>
      <c r="B1119" s="10">
        <v>34113</v>
      </c>
    </row>
    <row r="1120" spans="1:2" x14ac:dyDescent="0.3">
      <c r="A1120" s="5">
        <v>36700</v>
      </c>
      <c r="B1120" s="10">
        <v>34132</v>
      </c>
    </row>
    <row r="1121" spans="1:2" x14ac:dyDescent="0.3">
      <c r="A1121" s="5">
        <v>36703</v>
      </c>
      <c r="B1121" s="10">
        <v>33994</v>
      </c>
    </row>
    <row r="1122" spans="1:2" x14ac:dyDescent="0.3">
      <c r="A1122" s="5">
        <v>36704</v>
      </c>
      <c r="B1122" s="10">
        <v>33834</v>
      </c>
    </row>
    <row r="1123" spans="1:2" x14ac:dyDescent="0.3">
      <c r="A1123" s="5">
        <v>36705</v>
      </c>
      <c r="B1123" s="10">
        <v>34662</v>
      </c>
    </row>
    <row r="1124" spans="1:2" x14ac:dyDescent="0.3">
      <c r="A1124" s="5">
        <v>36706</v>
      </c>
      <c r="B1124" s="10">
        <v>34638</v>
      </c>
    </row>
    <row r="1125" spans="1:2" x14ac:dyDescent="0.3">
      <c r="A1125" s="5">
        <v>36707</v>
      </c>
      <c r="B1125" s="10">
        <v>34355</v>
      </c>
    </row>
    <row r="1126" spans="1:2" x14ac:dyDescent="0.3">
      <c r="A1126" s="5">
        <v>36710</v>
      </c>
      <c r="B1126" s="10">
        <v>35187</v>
      </c>
    </row>
    <row r="1127" spans="1:2" x14ac:dyDescent="0.3">
      <c r="A1127" s="5">
        <v>36711</v>
      </c>
      <c r="B1127" s="10">
        <v>35204</v>
      </c>
    </row>
    <row r="1128" spans="1:2" x14ac:dyDescent="0.3">
      <c r="A1128" s="5">
        <v>36712</v>
      </c>
      <c r="B1128" s="10">
        <v>35156</v>
      </c>
    </row>
    <row r="1129" spans="1:2" x14ac:dyDescent="0.3">
      <c r="A1129" s="5">
        <v>36713</v>
      </c>
      <c r="B1129" s="10">
        <v>35170</v>
      </c>
    </row>
    <row r="1130" spans="1:2" x14ac:dyDescent="0.3">
      <c r="A1130" s="5">
        <v>36714</v>
      </c>
      <c r="B1130" s="10">
        <v>35266</v>
      </c>
    </row>
    <row r="1131" spans="1:2" x14ac:dyDescent="0.3">
      <c r="A1131" s="5">
        <v>36717</v>
      </c>
      <c r="B1131" s="10">
        <v>34994</v>
      </c>
    </row>
    <row r="1132" spans="1:2" x14ac:dyDescent="0.3">
      <c r="A1132" s="5">
        <v>36718</v>
      </c>
      <c r="B1132" s="10">
        <v>35165</v>
      </c>
    </row>
    <row r="1133" spans="1:2" x14ac:dyDescent="0.3">
      <c r="A1133" s="5">
        <v>36719</v>
      </c>
      <c r="B1133" s="10">
        <v>35137</v>
      </c>
    </row>
    <row r="1134" spans="1:2" x14ac:dyDescent="0.3">
      <c r="A1134" s="5">
        <v>36720</v>
      </c>
      <c r="B1134" s="10">
        <v>35207</v>
      </c>
    </row>
    <row r="1135" spans="1:2" x14ac:dyDescent="0.3">
      <c r="A1135" s="5">
        <v>36721</v>
      </c>
      <c r="B1135" s="10">
        <v>35818</v>
      </c>
    </row>
    <row r="1136" spans="1:2" x14ac:dyDescent="0.3">
      <c r="A1136" s="5">
        <v>36724</v>
      </c>
      <c r="B1136" s="10">
        <v>35944</v>
      </c>
    </row>
    <row r="1137" spans="1:2" x14ac:dyDescent="0.3">
      <c r="A1137" s="5">
        <v>36725</v>
      </c>
      <c r="B1137" s="10">
        <v>36068</v>
      </c>
    </row>
    <row r="1138" spans="1:2" x14ac:dyDescent="0.3">
      <c r="A1138" s="5">
        <v>36726</v>
      </c>
      <c r="B1138" s="10">
        <v>36282</v>
      </c>
    </row>
    <row r="1139" spans="1:2" x14ac:dyDescent="0.3">
      <c r="A1139" s="5">
        <v>36727</v>
      </c>
      <c r="B1139" s="10">
        <v>36508</v>
      </c>
    </row>
    <row r="1140" spans="1:2" x14ac:dyDescent="0.3">
      <c r="A1140" s="5">
        <v>36728</v>
      </c>
      <c r="B1140" s="10">
        <v>37283</v>
      </c>
    </row>
    <row r="1141" spans="1:2" x14ac:dyDescent="0.3">
      <c r="A1141" s="5">
        <v>36731</v>
      </c>
      <c r="B1141" s="10">
        <v>34258</v>
      </c>
    </row>
    <row r="1142" spans="1:2" x14ac:dyDescent="0.3">
      <c r="A1142" s="5">
        <v>36732</v>
      </c>
      <c r="B1142" s="10">
        <v>34312</v>
      </c>
    </row>
    <row r="1143" spans="1:2" x14ac:dyDescent="0.3">
      <c r="A1143" s="5">
        <v>36733</v>
      </c>
      <c r="B1143" s="10">
        <v>34168</v>
      </c>
    </row>
    <row r="1144" spans="1:2" x14ac:dyDescent="0.3">
      <c r="A1144" s="5">
        <v>36734</v>
      </c>
      <c r="B1144" s="10">
        <v>34187</v>
      </c>
    </row>
    <row r="1145" spans="1:2" x14ac:dyDescent="0.3">
      <c r="A1145" s="5">
        <v>36735</v>
      </c>
      <c r="B1145" s="10">
        <v>34068</v>
      </c>
    </row>
    <row r="1146" spans="1:2" x14ac:dyDescent="0.3">
      <c r="A1146" s="5">
        <v>36738</v>
      </c>
      <c r="B1146" s="10">
        <v>33845</v>
      </c>
    </row>
    <row r="1147" spans="1:2" x14ac:dyDescent="0.3">
      <c r="A1147" s="5">
        <v>36739</v>
      </c>
      <c r="B1147" s="10">
        <v>34495</v>
      </c>
    </row>
    <row r="1148" spans="1:2" x14ac:dyDescent="0.3">
      <c r="A1148" s="5">
        <v>36740</v>
      </c>
      <c r="B1148" s="10">
        <v>34643</v>
      </c>
    </row>
    <row r="1149" spans="1:2" x14ac:dyDescent="0.3">
      <c r="A1149" s="5">
        <v>36741</v>
      </c>
      <c r="B1149" s="10">
        <v>34564</v>
      </c>
    </row>
    <row r="1150" spans="1:2" x14ac:dyDescent="0.3">
      <c r="A1150" s="5">
        <v>36742</v>
      </c>
      <c r="B1150" s="10">
        <v>34295</v>
      </c>
    </row>
    <row r="1151" spans="1:2" x14ac:dyDescent="0.3">
      <c r="A1151" s="5">
        <v>36745</v>
      </c>
      <c r="B1151" s="10">
        <v>34267</v>
      </c>
    </row>
    <row r="1152" spans="1:2" x14ac:dyDescent="0.3">
      <c r="A1152" s="5">
        <v>36746</v>
      </c>
      <c r="B1152" s="10">
        <v>33979</v>
      </c>
    </row>
    <row r="1153" spans="1:2" x14ac:dyDescent="0.3">
      <c r="A1153" s="5">
        <v>36747</v>
      </c>
      <c r="B1153" s="10">
        <v>33874</v>
      </c>
    </row>
    <row r="1154" spans="1:2" x14ac:dyDescent="0.3">
      <c r="A1154" s="5">
        <v>36748</v>
      </c>
      <c r="B1154" s="10">
        <v>33780</v>
      </c>
    </row>
    <row r="1155" spans="1:2" x14ac:dyDescent="0.3">
      <c r="A1155" s="5">
        <v>36749</v>
      </c>
      <c r="B1155" s="10">
        <v>33468</v>
      </c>
    </row>
    <row r="1156" spans="1:2" x14ac:dyDescent="0.3">
      <c r="A1156" s="5">
        <v>36752</v>
      </c>
      <c r="B1156" s="10">
        <v>33441</v>
      </c>
    </row>
    <row r="1157" spans="1:2" x14ac:dyDescent="0.3">
      <c r="A1157" s="5">
        <v>36753</v>
      </c>
      <c r="B1157" s="10">
        <v>33483</v>
      </c>
    </row>
    <row r="1158" spans="1:2" x14ac:dyDescent="0.3">
      <c r="A1158" s="5">
        <v>36754</v>
      </c>
      <c r="B1158" s="10">
        <v>33534</v>
      </c>
    </row>
    <row r="1159" spans="1:2" x14ac:dyDescent="0.3">
      <c r="A1159" s="5">
        <v>36755</v>
      </c>
      <c r="B1159" s="10">
        <v>33679</v>
      </c>
    </row>
    <row r="1160" spans="1:2" x14ac:dyDescent="0.3">
      <c r="A1160" s="5">
        <v>36756</v>
      </c>
      <c r="B1160" s="10">
        <v>33121</v>
      </c>
    </row>
    <row r="1161" spans="1:2" x14ac:dyDescent="0.3">
      <c r="A1161" s="5">
        <v>36760</v>
      </c>
      <c r="B1161" s="10">
        <v>33284</v>
      </c>
    </row>
    <row r="1162" spans="1:2" x14ac:dyDescent="0.3">
      <c r="A1162" s="5">
        <v>36761</v>
      </c>
      <c r="B1162" s="10">
        <v>33429</v>
      </c>
    </row>
    <row r="1163" spans="1:2" x14ac:dyDescent="0.3">
      <c r="A1163" s="5">
        <v>36762</v>
      </c>
      <c r="B1163" s="10">
        <v>33193</v>
      </c>
    </row>
    <row r="1164" spans="1:2" x14ac:dyDescent="0.3">
      <c r="A1164" s="5">
        <v>36763</v>
      </c>
      <c r="B1164" s="10">
        <v>32678</v>
      </c>
    </row>
    <row r="1165" spans="1:2" x14ac:dyDescent="0.3">
      <c r="A1165" s="5">
        <v>36766</v>
      </c>
      <c r="B1165" s="10">
        <v>32819</v>
      </c>
    </row>
    <row r="1166" spans="1:2" x14ac:dyDescent="0.3">
      <c r="A1166" s="5">
        <v>36767</v>
      </c>
      <c r="B1166" s="10">
        <v>32007</v>
      </c>
    </row>
    <row r="1167" spans="1:2" x14ac:dyDescent="0.3">
      <c r="A1167" s="5">
        <v>36768</v>
      </c>
      <c r="B1167" s="10">
        <v>32062</v>
      </c>
    </row>
    <row r="1168" spans="1:2" x14ac:dyDescent="0.3">
      <c r="A1168" s="5">
        <v>36769</v>
      </c>
      <c r="B1168" s="10">
        <v>31831</v>
      </c>
    </row>
    <row r="1169" spans="1:2" x14ac:dyDescent="0.3">
      <c r="A1169" s="5">
        <v>36770</v>
      </c>
      <c r="B1169" s="10">
        <v>32574</v>
      </c>
    </row>
    <row r="1170" spans="1:2" x14ac:dyDescent="0.3">
      <c r="A1170" s="5">
        <v>36773</v>
      </c>
      <c r="B1170" s="10">
        <v>32589</v>
      </c>
    </row>
    <row r="1171" spans="1:2" x14ac:dyDescent="0.3">
      <c r="A1171" s="5">
        <v>36774</v>
      </c>
      <c r="B1171" s="10">
        <v>32839</v>
      </c>
    </row>
    <row r="1172" spans="1:2" x14ac:dyDescent="0.3">
      <c r="A1172" s="5">
        <v>36775</v>
      </c>
      <c r="B1172" s="10">
        <v>32976</v>
      </c>
    </row>
    <row r="1173" spans="1:2" x14ac:dyDescent="0.3">
      <c r="A1173" s="5">
        <v>36776</v>
      </c>
      <c r="B1173" s="10">
        <v>32967</v>
      </c>
    </row>
    <row r="1174" spans="1:2" x14ac:dyDescent="0.3">
      <c r="A1174" s="5">
        <v>36777</v>
      </c>
      <c r="B1174" s="10">
        <v>33331</v>
      </c>
    </row>
    <row r="1175" spans="1:2" x14ac:dyDescent="0.3">
      <c r="A1175" s="5">
        <v>36780</v>
      </c>
      <c r="B1175" s="10">
        <v>33739</v>
      </c>
    </row>
    <row r="1176" spans="1:2" x14ac:dyDescent="0.3">
      <c r="A1176" s="5">
        <v>36781</v>
      </c>
      <c r="B1176" s="10">
        <v>33607</v>
      </c>
    </row>
    <row r="1177" spans="1:2" x14ac:dyDescent="0.3">
      <c r="A1177" s="5">
        <v>36782</v>
      </c>
      <c r="B1177" s="10">
        <v>33620</v>
      </c>
    </row>
    <row r="1178" spans="1:2" x14ac:dyDescent="0.3">
      <c r="A1178" s="5">
        <v>36783</v>
      </c>
      <c r="B1178" s="10">
        <v>33632</v>
      </c>
    </row>
    <row r="1179" spans="1:2" x14ac:dyDescent="0.3">
      <c r="A1179" s="5">
        <v>36784</v>
      </c>
      <c r="B1179" s="10">
        <v>33022</v>
      </c>
    </row>
    <row r="1180" spans="1:2" x14ac:dyDescent="0.3">
      <c r="A1180" s="5">
        <v>36787</v>
      </c>
      <c r="B1180" s="10">
        <v>32953</v>
      </c>
    </row>
    <row r="1181" spans="1:2" x14ac:dyDescent="0.3">
      <c r="A1181" s="5">
        <v>36788</v>
      </c>
      <c r="B1181" s="10">
        <v>33216</v>
      </c>
    </row>
    <row r="1182" spans="1:2" x14ac:dyDescent="0.3">
      <c r="A1182" s="5">
        <v>36789</v>
      </c>
      <c r="B1182" s="10">
        <v>33460</v>
      </c>
    </row>
    <row r="1183" spans="1:2" x14ac:dyDescent="0.3">
      <c r="A1183" s="5">
        <v>36790</v>
      </c>
      <c r="B1183" s="10">
        <v>33956</v>
      </c>
    </row>
    <row r="1184" spans="1:2" x14ac:dyDescent="0.3">
      <c r="A1184" s="5">
        <v>36791</v>
      </c>
      <c r="B1184" s="10">
        <v>34139</v>
      </c>
    </row>
    <row r="1185" spans="1:2" x14ac:dyDescent="0.3">
      <c r="A1185" s="5">
        <v>36794</v>
      </c>
      <c r="B1185" s="10">
        <v>33922</v>
      </c>
    </row>
    <row r="1186" spans="1:2" x14ac:dyDescent="0.3">
      <c r="A1186" s="5">
        <v>36795</v>
      </c>
      <c r="B1186" s="10">
        <v>34674</v>
      </c>
    </row>
    <row r="1187" spans="1:2" x14ac:dyDescent="0.3">
      <c r="A1187" s="5">
        <v>36796</v>
      </c>
      <c r="B1187" s="10">
        <v>34950</v>
      </c>
    </row>
    <row r="1188" spans="1:2" x14ac:dyDescent="0.3">
      <c r="A1188" s="5">
        <v>36797</v>
      </c>
      <c r="B1188" s="10">
        <v>33879</v>
      </c>
    </row>
    <row r="1189" spans="1:2" x14ac:dyDescent="0.3">
      <c r="A1189" s="5">
        <v>36798</v>
      </c>
      <c r="B1189" s="10">
        <v>33219</v>
      </c>
    </row>
    <row r="1190" spans="1:2" x14ac:dyDescent="0.3">
      <c r="A1190" s="5">
        <v>36801</v>
      </c>
      <c r="B1190" s="10">
        <v>33555</v>
      </c>
    </row>
    <row r="1191" spans="1:2" x14ac:dyDescent="0.3">
      <c r="A1191" s="5">
        <v>36802</v>
      </c>
      <c r="B1191" s="10">
        <v>34352</v>
      </c>
    </row>
    <row r="1192" spans="1:2" x14ac:dyDescent="0.3">
      <c r="A1192" s="5">
        <v>36803</v>
      </c>
      <c r="B1192" s="10">
        <v>34589</v>
      </c>
    </row>
    <row r="1193" spans="1:2" x14ac:dyDescent="0.3">
      <c r="A1193" s="5">
        <v>36804</v>
      </c>
      <c r="B1193" s="10">
        <v>34592</v>
      </c>
    </row>
    <row r="1194" spans="1:2" x14ac:dyDescent="0.3">
      <c r="A1194" s="5">
        <v>36805</v>
      </c>
      <c r="B1194" s="10">
        <v>34750</v>
      </c>
    </row>
    <row r="1195" spans="1:2" x14ac:dyDescent="0.3">
      <c r="A1195" s="5">
        <v>36808</v>
      </c>
      <c r="B1195" s="10">
        <v>34735</v>
      </c>
    </row>
    <row r="1196" spans="1:2" x14ac:dyDescent="0.3">
      <c r="A1196" s="5">
        <v>36809</v>
      </c>
      <c r="B1196" s="10">
        <v>34216</v>
      </c>
    </row>
    <row r="1197" spans="1:2" x14ac:dyDescent="0.3">
      <c r="A1197" s="5">
        <v>36810</v>
      </c>
      <c r="B1197" s="10">
        <v>34149</v>
      </c>
    </row>
    <row r="1198" spans="1:2" x14ac:dyDescent="0.3">
      <c r="A1198" s="5">
        <v>36811</v>
      </c>
      <c r="B1198" s="10">
        <v>34390</v>
      </c>
    </row>
    <row r="1199" spans="1:2" x14ac:dyDescent="0.3">
      <c r="A1199" s="5">
        <v>36812</v>
      </c>
      <c r="B1199" s="10">
        <v>33926</v>
      </c>
    </row>
    <row r="1200" spans="1:2" x14ac:dyDescent="0.3">
      <c r="A1200" s="5">
        <v>36816</v>
      </c>
      <c r="B1200" s="10">
        <v>33572</v>
      </c>
    </row>
    <row r="1201" spans="1:2" x14ac:dyDescent="0.3">
      <c r="A1201" s="5">
        <v>36817</v>
      </c>
      <c r="B1201" s="10">
        <v>33663</v>
      </c>
    </row>
    <row r="1202" spans="1:2" x14ac:dyDescent="0.3">
      <c r="A1202" s="5">
        <v>36818</v>
      </c>
      <c r="B1202" s="10">
        <v>33611</v>
      </c>
    </row>
    <row r="1203" spans="1:2" x14ac:dyDescent="0.3">
      <c r="A1203" s="5">
        <v>36819</v>
      </c>
      <c r="B1203" s="10">
        <v>33535</v>
      </c>
    </row>
    <row r="1204" spans="1:2" x14ac:dyDescent="0.3">
      <c r="A1204" s="5">
        <v>36822</v>
      </c>
      <c r="B1204" s="10">
        <v>33253</v>
      </c>
    </row>
    <row r="1205" spans="1:2" x14ac:dyDescent="0.3">
      <c r="A1205" s="5">
        <v>36823</v>
      </c>
      <c r="B1205" s="10">
        <v>33114</v>
      </c>
    </row>
    <row r="1206" spans="1:2" x14ac:dyDescent="0.3">
      <c r="A1206" s="5">
        <v>36824</v>
      </c>
      <c r="B1206" s="10">
        <v>32828</v>
      </c>
    </row>
    <row r="1207" spans="1:2" x14ac:dyDescent="0.3">
      <c r="A1207" s="5">
        <v>36825</v>
      </c>
      <c r="B1207" s="10">
        <v>32702</v>
      </c>
    </row>
    <row r="1208" spans="1:2" x14ac:dyDescent="0.3">
      <c r="A1208" s="5">
        <v>36826</v>
      </c>
      <c r="B1208" s="10">
        <v>32798</v>
      </c>
    </row>
    <row r="1209" spans="1:2" x14ac:dyDescent="0.3">
      <c r="A1209" s="5">
        <v>36829</v>
      </c>
      <c r="B1209" s="10">
        <v>32103</v>
      </c>
    </row>
    <row r="1210" spans="1:2" x14ac:dyDescent="0.3">
      <c r="A1210" s="5">
        <v>36830</v>
      </c>
      <c r="B1210" s="10">
        <v>31751</v>
      </c>
    </row>
    <row r="1211" spans="1:2" x14ac:dyDescent="0.3">
      <c r="A1211" s="5">
        <v>36831</v>
      </c>
      <c r="B1211" s="10">
        <v>32806</v>
      </c>
    </row>
    <row r="1212" spans="1:2" x14ac:dyDescent="0.3">
      <c r="A1212" s="5">
        <v>36832</v>
      </c>
      <c r="B1212" s="10">
        <v>33108</v>
      </c>
    </row>
    <row r="1213" spans="1:2" x14ac:dyDescent="0.3">
      <c r="A1213" s="5">
        <v>36833</v>
      </c>
      <c r="B1213" s="10">
        <v>33289</v>
      </c>
    </row>
    <row r="1214" spans="1:2" x14ac:dyDescent="0.3">
      <c r="A1214" s="5">
        <v>36837</v>
      </c>
      <c r="B1214" s="10">
        <v>33232</v>
      </c>
    </row>
    <row r="1215" spans="1:2" x14ac:dyDescent="0.3">
      <c r="A1215" s="5">
        <v>36838</v>
      </c>
      <c r="B1215" s="10">
        <v>33166</v>
      </c>
    </row>
    <row r="1216" spans="1:2" x14ac:dyDescent="0.3">
      <c r="A1216" s="5">
        <v>36839</v>
      </c>
      <c r="B1216" s="10">
        <v>32957</v>
      </c>
    </row>
    <row r="1217" spans="1:2" x14ac:dyDescent="0.3">
      <c r="A1217" s="5">
        <v>36840</v>
      </c>
      <c r="B1217" s="10">
        <v>31927</v>
      </c>
    </row>
    <row r="1218" spans="1:2" x14ac:dyDescent="0.3">
      <c r="A1218" s="5">
        <v>36843</v>
      </c>
      <c r="B1218" s="10">
        <v>31750</v>
      </c>
    </row>
    <row r="1219" spans="1:2" x14ac:dyDescent="0.3">
      <c r="A1219" s="5">
        <v>36844</v>
      </c>
      <c r="B1219" s="10">
        <v>31415</v>
      </c>
    </row>
    <row r="1220" spans="1:2" x14ac:dyDescent="0.3">
      <c r="A1220" s="5">
        <v>36845</v>
      </c>
      <c r="B1220" s="10">
        <v>31013</v>
      </c>
    </row>
    <row r="1221" spans="1:2" x14ac:dyDescent="0.3">
      <c r="A1221" s="5">
        <v>36846</v>
      </c>
      <c r="B1221" s="10">
        <v>30939</v>
      </c>
    </row>
    <row r="1222" spans="1:2" x14ac:dyDescent="0.3">
      <c r="A1222" s="5">
        <v>36847</v>
      </c>
      <c r="B1222" s="10">
        <v>30835</v>
      </c>
    </row>
    <row r="1223" spans="1:2" x14ac:dyDescent="0.3">
      <c r="A1223" s="5">
        <v>36850</v>
      </c>
      <c r="B1223" s="10">
        <v>30691</v>
      </c>
    </row>
    <row r="1224" spans="1:2" x14ac:dyDescent="0.3">
      <c r="A1224" s="5">
        <v>36851</v>
      </c>
      <c r="B1224" s="10">
        <v>30922</v>
      </c>
    </row>
    <row r="1225" spans="1:2" x14ac:dyDescent="0.3">
      <c r="A1225" s="5">
        <v>36852</v>
      </c>
      <c r="B1225" s="10">
        <v>30802</v>
      </c>
    </row>
    <row r="1226" spans="1:2" x14ac:dyDescent="0.3">
      <c r="A1226" s="5">
        <v>36853</v>
      </c>
      <c r="B1226" s="10">
        <v>30811</v>
      </c>
    </row>
    <row r="1227" spans="1:2" x14ac:dyDescent="0.3">
      <c r="A1227" s="5">
        <v>36854</v>
      </c>
      <c r="B1227" s="10">
        <v>29946</v>
      </c>
    </row>
    <row r="1228" spans="1:2" x14ac:dyDescent="0.3">
      <c r="A1228" s="5">
        <v>36857</v>
      </c>
      <c r="B1228" s="10">
        <v>29777</v>
      </c>
    </row>
    <row r="1229" spans="1:2" x14ac:dyDescent="0.3">
      <c r="A1229" s="5">
        <v>36858</v>
      </c>
      <c r="B1229" s="10">
        <v>29703</v>
      </c>
    </row>
    <row r="1230" spans="1:2" x14ac:dyDescent="0.3">
      <c r="A1230" s="5">
        <v>36859</v>
      </c>
      <c r="B1230" s="10">
        <v>29377</v>
      </c>
    </row>
    <row r="1231" spans="1:2" x14ac:dyDescent="0.3">
      <c r="A1231" s="5">
        <v>36860</v>
      </c>
      <c r="B1231" s="10">
        <v>29571</v>
      </c>
    </row>
    <row r="1232" spans="1:2" x14ac:dyDescent="0.3">
      <c r="A1232" s="5">
        <v>36861</v>
      </c>
      <c r="B1232" s="10">
        <v>30222</v>
      </c>
    </row>
    <row r="1233" spans="1:2" x14ac:dyDescent="0.3">
      <c r="A1233" s="5">
        <v>36864</v>
      </c>
      <c r="B1233" s="10">
        <v>30293</v>
      </c>
    </row>
    <row r="1234" spans="1:2" x14ac:dyDescent="0.3">
      <c r="A1234" s="5">
        <v>36865</v>
      </c>
      <c r="B1234" s="10">
        <v>30772</v>
      </c>
    </row>
    <row r="1235" spans="1:2" x14ac:dyDescent="0.3">
      <c r="A1235" s="5">
        <v>36866</v>
      </c>
      <c r="B1235" s="10">
        <v>31090</v>
      </c>
    </row>
    <row r="1236" spans="1:2" x14ac:dyDescent="0.3">
      <c r="A1236" s="5">
        <v>36867</v>
      </c>
      <c r="B1236" s="10">
        <v>31284</v>
      </c>
    </row>
    <row r="1237" spans="1:2" x14ac:dyDescent="0.3">
      <c r="A1237" s="5">
        <v>36871</v>
      </c>
      <c r="B1237" s="10">
        <v>31440</v>
      </c>
    </row>
    <row r="1238" spans="1:2" x14ac:dyDescent="0.3">
      <c r="A1238" s="5">
        <v>36872</v>
      </c>
      <c r="B1238" s="10">
        <v>31251</v>
      </c>
    </row>
    <row r="1239" spans="1:2" x14ac:dyDescent="0.3">
      <c r="A1239" s="5">
        <v>36873</v>
      </c>
      <c r="B1239" s="10">
        <v>31935</v>
      </c>
    </row>
    <row r="1240" spans="1:2" x14ac:dyDescent="0.3">
      <c r="A1240" s="5">
        <v>36874</v>
      </c>
      <c r="B1240" s="10">
        <v>32149</v>
      </c>
    </row>
    <row r="1241" spans="1:2" x14ac:dyDescent="0.3">
      <c r="A1241" s="5">
        <v>36875</v>
      </c>
      <c r="B1241" s="10">
        <v>31930</v>
      </c>
    </row>
    <row r="1242" spans="1:2" x14ac:dyDescent="0.3">
      <c r="A1242" s="5">
        <v>36878</v>
      </c>
      <c r="B1242" s="10">
        <v>31941</v>
      </c>
    </row>
    <row r="1243" spans="1:2" x14ac:dyDescent="0.3">
      <c r="A1243" s="5">
        <v>36879</v>
      </c>
      <c r="B1243" s="10">
        <v>31928</v>
      </c>
    </row>
    <row r="1244" spans="1:2" x14ac:dyDescent="0.3">
      <c r="A1244" s="5">
        <v>36880</v>
      </c>
      <c r="B1244" s="10">
        <v>32080</v>
      </c>
    </row>
    <row r="1245" spans="1:2" x14ac:dyDescent="0.3">
      <c r="A1245" s="5">
        <v>36881</v>
      </c>
      <c r="B1245" s="10">
        <v>34283</v>
      </c>
    </row>
    <row r="1246" spans="1:2" x14ac:dyDescent="0.3">
      <c r="A1246" s="5">
        <v>36882</v>
      </c>
      <c r="B1246" s="10">
        <v>34654</v>
      </c>
    </row>
    <row r="1247" spans="1:2" x14ac:dyDescent="0.3">
      <c r="A1247" s="5">
        <v>36886</v>
      </c>
      <c r="B1247" s="10">
        <v>34698</v>
      </c>
    </row>
    <row r="1248" spans="1:2" x14ac:dyDescent="0.3">
      <c r="A1248" s="5">
        <v>36887</v>
      </c>
      <c r="B1248" s="10">
        <v>34627</v>
      </c>
    </row>
    <row r="1249" spans="1:2" x14ac:dyDescent="0.3">
      <c r="A1249" s="5">
        <v>36891</v>
      </c>
      <c r="B1249" s="10">
        <v>34234</v>
      </c>
    </row>
    <row r="1250" spans="1:2" x14ac:dyDescent="0.3">
      <c r="A1250" s="5">
        <v>36893</v>
      </c>
      <c r="B1250" s="10">
        <v>34591</v>
      </c>
    </row>
    <row r="1251" spans="1:2" x14ac:dyDescent="0.3">
      <c r="A1251" s="5">
        <v>36894</v>
      </c>
      <c r="B1251" s="10">
        <v>34574</v>
      </c>
    </row>
    <row r="1252" spans="1:2" x14ac:dyDescent="0.3">
      <c r="A1252" s="5">
        <v>36895</v>
      </c>
      <c r="B1252" s="10">
        <v>34583</v>
      </c>
    </row>
    <row r="1253" spans="1:2" x14ac:dyDescent="0.3">
      <c r="A1253" s="5">
        <v>36896</v>
      </c>
      <c r="B1253" s="10">
        <v>34578</v>
      </c>
    </row>
    <row r="1254" spans="1:2" x14ac:dyDescent="0.3">
      <c r="A1254" s="5">
        <v>36899</v>
      </c>
      <c r="B1254" s="10">
        <v>34753</v>
      </c>
    </row>
    <row r="1255" spans="1:2" x14ac:dyDescent="0.3">
      <c r="A1255" s="5">
        <v>36900</v>
      </c>
      <c r="B1255" s="10">
        <v>34838</v>
      </c>
    </row>
    <row r="1256" spans="1:2" x14ac:dyDescent="0.3">
      <c r="A1256" s="5">
        <v>36901</v>
      </c>
      <c r="B1256" s="10">
        <v>34902</v>
      </c>
    </row>
    <row r="1257" spans="1:2" x14ac:dyDescent="0.3">
      <c r="A1257" s="5">
        <v>36902</v>
      </c>
      <c r="B1257" s="10">
        <v>34587</v>
      </c>
    </row>
    <row r="1258" spans="1:2" x14ac:dyDescent="0.3">
      <c r="A1258" s="5">
        <v>36903</v>
      </c>
      <c r="B1258" s="10">
        <v>34878</v>
      </c>
    </row>
    <row r="1259" spans="1:2" x14ac:dyDescent="0.3">
      <c r="A1259" s="5">
        <v>36906</v>
      </c>
      <c r="B1259" s="10">
        <v>34884</v>
      </c>
    </row>
    <row r="1260" spans="1:2" x14ac:dyDescent="0.3">
      <c r="A1260" s="5">
        <v>36907</v>
      </c>
      <c r="B1260" s="10">
        <v>34432</v>
      </c>
    </row>
    <row r="1261" spans="1:2" x14ac:dyDescent="0.3">
      <c r="A1261" s="5">
        <v>36908</v>
      </c>
      <c r="B1261" s="10">
        <v>34533</v>
      </c>
    </row>
    <row r="1262" spans="1:2" x14ac:dyDescent="0.3">
      <c r="A1262" s="5">
        <v>36909</v>
      </c>
      <c r="B1262" s="10">
        <v>37380</v>
      </c>
    </row>
    <row r="1263" spans="1:2" x14ac:dyDescent="0.3">
      <c r="A1263" s="5">
        <v>36910</v>
      </c>
      <c r="B1263" s="10">
        <v>37249</v>
      </c>
    </row>
    <row r="1264" spans="1:2" x14ac:dyDescent="0.3">
      <c r="A1264" s="5">
        <v>36913</v>
      </c>
      <c r="B1264" s="10">
        <v>36864</v>
      </c>
    </row>
    <row r="1265" spans="1:2" x14ac:dyDescent="0.3">
      <c r="A1265" s="5">
        <v>36914</v>
      </c>
      <c r="B1265" s="10">
        <v>36835</v>
      </c>
    </row>
    <row r="1266" spans="1:2" x14ac:dyDescent="0.3">
      <c r="A1266" s="5">
        <v>36915</v>
      </c>
      <c r="B1266" s="10">
        <v>36791</v>
      </c>
    </row>
    <row r="1267" spans="1:2" x14ac:dyDescent="0.3">
      <c r="A1267" s="5">
        <v>36916</v>
      </c>
      <c r="B1267" s="10">
        <v>36807</v>
      </c>
    </row>
    <row r="1268" spans="1:2" x14ac:dyDescent="0.3">
      <c r="A1268" s="5">
        <v>36917</v>
      </c>
      <c r="B1268" s="10">
        <v>36749</v>
      </c>
    </row>
    <row r="1269" spans="1:2" x14ac:dyDescent="0.3">
      <c r="A1269" s="5">
        <v>36920</v>
      </c>
      <c r="B1269" s="10">
        <v>36631</v>
      </c>
    </row>
    <row r="1270" spans="1:2" x14ac:dyDescent="0.3">
      <c r="A1270" s="5">
        <v>36921</v>
      </c>
      <c r="B1270" s="10">
        <v>36131</v>
      </c>
    </row>
    <row r="1271" spans="1:2" x14ac:dyDescent="0.3">
      <c r="A1271" s="5">
        <v>36922</v>
      </c>
      <c r="B1271" s="10">
        <v>36153</v>
      </c>
    </row>
    <row r="1272" spans="1:2" x14ac:dyDescent="0.3">
      <c r="A1272" s="5">
        <v>36923</v>
      </c>
      <c r="B1272" s="10">
        <v>37086</v>
      </c>
    </row>
    <row r="1273" spans="1:2" x14ac:dyDescent="0.3">
      <c r="A1273" s="5">
        <v>36924</v>
      </c>
      <c r="B1273" s="10">
        <v>37194</v>
      </c>
    </row>
    <row r="1274" spans="1:2" x14ac:dyDescent="0.3">
      <c r="A1274" s="5">
        <v>36927</v>
      </c>
      <c r="B1274" s="10">
        <v>37034</v>
      </c>
    </row>
    <row r="1275" spans="1:2" x14ac:dyDescent="0.3">
      <c r="A1275" s="5">
        <v>36928</v>
      </c>
      <c r="B1275" s="10">
        <v>36992</v>
      </c>
    </row>
    <row r="1276" spans="1:2" x14ac:dyDescent="0.3">
      <c r="A1276" s="5">
        <v>36929</v>
      </c>
      <c r="B1276" s="10">
        <v>33764</v>
      </c>
    </row>
    <row r="1277" spans="1:2" x14ac:dyDescent="0.3">
      <c r="A1277" s="5">
        <v>36930</v>
      </c>
      <c r="B1277" s="10">
        <v>33708</v>
      </c>
    </row>
    <row r="1278" spans="1:2" x14ac:dyDescent="0.3">
      <c r="A1278" s="5">
        <v>36931</v>
      </c>
      <c r="B1278" s="10">
        <v>33776</v>
      </c>
    </row>
    <row r="1279" spans="1:2" x14ac:dyDescent="0.3">
      <c r="A1279" s="5">
        <v>36934</v>
      </c>
      <c r="B1279" s="10">
        <v>33777</v>
      </c>
    </row>
    <row r="1280" spans="1:2" x14ac:dyDescent="0.3">
      <c r="A1280" s="5">
        <v>36935</v>
      </c>
      <c r="B1280" s="10">
        <v>33598</v>
      </c>
    </row>
    <row r="1281" spans="1:2" x14ac:dyDescent="0.3">
      <c r="A1281" s="5">
        <v>36936</v>
      </c>
      <c r="B1281" s="10">
        <v>33557</v>
      </c>
    </row>
    <row r="1282" spans="1:2" x14ac:dyDescent="0.3">
      <c r="A1282" s="5">
        <v>36937</v>
      </c>
      <c r="B1282" s="10">
        <v>33484</v>
      </c>
    </row>
    <row r="1283" spans="1:2" x14ac:dyDescent="0.3">
      <c r="A1283" s="5">
        <v>36938</v>
      </c>
      <c r="B1283" s="10">
        <v>33551</v>
      </c>
    </row>
    <row r="1284" spans="1:2" x14ac:dyDescent="0.3">
      <c r="A1284" s="5">
        <v>36941</v>
      </c>
      <c r="B1284" s="10">
        <v>33550</v>
      </c>
    </row>
    <row r="1285" spans="1:2" x14ac:dyDescent="0.3">
      <c r="A1285" s="5">
        <v>36942</v>
      </c>
      <c r="B1285" s="10">
        <v>33401</v>
      </c>
    </row>
    <row r="1286" spans="1:2" x14ac:dyDescent="0.3">
      <c r="A1286" s="5">
        <v>36943</v>
      </c>
      <c r="B1286" s="10">
        <v>33359</v>
      </c>
    </row>
    <row r="1287" spans="1:2" x14ac:dyDescent="0.3">
      <c r="A1287" s="5">
        <v>36944</v>
      </c>
      <c r="B1287" s="10">
        <v>33554</v>
      </c>
    </row>
    <row r="1288" spans="1:2" x14ac:dyDescent="0.3">
      <c r="A1288" s="5">
        <v>36945</v>
      </c>
      <c r="B1288" s="10">
        <v>33879</v>
      </c>
    </row>
    <row r="1289" spans="1:2" x14ac:dyDescent="0.3">
      <c r="A1289" s="5">
        <v>36948</v>
      </c>
      <c r="B1289" s="10">
        <v>33622</v>
      </c>
    </row>
    <row r="1290" spans="1:2" x14ac:dyDescent="0.3">
      <c r="A1290" s="5">
        <v>36949</v>
      </c>
      <c r="B1290" s="10">
        <v>33301</v>
      </c>
    </row>
    <row r="1291" spans="1:2" x14ac:dyDescent="0.3">
      <c r="A1291" s="5">
        <v>36950</v>
      </c>
      <c r="B1291" s="10">
        <v>33219</v>
      </c>
    </row>
    <row r="1292" spans="1:2" x14ac:dyDescent="0.3">
      <c r="A1292" s="5">
        <v>36951</v>
      </c>
      <c r="B1292" s="10">
        <v>35286</v>
      </c>
    </row>
    <row r="1293" spans="1:2" x14ac:dyDescent="0.3">
      <c r="A1293" s="5">
        <v>36952</v>
      </c>
      <c r="B1293" s="10">
        <v>35375</v>
      </c>
    </row>
    <row r="1294" spans="1:2" x14ac:dyDescent="0.3">
      <c r="A1294" s="5">
        <v>36955</v>
      </c>
      <c r="B1294" s="10">
        <v>34708</v>
      </c>
    </row>
    <row r="1295" spans="1:2" x14ac:dyDescent="0.3">
      <c r="A1295" s="5">
        <v>36956</v>
      </c>
      <c r="B1295" s="10">
        <v>35001</v>
      </c>
    </row>
    <row r="1296" spans="1:2" x14ac:dyDescent="0.3">
      <c r="A1296" s="5">
        <v>36957</v>
      </c>
      <c r="B1296" s="10">
        <v>34773</v>
      </c>
    </row>
    <row r="1297" spans="1:2" x14ac:dyDescent="0.3">
      <c r="A1297" s="5">
        <v>36958</v>
      </c>
      <c r="B1297" s="10">
        <v>34448</v>
      </c>
    </row>
    <row r="1298" spans="1:2" x14ac:dyDescent="0.3">
      <c r="A1298" s="5">
        <v>36959</v>
      </c>
      <c r="B1298" s="10">
        <v>34353</v>
      </c>
    </row>
    <row r="1299" spans="1:2" x14ac:dyDescent="0.3">
      <c r="A1299" s="5">
        <v>36962</v>
      </c>
      <c r="B1299" s="10">
        <v>34343</v>
      </c>
    </row>
    <row r="1300" spans="1:2" x14ac:dyDescent="0.3">
      <c r="A1300" s="5">
        <v>36963</v>
      </c>
      <c r="B1300" s="10">
        <v>34222</v>
      </c>
    </row>
    <row r="1301" spans="1:2" x14ac:dyDescent="0.3">
      <c r="A1301" s="5">
        <v>36964</v>
      </c>
      <c r="B1301" s="10">
        <v>34123</v>
      </c>
    </row>
    <row r="1302" spans="1:2" x14ac:dyDescent="0.3">
      <c r="A1302" s="5">
        <v>36965</v>
      </c>
      <c r="B1302" s="10">
        <v>33698</v>
      </c>
    </row>
    <row r="1303" spans="1:2" x14ac:dyDescent="0.3">
      <c r="A1303" s="5">
        <v>36966</v>
      </c>
      <c r="B1303" s="10">
        <v>32914</v>
      </c>
    </row>
    <row r="1304" spans="1:2" x14ac:dyDescent="0.3">
      <c r="A1304" s="5">
        <v>36969</v>
      </c>
      <c r="B1304" s="10">
        <v>32320</v>
      </c>
    </row>
    <row r="1305" spans="1:2" x14ac:dyDescent="0.3">
      <c r="A1305" s="5">
        <v>36970</v>
      </c>
      <c r="B1305" s="10">
        <v>31999</v>
      </c>
    </row>
    <row r="1306" spans="1:2" x14ac:dyDescent="0.3">
      <c r="A1306" s="5">
        <v>36971</v>
      </c>
      <c r="B1306" s="10">
        <v>31660</v>
      </c>
    </row>
    <row r="1307" spans="1:2" x14ac:dyDescent="0.3">
      <c r="A1307" s="5">
        <v>36972</v>
      </c>
      <c r="B1307" s="10">
        <v>31363</v>
      </c>
    </row>
    <row r="1308" spans="1:2" x14ac:dyDescent="0.3">
      <c r="A1308" s="5">
        <v>36973</v>
      </c>
      <c r="B1308" s="10">
        <v>30902</v>
      </c>
    </row>
    <row r="1309" spans="1:2" x14ac:dyDescent="0.3">
      <c r="A1309" s="5">
        <v>36976</v>
      </c>
      <c r="B1309" s="10">
        <v>30215</v>
      </c>
    </row>
    <row r="1310" spans="1:2" x14ac:dyDescent="0.3">
      <c r="A1310" s="5">
        <v>36977</v>
      </c>
      <c r="B1310" s="10">
        <v>30241</v>
      </c>
    </row>
    <row r="1311" spans="1:2" x14ac:dyDescent="0.3">
      <c r="A1311" s="5">
        <v>36978</v>
      </c>
      <c r="B1311" s="10">
        <v>30143</v>
      </c>
    </row>
    <row r="1312" spans="1:2" x14ac:dyDescent="0.3">
      <c r="A1312" s="5">
        <v>36979</v>
      </c>
      <c r="B1312" s="10">
        <v>29317</v>
      </c>
    </row>
    <row r="1313" spans="1:2" x14ac:dyDescent="0.3">
      <c r="A1313" s="5">
        <v>36980</v>
      </c>
      <c r="B1313" s="10">
        <v>29812</v>
      </c>
    </row>
    <row r="1314" spans="1:2" x14ac:dyDescent="0.3">
      <c r="A1314" s="5">
        <v>36984</v>
      </c>
      <c r="B1314" s="10">
        <v>29891</v>
      </c>
    </row>
    <row r="1315" spans="1:2" x14ac:dyDescent="0.3">
      <c r="A1315" s="5">
        <v>36985</v>
      </c>
      <c r="B1315" s="10">
        <v>30142</v>
      </c>
    </row>
    <row r="1316" spans="1:2" x14ac:dyDescent="0.3">
      <c r="A1316" s="5">
        <v>36986</v>
      </c>
      <c r="B1316" s="10">
        <v>29969</v>
      </c>
    </row>
    <row r="1317" spans="1:2" x14ac:dyDescent="0.3">
      <c r="A1317" s="5">
        <v>36987</v>
      </c>
      <c r="B1317" s="10">
        <v>30090</v>
      </c>
    </row>
    <row r="1318" spans="1:2" x14ac:dyDescent="0.3">
      <c r="A1318" s="5">
        <v>36990</v>
      </c>
      <c r="B1318" s="10">
        <v>29671</v>
      </c>
    </row>
    <row r="1319" spans="1:2" x14ac:dyDescent="0.3">
      <c r="A1319" s="5">
        <v>36991</v>
      </c>
      <c r="B1319" s="10">
        <v>30541</v>
      </c>
    </row>
    <row r="1320" spans="1:2" x14ac:dyDescent="0.3">
      <c r="A1320" s="5">
        <v>36992</v>
      </c>
      <c r="B1320" s="10">
        <v>30502</v>
      </c>
    </row>
    <row r="1321" spans="1:2" x14ac:dyDescent="0.3">
      <c r="A1321" s="5">
        <v>36997</v>
      </c>
      <c r="B1321" s="10">
        <v>28342</v>
      </c>
    </row>
    <row r="1322" spans="1:2" x14ac:dyDescent="0.3">
      <c r="A1322" s="5">
        <v>36998</v>
      </c>
      <c r="B1322" s="10">
        <v>28308</v>
      </c>
    </row>
    <row r="1323" spans="1:2" x14ac:dyDescent="0.3">
      <c r="A1323" s="5">
        <v>36999</v>
      </c>
      <c r="B1323" s="10">
        <v>28446</v>
      </c>
    </row>
    <row r="1324" spans="1:2" x14ac:dyDescent="0.3">
      <c r="A1324" s="5">
        <v>37000</v>
      </c>
      <c r="B1324" s="10">
        <v>28319</v>
      </c>
    </row>
    <row r="1325" spans="1:2" x14ac:dyDescent="0.3">
      <c r="A1325" s="5">
        <v>37001</v>
      </c>
      <c r="B1325" s="10">
        <v>28165</v>
      </c>
    </row>
    <row r="1326" spans="1:2" x14ac:dyDescent="0.3">
      <c r="A1326" s="5">
        <v>37004</v>
      </c>
      <c r="B1326" s="10">
        <v>27696</v>
      </c>
    </row>
    <row r="1327" spans="1:2" x14ac:dyDescent="0.3">
      <c r="A1327" s="5">
        <v>37005</v>
      </c>
      <c r="B1327" s="10">
        <v>27447</v>
      </c>
    </row>
    <row r="1328" spans="1:2" x14ac:dyDescent="0.3">
      <c r="A1328" s="5">
        <v>37006</v>
      </c>
      <c r="B1328" s="10">
        <v>27155</v>
      </c>
    </row>
    <row r="1329" spans="1:2" x14ac:dyDescent="0.3">
      <c r="A1329" s="5">
        <v>37007</v>
      </c>
      <c r="B1329" s="10">
        <v>27426</v>
      </c>
    </row>
    <row r="1330" spans="1:2" x14ac:dyDescent="0.3">
      <c r="A1330" s="5">
        <v>37008</v>
      </c>
      <c r="B1330" s="10">
        <v>27083</v>
      </c>
    </row>
    <row r="1331" spans="1:2" x14ac:dyDescent="0.3">
      <c r="A1331" s="5">
        <v>37011</v>
      </c>
      <c r="B1331" s="10">
        <v>26464</v>
      </c>
    </row>
    <row r="1332" spans="1:2" x14ac:dyDescent="0.3">
      <c r="A1332" s="5">
        <v>37013</v>
      </c>
      <c r="B1332" s="10">
        <v>26902</v>
      </c>
    </row>
    <row r="1333" spans="1:2" x14ac:dyDescent="0.3">
      <c r="A1333" s="5">
        <v>37014</v>
      </c>
      <c r="B1333" s="10">
        <v>27185</v>
      </c>
    </row>
    <row r="1334" spans="1:2" x14ac:dyDescent="0.3">
      <c r="A1334" s="5">
        <v>37015</v>
      </c>
      <c r="B1334" s="10">
        <v>27038</v>
      </c>
    </row>
    <row r="1335" spans="1:2" x14ac:dyDescent="0.3">
      <c r="A1335" s="5">
        <v>37018</v>
      </c>
      <c r="B1335" s="10">
        <v>26814</v>
      </c>
    </row>
    <row r="1336" spans="1:2" x14ac:dyDescent="0.3">
      <c r="A1336" s="5">
        <v>37019</v>
      </c>
      <c r="B1336" s="10">
        <v>26958</v>
      </c>
    </row>
    <row r="1337" spans="1:2" x14ac:dyDescent="0.3">
      <c r="A1337" s="5">
        <v>37020</v>
      </c>
      <c r="B1337" s="10">
        <v>26750</v>
      </c>
    </row>
    <row r="1338" spans="1:2" x14ac:dyDescent="0.3">
      <c r="A1338" s="5">
        <v>37021</v>
      </c>
      <c r="B1338" s="10">
        <v>25902</v>
      </c>
    </row>
    <row r="1339" spans="1:2" x14ac:dyDescent="0.3">
      <c r="A1339" s="5">
        <v>37022</v>
      </c>
      <c r="B1339" s="10">
        <v>26854</v>
      </c>
    </row>
    <row r="1340" spans="1:2" x14ac:dyDescent="0.3">
      <c r="A1340" s="5">
        <v>37025</v>
      </c>
      <c r="B1340" s="10">
        <v>27213</v>
      </c>
    </row>
    <row r="1341" spans="1:2" x14ac:dyDescent="0.3">
      <c r="A1341" s="5">
        <v>37026</v>
      </c>
      <c r="B1341" s="10">
        <v>26772</v>
      </c>
    </row>
    <row r="1342" spans="1:2" x14ac:dyDescent="0.3">
      <c r="A1342" s="5">
        <v>37027</v>
      </c>
      <c r="B1342" s="10">
        <v>26765</v>
      </c>
    </row>
    <row r="1343" spans="1:2" x14ac:dyDescent="0.3">
      <c r="A1343" s="5">
        <v>37028</v>
      </c>
      <c r="B1343" s="10">
        <v>26678</v>
      </c>
    </row>
    <row r="1344" spans="1:2" x14ac:dyDescent="0.3">
      <c r="A1344" s="5">
        <v>37029</v>
      </c>
      <c r="B1344" s="10">
        <v>26648</v>
      </c>
    </row>
    <row r="1345" spans="1:2" x14ac:dyDescent="0.3">
      <c r="A1345" s="5">
        <v>37032</v>
      </c>
      <c r="B1345" s="10">
        <v>26275</v>
      </c>
    </row>
    <row r="1346" spans="1:2" x14ac:dyDescent="0.3">
      <c r="A1346" s="5">
        <v>37033</v>
      </c>
      <c r="B1346" s="10">
        <v>26163</v>
      </c>
    </row>
    <row r="1347" spans="1:2" x14ac:dyDescent="0.3">
      <c r="A1347" s="5">
        <v>37034</v>
      </c>
      <c r="B1347" s="10">
        <v>27182</v>
      </c>
    </row>
    <row r="1348" spans="1:2" x14ac:dyDescent="0.3">
      <c r="A1348" s="5">
        <v>37035</v>
      </c>
      <c r="B1348" s="10">
        <v>26147</v>
      </c>
    </row>
    <row r="1349" spans="1:2" x14ac:dyDescent="0.3">
      <c r="A1349" s="5">
        <v>37039</v>
      </c>
      <c r="B1349" s="10">
        <v>26109</v>
      </c>
    </row>
    <row r="1350" spans="1:2" x14ac:dyDescent="0.3">
      <c r="A1350" s="5">
        <v>37040</v>
      </c>
      <c r="B1350" s="10">
        <v>26201</v>
      </c>
    </row>
    <row r="1351" spans="1:2" x14ac:dyDescent="0.3">
      <c r="A1351" s="5">
        <v>37041</v>
      </c>
      <c r="B1351" s="10">
        <v>25761</v>
      </c>
    </row>
    <row r="1352" spans="1:2" x14ac:dyDescent="0.3">
      <c r="A1352" s="5">
        <v>37042</v>
      </c>
      <c r="B1352" s="10">
        <v>25570</v>
      </c>
    </row>
    <row r="1353" spans="1:2" x14ac:dyDescent="0.3">
      <c r="A1353" s="5">
        <v>37043</v>
      </c>
      <c r="B1353" s="10">
        <v>26253</v>
      </c>
    </row>
    <row r="1354" spans="1:2" x14ac:dyDescent="0.3">
      <c r="A1354" s="5">
        <v>37046</v>
      </c>
      <c r="B1354" s="10">
        <v>26542</v>
      </c>
    </row>
    <row r="1355" spans="1:2" x14ac:dyDescent="0.3">
      <c r="A1355" s="5">
        <v>37047</v>
      </c>
      <c r="B1355" s="10">
        <v>26414</v>
      </c>
    </row>
    <row r="1356" spans="1:2" x14ac:dyDescent="0.3">
      <c r="A1356" s="5">
        <v>37048</v>
      </c>
      <c r="B1356" s="10">
        <v>26521</v>
      </c>
    </row>
    <row r="1357" spans="1:2" x14ac:dyDescent="0.3">
      <c r="A1357" s="5">
        <v>37049</v>
      </c>
      <c r="B1357" s="10">
        <v>26603</v>
      </c>
    </row>
    <row r="1358" spans="1:2" x14ac:dyDescent="0.3">
      <c r="A1358" s="5">
        <v>37050</v>
      </c>
      <c r="B1358" s="10">
        <v>26723</v>
      </c>
    </row>
    <row r="1359" spans="1:2" x14ac:dyDescent="0.3">
      <c r="A1359" s="5">
        <v>37053</v>
      </c>
      <c r="B1359" s="10">
        <v>26593</v>
      </c>
    </row>
    <row r="1360" spans="1:2" x14ac:dyDescent="0.3">
      <c r="A1360" s="5">
        <v>37054</v>
      </c>
      <c r="B1360" s="10">
        <v>26338</v>
      </c>
    </row>
    <row r="1361" spans="1:2" x14ac:dyDescent="0.3">
      <c r="A1361" s="5">
        <v>37055</v>
      </c>
      <c r="B1361" s="10">
        <v>26415</v>
      </c>
    </row>
    <row r="1362" spans="1:2" x14ac:dyDescent="0.3">
      <c r="A1362" s="5">
        <v>37056</v>
      </c>
      <c r="B1362" s="10">
        <v>26273</v>
      </c>
    </row>
    <row r="1363" spans="1:2" x14ac:dyDescent="0.3">
      <c r="A1363" s="5">
        <v>37057</v>
      </c>
      <c r="B1363" s="10">
        <v>26045</v>
      </c>
    </row>
    <row r="1364" spans="1:2" x14ac:dyDescent="0.3">
      <c r="A1364" s="5">
        <v>37061</v>
      </c>
      <c r="B1364" s="10">
        <v>25319</v>
      </c>
    </row>
    <row r="1365" spans="1:2" x14ac:dyDescent="0.3">
      <c r="A1365" s="5">
        <v>37062</v>
      </c>
      <c r="B1365" s="10">
        <v>26167</v>
      </c>
    </row>
    <row r="1366" spans="1:2" x14ac:dyDescent="0.3">
      <c r="A1366" s="5">
        <v>37063</v>
      </c>
      <c r="B1366" s="10">
        <v>26112</v>
      </c>
    </row>
    <row r="1367" spans="1:2" x14ac:dyDescent="0.3">
      <c r="A1367" s="5">
        <v>37064</v>
      </c>
      <c r="B1367" s="10">
        <v>26495</v>
      </c>
    </row>
    <row r="1368" spans="1:2" x14ac:dyDescent="0.3">
      <c r="A1368" s="5">
        <v>37067</v>
      </c>
      <c r="B1368" s="10">
        <v>26429</v>
      </c>
    </row>
    <row r="1369" spans="1:2" x14ac:dyDescent="0.3">
      <c r="A1369" s="5">
        <v>37068</v>
      </c>
      <c r="B1369" s="10">
        <v>26610</v>
      </c>
    </row>
    <row r="1370" spans="1:2" x14ac:dyDescent="0.3">
      <c r="A1370" s="5">
        <v>37069</v>
      </c>
      <c r="B1370" s="10">
        <v>26914</v>
      </c>
    </row>
    <row r="1371" spans="1:2" x14ac:dyDescent="0.3">
      <c r="A1371" s="5">
        <v>37070</v>
      </c>
      <c r="B1371" s="10">
        <v>27357</v>
      </c>
    </row>
    <row r="1372" spans="1:2" x14ac:dyDescent="0.3">
      <c r="A1372" s="5">
        <v>37071</v>
      </c>
      <c r="B1372" s="10">
        <v>27266</v>
      </c>
    </row>
    <row r="1373" spans="1:2" x14ac:dyDescent="0.3">
      <c r="A1373" s="5">
        <v>37074</v>
      </c>
      <c r="B1373" s="10">
        <v>27506</v>
      </c>
    </row>
    <row r="1374" spans="1:2" x14ac:dyDescent="0.3">
      <c r="A1374" s="5">
        <v>37075</v>
      </c>
      <c r="B1374" s="10">
        <v>27639</v>
      </c>
    </row>
    <row r="1375" spans="1:2" x14ac:dyDescent="0.3">
      <c r="A1375" s="5">
        <v>37076</v>
      </c>
      <c r="B1375" s="10">
        <v>27556</v>
      </c>
    </row>
    <row r="1376" spans="1:2" x14ac:dyDescent="0.3">
      <c r="A1376" s="5">
        <v>37077</v>
      </c>
      <c r="B1376" s="10">
        <v>27138</v>
      </c>
    </row>
    <row r="1377" spans="1:2" x14ac:dyDescent="0.3">
      <c r="A1377" s="5">
        <v>37078</v>
      </c>
      <c r="B1377" s="10">
        <v>26431</v>
      </c>
    </row>
    <row r="1378" spans="1:2" x14ac:dyDescent="0.3">
      <c r="A1378" s="5">
        <v>37082</v>
      </c>
      <c r="B1378" s="10">
        <v>26610</v>
      </c>
    </row>
    <row r="1379" spans="1:2" x14ac:dyDescent="0.3">
      <c r="A1379" s="5">
        <v>37083</v>
      </c>
      <c r="B1379" s="10">
        <v>25902</v>
      </c>
    </row>
    <row r="1380" spans="1:2" x14ac:dyDescent="0.3">
      <c r="A1380" s="5">
        <v>37084</v>
      </c>
      <c r="B1380" s="10">
        <v>24443</v>
      </c>
    </row>
    <row r="1381" spans="1:2" x14ac:dyDescent="0.3">
      <c r="A1381" s="5">
        <v>37085</v>
      </c>
      <c r="B1381" s="10">
        <v>23567</v>
      </c>
    </row>
    <row r="1382" spans="1:2" x14ac:dyDescent="0.3">
      <c r="A1382" s="5">
        <v>37088</v>
      </c>
      <c r="B1382" s="10">
        <v>23107</v>
      </c>
    </row>
    <row r="1383" spans="1:2" x14ac:dyDescent="0.3">
      <c r="A1383" s="5">
        <v>37089</v>
      </c>
      <c r="B1383" s="10">
        <v>23221</v>
      </c>
    </row>
    <row r="1384" spans="1:2" x14ac:dyDescent="0.3">
      <c r="A1384" s="5">
        <v>37090</v>
      </c>
      <c r="B1384" s="10">
        <v>23052</v>
      </c>
    </row>
    <row r="1385" spans="1:2" x14ac:dyDescent="0.3">
      <c r="A1385" s="5">
        <v>37091</v>
      </c>
      <c r="B1385" s="10">
        <v>23051</v>
      </c>
    </row>
    <row r="1386" spans="1:2" x14ac:dyDescent="0.3">
      <c r="A1386" s="5">
        <v>37092</v>
      </c>
      <c r="B1386" s="10">
        <v>22843</v>
      </c>
    </row>
    <row r="1387" spans="1:2" x14ac:dyDescent="0.3">
      <c r="A1387" s="5">
        <v>37095</v>
      </c>
      <c r="B1387" s="10">
        <v>22724</v>
      </c>
    </row>
    <row r="1388" spans="1:2" x14ac:dyDescent="0.3">
      <c r="A1388" s="5">
        <v>37096</v>
      </c>
      <c r="B1388" s="10">
        <v>22638</v>
      </c>
    </row>
    <row r="1389" spans="1:2" x14ac:dyDescent="0.3">
      <c r="A1389" s="5">
        <v>37097</v>
      </c>
      <c r="B1389" s="10">
        <v>22311</v>
      </c>
    </row>
    <row r="1390" spans="1:2" x14ac:dyDescent="0.3">
      <c r="A1390" s="5">
        <v>37098</v>
      </c>
      <c r="B1390" s="10">
        <v>22264</v>
      </c>
    </row>
    <row r="1391" spans="1:2" x14ac:dyDescent="0.3">
      <c r="A1391" s="5">
        <v>37099</v>
      </c>
      <c r="B1391" s="10">
        <v>21108</v>
      </c>
    </row>
    <row r="1392" spans="1:2" x14ac:dyDescent="0.3">
      <c r="A1392" s="5">
        <v>37102</v>
      </c>
      <c r="B1392" s="10">
        <v>20929</v>
      </c>
    </row>
    <row r="1393" spans="1:2" x14ac:dyDescent="0.3">
      <c r="A1393" s="5">
        <v>37103</v>
      </c>
      <c r="B1393" s="10">
        <v>20257</v>
      </c>
    </row>
    <row r="1394" spans="1:2" x14ac:dyDescent="0.3">
      <c r="A1394" s="5">
        <v>37104</v>
      </c>
      <c r="B1394" s="10">
        <v>19882</v>
      </c>
    </row>
    <row r="1395" spans="1:2" x14ac:dyDescent="0.3">
      <c r="A1395" s="5">
        <v>37105</v>
      </c>
      <c r="B1395" s="10">
        <v>19396</v>
      </c>
    </row>
    <row r="1396" spans="1:2" x14ac:dyDescent="0.3">
      <c r="A1396" s="5">
        <v>37106</v>
      </c>
      <c r="B1396" s="10">
        <v>18935</v>
      </c>
    </row>
    <row r="1397" spans="1:2" x14ac:dyDescent="0.3">
      <c r="A1397" s="5">
        <v>37109</v>
      </c>
      <c r="B1397" s="10">
        <v>18759</v>
      </c>
    </row>
    <row r="1398" spans="1:2" x14ac:dyDescent="0.3">
      <c r="A1398" s="5">
        <v>37110</v>
      </c>
      <c r="B1398" s="10">
        <v>19059</v>
      </c>
    </row>
    <row r="1399" spans="1:2" x14ac:dyDescent="0.3">
      <c r="A1399" s="5">
        <v>37111</v>
      </c>
      <c r="B1399" s="10">
        <v>18950</v>
      </c>
    </row>
    <row r="1400" spans="1:2" x14ac:dyDescent="0.3">
      <c r="A1400" s="5">
        <v>37112</v>
      </c>
      <c r="B1400" s="10">
        <v>18933</v>
      </c>
    </row>
    <row r="1401" spans="1:2" x14ac:dyDescent="0.3">
      <c r="A1401" s="5">
        <v>37113</v>
      </c>
      <c r="B1401" s="10">
        <v>19366</v>
      </c>
    </row>
    <row r="1402" spans="1:2" x14ac:dyDescent="0.3">
      <c r="A1402" s="5">
        <v>37116</v>
      </c>
      <c r="B1402" s="10">
        <v>19452</v>
      </c>
    </row>
    <row r="1403" spans="1:2" x14ac:dyDescent="0.3">
      <c r="A1403" s="5">
        <v>37117</v>
      </c>
      <c r="B1403" s="10">
        <v>19479</v>
      </c>
    </row>
    <row r="1404" spans="1:2" x14ac:dyDescent="0.3">
      <c r="A1404" s="5">
        <v>37118</v>
      </c>
      <c r="B1404" s="10">
        <v>18986</v>
      </c>
    </row>
    <row r="1405" spans="1:2" x14ac:dyDescent="0.3">
      <c r="A1405" s="5">
        <v>37119</v>
      </c>
      <c r="B1405" s="10">
        <v>19017</v>
      </c>
    </row>
    <row r="1406" spans="1:2" x14ac:dyDescent="0.3">
      <c r="A1406" s="5">
        <v>37120</v>
      </c>
      <c r="B1406" s="10">
        <v>18849</v>
      </c>
    </row>
    <row r="1407" spans="1:2" x14ac:dyDescent="0.3">
      <c r="A1407" s="5">
        <v>37124</v>
      </c>
      <c r="B1407" s="10">
        <v>18374</v>
      </c>
    </row>
    <row r="1408" spans="1:2" x14ac:dyDescent="0.3">
      <c r="A1408" s="5">
        <v>37125</v>
      </c>
      <c r="B1408" s="10">
        <v>18406</v>
      </c>
    </row>
    <row r="1409" spans="1:2" x14ac:dyDescent="0.3">
      <c r="A1409" s="5">
        <v>37126</v>
      </c>
      <c r="B1409" s="10">
        <v>18508</v>
      </c>
    </row>
    <row r="1410" spans="1:2" x14ac:dyDescent="0.3">
      <c r="A1410" s="5">
        <v>37127</v>
      </c>
      <c r="B1410" s="10">
        <v>18296</v>
      </c>
    </row>
    <row r="1411" spans="1:2" x14ac:dyDescent="0.3">
      <c r="A1411" s="5">
        <v>37130</v>
      </c>
      <c r="B1411" s="10">
        <v>18264</v>
      </c>
    </row>
    <row r="1412" spans="1:2" x14ac:dyDescent="0.3">
      <c r="A1412" s="5">
        <v>37131</v>
      </c>
      <c r="B1412" s="10">
        <v>18166</v>
      </c>
    </row>
    <row r="1413" spans="1:2" x14ac:dyDescent="0.3">
      <c r="A1413" s="5">
        <v>37132</v>
      </c>
      <c r="B1413" s="10">
        <v>17824</v>
      </c>
    </row>
    <row r="1414" spans="1:2" x14ac:dyDescent="0.3">
      <c r="A1414" s="5">
        <v>37133</v>
      </c>
      <c r="B1414" s="10">
        <v>17978</v>
      </c>
    </row>
    <row r="1415" spans="1:2" x14ac:dyDescent="0.3">
      <c r="A1415" s="5">
        <v>37134</v>
      </c>
      <c r="B1415" s="10">
        <v>17467</v>
      </c>
    </row>
    <row r="1416" spans="1:2" x14ac:dyDescent="0.3">
      <c r="A1416" s="5">
        <v>37137</v>
      </c>
      <c r="B1416" s="10">
        <v>17439</v>
      </c>
    </row>
    <row r="1417" spans="1:2" x14ac:dyDescent="0.3">
      <c r="A1417" s="5">
        <v>37138</v>
      </c>
      <c r="B1417" s="10">
        <v>17467</v>
      </c>
    </row>
    <row r="1418" spans="1:2" x14ac:dyDescent="0.3">
      <c r="A1418" s="5">
        <v>37139</v>
      </c>
      <c r="B1418" s="10">
        <v>17591</v>
      </c>
    </row>
    <row r="1419" spans="1:2" x14ac:dyDescent="0.3">
      <c r="A1419" s="5">
        <v>37140</v>
      </c>
      <c r="B1419" s="10">
        <v>17740</v>
      </c>
    </row>
    <row r="1420" spans="1:2" x14ac:dyDescent="0.3">
      <c r="A1420" s="5">
        <v>37141</v>
      </c>
      <c r="B1420" s="10">
        <v>17916</v>
      </c>
    </row>
    <row r="1421" spans="1:2" x14ac:dyDescent="0.3">
      <c r="A1421" s="5">
        <v>37144</v>
      </c>
      <c r="B1421" s="10">
        <v>23416</v>
      </c>
    </row>
    <row r="1422" spans="1:2" x14ac:dyDescent="0.3">
      <c r="A1422" s="5">
        <v>37145</v>
      </c>
      <c r="B1422" s="10">
        <v>23458</v>
      </c>
    </row>
    <row r="1423" spans="1:2" x14ac:dyDescent="0.3">
      <c r="A1423" s="5">
        <v>37146</v>
      </c>
      <c r="B1423" s="10">
        <v>23454</v>
      </c>
    </row>
    <row r="1424" spans="1:2" x14ac:dyDescent="0.3">
      <c r="A1424" s="5">
        <v>37147</v>
      </c>
      <c r="B1424" s="10">
        <v>24824</v>
      </c>
    </row>
    <row r="1425" spans="1:2" x14ac:dyDescent="0.3">
      <c r="A1425" s="5">
        <v>37148</v>
      </c>
      <c r="B1425" s="10">
        <v>24853</v>
      </c>
    </row>
    <row r="1426" spans="1:2" x14ac:dyDescent="0.3">
      <c r="A1426" s="5">
        <v>37151</v>
      </c>
      <c r="B1426" s="10">
        <v>24620</v>
      </c>
    </row>
    <row r="1427" spans="1:2" x14ac:dyDescent="0.3">
      <c r="A1427" s="5">
        <v>37152</v>
      </c>
      <c r="B1427" s="10">
        <v>24684</v>
      </c>
    </row>
    <row r="1428" spans="1:2" x14ac:dyDescent="0.3">
      <c r="A1428" s="5">
        <v>37153</v>
      </c>
      <c r="B1428" s="10">
        <v>24817</v>
      </c>
    </row>
    <row r="1429" spans="1:2" x14ac:dyDescent="0.3">
      <c r="A1429" s="5">
        <v>37154</v>
      </c>
      <c r="B1429" s="10">
        <v>25023</v>
      </c>
    </row>
    <row r="1430" spans="1:2" x14ac:dyDescent="0.3">
      <c r="A1430" s="5">
        <v>37155</v>
      </c>
      <c r="B1430" s="10">
        <v>25162</v>
      </c>
    </row>
    <row r="1431" spans="1:2" x14ac:dyDescent="0.3">
      <c r="A1431" s="5">
        <v>37158</v>
      </c>
      <c r="B1431" s="10">
        <v>25087</v>
      </c>
    </row>
    <row r="1432" spans="1:2" x14ac:dyDescent="0.3">
      <c r="A1432" s="5">
        <v>37159</v>
      </c>
      <c r="B1432" s="10">
        <v>25480</v>
      </c>
    </row>
    <row r="1433" spans="1:2" x14ac:dyDescent="0.3">
      <c r="A1433" s="5">
        <v>37160</v>
      </c>
      <c r="B1433" s="10">
        <v>25407</v>
      </c>
    </row>
    <row r="1434" spans="1:2" x14ac:dyDescent="0.3">
      <c r="A1434" s="5">
        <v>37161</v>
      </c>
      <c r="B1434" s="10">
        <v>25034</v>
      </c>
    </row>
    <row r="1435" spans="1:2" x14ac:dyDescent="0.3">
      <c r="A1435" s="5">
        <v>37162</v>
      </c>
      <c r="B1435" s="10">
        <v>24799</v>
      </c>
    </row>
    <row r="1436" spans="1:2" x14ac:dyDescent="0.3">
      <c r="A1436" s="5">
        <v>37165</v>
      </c>
      <c r="B1436" s="10">
        <v>24553</v>
      </c>
    </row>
    <row r="1437" spans="1:2" x14ac:dyDescent="0.3">
      <c r="A1437" s="5">
        <v>37166</v>
      </c>
      <c r="B1437" s="10">
        <v>24756</v>
      </c>
    </row>
    <row r="1438" spans="1:2" x14ac:dyDescent="0.3">
      <c r="A1438" s="5">
        <v>37167</v>
      </c>
      <c r="B1438" s="10">
        <v>24804</v>
      </c>
    </row>
    <row r="1439" spans="1:2" x14ac:dyDescent="0.3">
      <c r="A1439" s="5">
        <v>37168</v>
      </c>
      <c r="B1439" s="10">
        <v>24576</v>
      </c>
    </row>
    <row r="1440" spans="1:2" x14ac:dyDescent="0.3">
      <c r="A1440" s="5">
        <v>37169</v>
      </c>
      <c r="B1440" s="10">
        <v>24090</v>
      </c>
    </row>
    <row r="1441" spans="1:2" x14ac:dyDescent="0.3">
      <c r="A1441" s="5">
        <v>37173</v>
      </c>
      <c r="B1441" s="10">
        <v>23392</v>
      </c>
    </row>
    <row r="1442" spans="1:2" x14ac:dyDescent="0.3">
      <c r="A1442" s="5">
        <v>37174</v>
      </c>
      <c r="B1442" s="10">
        <v>24148</v>
      </c>
    </row>
    <row r="1443" spans="1:2" x14ac:dyDescent="0.3">
      <c r="A1443" s="5">
        <v>37175</v>
      </c>
      <c r="B1443" s="10">
        <v>23807</v>
      </c>
    </row>
    <row r="1444" spans="1:2" x14ac:dyDescent="0.3">
      <c r="A1444" s="5">
        <v>37176</v>
      </c>
      <c r="B1444" s="10">
        <v>23212</v>
      </c>
    </row>
    <row r="1445" spans="1:2" x14ac:dyDescent="0.3">
      <c r="A1445" s="5">
        <v>37179</v>
      </c>
      <c r="B1445" s="10">
        <v>22893</v>
      </c>
    </row>
    <row r="1446" spans="1:2" x14ac:dyDescent="0.3">
      <c r="A1446" s="5">
        <v>37180</v>
      </c>
      <c r="B1446" s="10">
        <v>22974</v>
      </c>
    </row>
    <row r="1447" spans="1:2" x14ac:dyDescent="0.3">
      <c r="A1447" s="5">
        <v>37181</v>
      </c>
      <c r="B1447" s="10">
        <v>23308</v>
      </c>
    </row>
    <row r="1448" spans="1:2" x14ac:dyDescent="0.3">
      <c r="A1448" s="5">
        <v>37182</v>
      </c>
      <c r="B1448" s="10">
        <v>23323</v>
      </c>
    </row>
    <row r="1449" spans="1:2" x14ac:dyDescent="0.3">
      <c r="A1449" s="5">
        <v>37183</v>
      </c>
      <c r="B1449" s="10">
        <v>23522</v>
      </c>
    </row>
    <row r="1450" spans="1:2" x14ac:dyDescent="0.3">
      <c r="A1450" s="5">
        <v>37186</v>
      </c>
      <c r="B1450" s="10">
        <v>23147</v>
      </c>
    </row>
    <row r="1451" spans="1:2" x14ac:dyDescent="0.3">
      <c r="A1451" s="5">
        <v>37187</v>
      </c>
      <c r="B1451" s="10">
        <v>23342</v>
      </c>
    </row>
    <row r="1452" spans="1:2" x14ac:dyDescent="0.3">
      <c r="A1452" s="5">
        <v>37188</v>
      </c>
      <c r="B1452" s="10">
        <v>23249</v>
      </c>
    </row>
    <row r="1453" spans="1:2" x14ac:dyDescent="0.3">
      <c r="A1453" s="5">
        <v>37189</v>
      </c>
      <c r="B1453" s="10">
        <v>23311</v>
      </c>
    </row>
    <row r="1454" spans="1:2" x14ac:dyDescent="0.3">
      <c r="A1454" s="5">
        <v>37190</v>
      </c>
      <c r="B1454" s="10">
        <v>23020</v>
      </c>
    </row>
    <row r="1455" spans="1:2" x14ac:dyDescent="0.3">
      <c r="A1455" s="5">
        <v>37193</v>
      </c>
      <c r="B1455" s="10">
        <v>22908</v>
      </c>
    </row>
    <row r="1456" spans="1:2" x14ac:dyDescent="0.3">
      <c r="A1456" s="5">
        <v>37194</v>
      </c>
      <c r="B1456" s="10">
        <v>22603</v>
      </c>
    </row>
    <row r="1457" spans="1:2" x14ac:dyDescent="0.3">
      <c r="A1457" s="5">
        <v>37195</v>
      </c>
      <c r="B1457" s="10">
        <v>21190</v>
      </c>
    </row>
    <row r="1458" spans="1:2" x14ac:dyDescent="0.3">
      <c r="A1458" s="5">
        <v>37196</v>
      </c>
      <c r="B1458" s="10">
        <v>20732</v>
      </c>
    </row>
    <row r="1459" spans="1:2" x14ac:dyDescent="0.3">
      <c r="A1459" s="5">
        <v>37197</v>
      </c>
      <c r="B1459" s="10">
        <v>20177</v>
      </c>
    </row>
    <row r="1460" spans="1:2" x14ac:dyDescent="0.3">
      <c r="A1460" s="5">
        <v>37200</v>
      </c>
      <c r="B1460" s="10">
        <v>19864</v>
      </c>
    </row>
    <row r="1461" spans="1:2" x14ac:dyDescent="0.3">
      <c r="A1461" s="5">
        <v>37202</v>
      </c>
      <c r="B1461" s="10">
        <v>20324</v>
      </c>
    </row>
    <row r="1462" spans="1:2" x14ac:dyDescent="0.3">
      <c r="A1462" s="5">
        <v>37203</v>
      </c>
      <c r="B1462" s="10">
        <v>20743</v>
      </c>
    </row>
    <row r="1463" spans="1:2" x14ac:dyDescent="0.3">
      <c r="A1463" s="5">
        <v>37204</v>
      </c>
      <c r="B1463" s="10">
        <v>20173</v>
      </c>
    </row>
    <row r="1464" spans="1:2" x14ac:dyDescent="0.3">
      <c r="A1464" s="5">
        <v>37207</v>
      </c>
      <c r="B1464" s="10">
        <v>20120</v>
      </c>
    </row>
    <row r="1465" spans="1:2" x14ac:dyDescent="0.3">
      <c r="A1465" s="5">
        <v>37208</v>
      </c>
      <c r="B1465" s="10">
        <v>20160</v>
      </c>
    </row>
    <row r="1466" spans="1:2" x14ac:dyDescent="0.3">
      <c r="A1466" s="5">
        <v>37209</v>
      </c>
      <c r="B1466" s="10">
        <v>20143</v>
      </c>
    </row>
    <row r="1467" spans="1:2" x14ac:dyDescent="0.3">
      <c r="A1467" s="5">
        <v>37210</v>
      </c>
      <c r="B1467" s="10">
        <v>19919</v>
      </c>
    </row>
    <row r="1468" spans="1:2" x14ac:dyDescent="0.3">
      <c r="A1468" s="5">
        <v>37211</v>
      </c>
      <c r="B1468" s="10">
        <v>19612</v>
      </c>
    </row>
    <row r="1469" spans="1:2" x14ac:dyDescent="0.3">
      <c r="A1469" s="5">
        <v>37214</v>
      </c>
      <c r="B1469" s="10">
        <v>19461</v>
      </c>
    </row>
    <row r="1470" spans="1:2" x14ac:dyDescent="0.3">
      <c r="A1470" s="5">
        <v>37215</v>
      </c>
      <c r="B1470" s="10">
        <v>19393</v>
      </c>
    </row>
    <row r="1471" spans="1:2" x14ac:dyDescent="0.3">
      <c r="A1471" s="5">
        <v>37216</v>
      </c>
      <c r="B1471" s="10">
        <v>18887</v>
      </c>
    </row>
    <row r="1472" spans="1:2" x14ac:dyDescent="0.3">
      <c r="A1472" s="5">
        <v>37217</v>
      </c>
      <c r="B1472" s="10">
        <v>18821</v>
      </c>
    </row>
    <row r="1473" spans="1:2" x14ac:dyDescent="0.3">
      <c r="A1473" s="5">
        <v>37218</v>
      </c>
      <c r="B1473" s="10">
        <v>18476</v>
      </c>
    </row>
    <row r="1474" spans="1:2" x14ac:dyDescent="0.3">
      <c r="A1474" s="5">
        <v>37221</v>
      </c>
      <c r="B1474" s="10">
        <v>18229</v>
      </c>
    </row>
    <row r="1475" spans="1:2" x14ac:dyDescent="0.3">
      <c r="A1475" s="5">
        <v>37222</v>
      </c>
      <c r="B1475" s="10">
        <v>17916</v>
      </c>
    </row>
    <row r="1476" spans="1:2" x14ac:dyDescent="0.3">
      <c r="A1476" s="5">
        <v>37223</v>
      </c>
      <c r="B1476" s="10">
        <v>17662</v>
      </c>
    </row>
    <row r="1477" spans="1:2" x14ac:dyDescent="0.3">
      <c r="A1477" s="5">
        <v>37224</v>
      </c>
      <c r="B1477" s="10">
        <v>17093</v>
      </c>
    </row>
    <row r="1478" spans="1:2" x14ac:dyDescent="0.3">
      <c r="A1478" s="5">
        <v>37225</v>
      </c>
      <c r="B1478" s="10">
        <v>15195</v>
      </c>
    </row>
    <row r="1479" spans="1:2" x14ac:dyDescent="0.3">
      <c r="A1479" s="5">
        <v>37228</v>
      </c>
      <c r="B1479" s="10">
        <v>15088</v>
      </c>
    </row>
    <row r="1480" spans="1:2" x14ac:dyDescent="0.3">
      <c r="A1480" s="5">
        <v>37229</v>
      </c>
      <c r="B1480" s="10">
        <v>15101</v>
      </c>
    </row>
    <row r="1481" spans="1:2" x14ac:dyDescent="0.3">
      <c r="A1481" s="5">
        <v>37230</v>
      </c>
      <c r="B1481" s="10">
        <v>15015</v>
      </c>
    </row>
    <row r="1482" spans="1:2" x14ac:dyDescent="0.3">
      <c r="A1482" s="5">
        <v>37231</v>
      </c>
      <c r="B1482" s="10">
        <v>15274</v>
      </c>
    </row>
    <row r="1483" spans="1:2" x14ac:dyDescent="0.3">
      <c r="A1483" s="5">
        <v>37232</v>
      </c>
      <c r="B1483" s="10">
        <v>15487</v>
      </c>
    </row>
    <row r="1484" spans="1:2" x14ac:dyDescent="0.3">
      <c r="A1484" s="5">
        <v>37235</v>
      </c>
      <c r="B1484" s="10">
        <v>15630</v>
      </c>
    </row>
    <row r="1485" spans="1:2" x14ac:dyDescent="0.3">
      <c r="A1485" s="5">
        <v>37236</v>
      </c>
      <c r="B1485" s="10">
        <v>15733</v>
      </c>
    </row>
    <row r="1486" spans="1:2" x14ac:dyDescent="0.3">
      <c r="A1486" s="5">
        <v>37237</v>
      </c>
      <c r="B1486" s="10">
        <v>15683</v>
      </c>
    </row>
    <row r="1487" spans="1:2" x14ac:dyDescent="0.3">
      <c r="A1487" s="5">
        <v>37238</v>
      </c>
      <c r="B1487" s="10">
        <v>15740</v>
      </c>
    </row>
    <row r="1488" spans="1:2" x14ac:dyDescent="0.3">
      <c r="A1488" s="5">
        <v>37239</v>
      </c>
      <c r="B1488" s="10">
        <v>15772</v>
      </c>
    </row>
    <row r="1489" spans="1:2" x14ac:dyDescent="0.3">
      <c r="A1489" s="5">
        <v>37242</v>
      </c>
      <c r="B1489" s="10">
        <v>15710</v>
      </c>
    </row>
    <row r="1490" spans="1:2" x14ac:dyDescent="0.3">
      <c r="A1490" s="5">
        <v>37243</v>
      </c>
      <c r="B1490" s="10">
        <v>15376</v>
      </c>
    </row>
    <row r="1491" spans="1:2" x14ac:dyDescent="0.3">
      <c r="A1491" s="5">
        <v>37244</v>
      </c>
      <c r="B1491" s="10">
        <v>14995</v>
      </c>
    </row>
    <row r="1492" spans="1:2" x14ac:dyDescent="0.3">
      <c r="A1492" s="5">
        <v>37245</v>
      </c>
      <c r="B1492" s="10">
        <v>14851</v>
      </c>
    </row>
    <row r="1493" spans="1:2" x14ac:dyDescent="0.3">
      <c r="A1493" s="5">
        <v>37246</v>
      </c>
      <c r="B1493" s="10">
        <v>14864</v>
      </c>
    </row>
    <row r="1494" spans="1:2" x14ac:dyDescent="0.3">
      <c r="A1494" s="5">
        <v>37249</v>
      </c>
      <c r="B1494" s="10">
        <v>15153</v>
      </c>
    </row>
    <row r="1495" spans="1:2" x14ac:dyDescent="0.3">
      <c r="A1495" s="5">
        <v>37251</v>
      </c>
      <c r="B1495" s="10">
        <v>15100</v>
      </c>
    </row>
    <row r="1496" spans="1:2" x14ac:dyDescent="0.3">
      <c r="A1496" s="5">
        <v>37252</v>
      </c>
      <c r="B1496" s="10">
        <v>15334</v>
      </c>
    </row>
    <row r="1497" spans="1:2" x14ac:dyDescent="0.3">
      <c r="A1497" s="5">
        <v>37253</v>
      </c>
      <c r="B1497" s="10">
        <v>15306</v>
      </c>
    </row>
    <row r="1498" spans="1:2" x14ac:dyDescent="0.3">
      <c r="A1498" s="5">
        <v>37256</v>
      </c>
      <c r="B1498" s="10">
        <v>15232</v>
      </c>
    </row>
    <row r="1499" spans="1:2" x14ac:dyDescent="0.3">
      <c r="A1499" s="5">
        <v>37258</v>
      </c>
      <c r="B1499" s="10">
        <v>15164</v>
      </c>
    </row>
    <row r="1500" spans="1:2" x14ac:dyDescent="0.3">
      <c r="A1500" s="5">
        <v>37259</v>
      </c>
      <c r="B1500" s="10">
        <v>15215</v>
      </c>
    </row>
    <row r="1501" spans="1:2" x14ac:dyDescent="0.3">
      <c r="A1501" s="5">
        <v>37260</v>
      </c>
      <c r="B1501" s="10">
        <v>15237</v>
      </c>
    </row>
    <row r="1502" spans="1:2" x14ac:dyDescent="0.3">
      <c r="A1502" s="5">
        <v>37263</v>
      </c>
      <c r="B1502" s="10">
        <v>15371</v>
      </c>
    </row>
    <row r="1503" spans="1:2" x14ac:dyDescent="0.3">
      <c r="A1503" s="5">
        <v>37264</v>
      </c>
      <c r="B1503" s="10">
        <v>15392</v>
      </c>
    </row>
    <row r="1504" spans="1:2" x14ac:dyDescent="0.3">
      <c r="A1504" s="5">
        <v>37265</v>
      </c>
      <c r="B1504" s="10">
        <v>15396</v>
      </c>
    </row>
    <row r="1505" spans="1:2" x14ac:dyDescent="0.3">
      <c r="A1505" s="5">
        <v>37266</v>
      </c>
      <c r="B1505" s="10">
        <v>15419</v>
      </c>
    </row>
    <row r="1506" spans="1:2" x14ac:dyDescent="0.3">
      <c r="A1506" s="5">
        <v>37267</v>
      </c>
      <c r="B1506" s="10">
        <v>15429</v>
      </c>
    </row>
    <row r="1507" spans="1:2" x14ac:dyDescent="0.3">
      <c r="A1507" s="5">
        <v>37270</v>
      </c>
      <c r="B1507" s="10">
        <v>15468</v>
      </c>
    </row>
    <row r="1508" spans="1:2" x14ac:dyDescent="0.3">
      <c r="A1508" s="5">
        <v>37271</v>
      </c>
      <c r="B1508" s="10">
        <v>15358</v>
      </c>
    </row>
    <row r="1509" spans="1:2" x14ac:dyDescent="0.3">
      <c r="A1509" s="5">
        <v>37272</v>
      </c>
      <c r="B1509" s="10">
        <v>15348</v>
      </c>
    </row>
    <row r="1510" spans="1:2" x14ac:dyDescent="0.3">
      <c r="A1510" s="5">
        <v>37273</v>
      </c>
      <c r="B1510" s="10">
        <v>15226</v>
      </c>
    </row>
    <row r="1511" spans="1:2" x14ac:dyDescent="0.3">
      <c r="A1511" s="5">
        <v>37274</v>
      </c>
      <c r="B1511" s="10">
        <v>15188</v>
      </c>
    </row>
    <row r="1512" spans="1:2" x14ac:dyDescent="0.3">
      <c r="A1512" s="5">
        <v>37277</v>
      </c>
      <c r="B1512" s="10">
        <v>15167</v>
      </c>
    </row>
    <row r="1513" spans="1:2" x14ac:dyDescent="0.3">
      <c r="A1513" s="5">
        <v>37278</v>
      </c>
      <c r="B1513" s="10">
        <v>15132</v>
      </c>
    </row>
    <row r="1514" spans="1:2" x14ac:dyDescent="0.3">
      <c r="A1514" s="5">
        <v>37279</v>
      </c>
      <c r="B1514" s="10">
        <v>15177</v>
      </c>
    </row>
    <row r="1515" spans="1:2" x14ac:dyDescent="0.3">
      <c r="A1515" s="5">
        <v>37280</v>
      </c>
      <c r="B1515" s="10">
        <v>15157</v>
      </c>
    </row>
    <row r="1516" spans="1:2" x14ac:dyDescent="0.3">
      <c r="A1516" s="5">
        <v>37281</v>
      </c>
      <c r="B1516" s="10">
        <v>14137</v>
      </c>
    </row>
    <row r="1517" spans="1:2" x14ac:dyDescent="0.3">
      <c r="A1517" s="5">
        <v>37284</v>
      </c>
      <c r="B1517" s="10">
        <v>14082</v>
      </c>
    </row>
    <row r="1518" spans="1:2" x14ac:dyDescent="0.3">
      <c r="A1518" s="5">
        <v>37285</v>
      </c>
      <c r="B1518" s="10">
        <v>14066</v>
      </c>
    </row>
    <row r="1519" spans="1:2" x14ac:dyDescent="0.3">
      <c r="A1519" s="5">
        <v>37286</v>
      </c>
      <c r="B1519" s="10">
        <v>14067</v>
      </c>
    </row>
    <row r="1520" spans="1:2" x14ac:dyDescent="0.3">
      <c r="A1520" s="5">
        <v>37287</v>
      </c>
      <c r="B1520" s="10">
        <v>14069</v>
      </c>
    </row>
    <row r="1521" spans="1:2" x14ac:dyDescent="0.3">
      <c r="A1521" s="5">
        <v>37288</v>
      </c>
      <c r="B1521" s="10">
        <v>14025</v>
      </c>
    </row>
    <row r="1522" spans="1:2" x14ac:dyDescent="0.3">
      <c r="A1522" s="5">
        <v>37291</v>
      </c>
      <c r="B1522" s="10">
        <v>13674</v>
      </c>
    </row>
    <row r="1523" spans="1:2" x14ac:dyDescent="0.3">
      <c r="A1523" s="5">
        <v>37292</v>
      </c>
      <c r="B1523" s="10">
        <v>13973</v>
      </c>
    </row>
    <row r="1524" spans="1:2" x14ac:dyDescent="0.3">
      <c r="A1524" s="5">
        <v>37293</v>
      </c>
      <c r="B1524" s="10">
        <v>13971</v>
      </c>
    </row>
    <row r="1525" spans="1:2" x14ac:dyDescent="0.3">
      <c r="A1525" s="5">
        <v>37294</v>
      </c>
      <c r="B1525" s="10">
        <v>13974</v>
      </c>
    </row>
    <row r="1526" spans="1:2" x14ac:dyDescent="0.3">
      <c r="A1526" s="5">
        <v>37295</v>
      </c>
      <c r="B1526" s="10">
        <v>13936</v>
      </c>
    </row>
    <row r="1527" spans="1:2" x14ac:dyDescent="0.3">
      <c r="A1527" s="5">
        <v>37298</v>
      </c>
      <c r="B1527" s="10">
        <v>13694</v>
      </c>
    </row>
    <row r="1528" spans="1:2" x14ac:dyDescent="0.3">
      <c r="A1528" s="5">
        <v>37299</v>
      </c>
      <c r="B1528" s="10">
        <v>13667</v>
      </c>
    </row>
    <row r="1529" spans="1:2" x14ac:dyDescent="0.3">
      <c r="A1529" s="5">
        <v>37300</v>
      </c>
      <c r="B1529" s="10">
        <v>13665</v>
      </c>
    </row>
    <row r="1530" spans="1:2" x14ac:dyDescent="0.3">
      <c r="A1530" s="5">
        <v>37301</v>
      </c>
      <c r="B1530" s="10">
        <v>13664</v>
      </c>
    </row>
    <row r="1531" spans="1:2" x14ac:dyDescent="0.3">
      <c r="A1531" s="5">
        <v>37302</v>
      </c>
      <c r="B1531" s="10">
        <v>13658</v>
      </c>
    </row>
    <row r="1532" spans="1:2" x14ac:dyDescent="0.3">
      <c r="A1532" s="5">
        <v>37305</v>
      </c>
      <c r="B1532" s="10">
        <v>13657</v>
      </c>
    </row>
    <row r="1533" spans="1:2" x14ac:dyDescent="0.3">
      <c r="A1533" s="5">
        <v>37306</v>
      </c>
      <c r="B1533" s="10">
        <v>13627</v>
      </c>
    </row>
    <row r="1534" spans="1:2" x14ac:dyDescent="0.3">
      <c r="A1534" s="5">
        <v>37307</v>
      </c>
      <c r="B1534" s="10">
        <v>13605</v>
      </c>
    </row>
    <row r="1535" spans="1:2" x14ac:dyDescent="0.3">
      <c r="A1535" s="5">
        <v>37308</v>
      </c>
      <c r="B1535" s="10">
        <v>13600</v>
      </c>
    </row>
    <row r="1536" spans="1:2" x14ac:dyDescent="0.3">
      <c r="A1536" s="5">
        <v>37309</v>
      </c>
      <c r="B1536" s="10">
        <v>14118</v>
      </c>
    </row>
    <row r="1537" spans="1:2" x14ac:dyDescent="0.3">
      <c r="A1537" s="5">
        <v>37312</v>
      </c>
      <c r="B1537" s="10">
        <v>14121</v>
      </c>
    </row>
    <row r="1538" spans="1:2" x14ac:dyDescent="0.3">
      <c r="A1538" s="5">
        <v>37313</v>
      </c>
      <c r="B1538" s="10">
        <v>14062</v>
      </c>
    </row>
    <row r="1539" spans="1:2" x14ac:dyDescent="0.3">
      <c r="A1539" s="5">
        <v>37314</v>
      </c>
      <c r="B1539" s="10">
        <v>13996</v>
      </c>
    </row>
    <row r="1540" spans="1:2" x14ac:dyDescent="0.3">
      <c r="A1540" s="5">
        <v>37315</v>
      </c>
      <c r="B1540" s="10">
        <v>13883</v>
      </c>
    </row>
    <row r="1541" spans="1:2" x14ac:dyDescent="0.3">
      <c r="A1541" s="5">
        <v>37316</v>
      </c>
      <c r="B1541" s="10">
        <v>13788</v>
      </c>
    </row>
    <row r="1542" spans="1:2" x14ac:dyDescent="0.3">
      <c r="A1542" s="5">
        <v>37319</v>
      </c>
      <c r="B1542" s="10">
        <v>13732</v>
      </c>
    </row>
    <row r="1543" spans="1:2" x14ac:dyDescent="0.3">
      <c r="A1543" s="5">
        <v>37320</v>
      </c>
      <c r="B1543" s="10">
        <v>13794</v>
      </c>
    </row>
    <row r="1544" spans="1:2" x14ac:dyDescent="0.3">
      <c r="A1544" s="5">
        <v>37321</v>
      </c>
      <c r="B1544" s="10">
        <v>13798</v>
      </c>
    </row>
    <row r="1545" spans="1:2" x14ac:dyDescent="0.3">
      <c r="A1545" s="5">
        <v>37322</v>
      </c>
      <c r="B1545" s="10">
        <v>13809</v>
      </c>
    </row>
    <row r="1546" spans="1:2" x14ac:dyDescent="0.3">
      <c r="A1546" s="5">
        <v>37323</v>
      </c>
      <c r="B1546" s="10">
        <v>13774</v>
      </c>
    </row>
    <row r="1547" spans="1:2" x14ac:dyDescent="0.3">
      <c r="A1547" s="5">
        <v>37326</v>
      </c>
      <c r="B1547" s="10">
        <v>13753</v>
      </c>
    </row>
    <row r="1548" spans="1:2" x14ac:dyDescent="0.3">
      <c r="A1548" s="5">
        <v>37327</v>
      </c>
      <c r="B1548" s="10">
        <v>13603</v>
      </c>
    </row>
    <row r="1549" spans="1:2" x14ac:dyDescent="0.3">
      <c r="A1549" s="5">
        <v>37328</v>
      </c>
      <c r="B1549" s="10">
        <v>13541</v>
      </c>
    </row>
    <row r="1550" spans="1:2" x14ac:dyDescent="0.3">
      <c r="A1550" s="5">
        <v>37329</v>
      </c>
      <c r="B1550" s="10">
        <v>13431</v>
      </c>
    </row>
    <row r="1551" spans="1:2" x14ac:dyDescent="0.3">
      <c r="A1551" s="5">
        <v>37330</v>
      </c>
      <c r="B1551" s="10">
        <v>13364</v>
      </c>
    </row>
    <row r="1552" spans="1:2" x14ac:dyDescent="0.3">
      <c r="A1552" s="5">
        <v>37333</v>
      </c>
      <c r="B1552" s="10">
        <v>13341</v>
      </c>
    </row>
    <row r="1553" spans="1:2" x14ac:dyDescent="0.3">
      <c r="A1553" s="5">
        <v>37334</v>
      </c>
      <c r="B1553" s="10">
        <v>13202</v>
      </c>
    </row>
    <row r="1554" spans="1:2" x14ac:dyDescent="0.3">
      <c r="A1554" s="5">
        <v>37335</v>
      </c>
      <c r="B1554" s="10">
        <v>13101</v>
      </c>
    </row>
    <row r="1555" spans="1:2" x14ac:dyDescent="0.3">
      <c r="A1555" s="5">
        <v>37336</v>
      </c>
      <c r="B1555" s="10">
        <v>12937</v>
      </c>
    </row>
    <row r="1556" spans="1:2" x14ac:dyDescent="0.3">
      <c r="A1556" s="5">
        <v>37337</v>
      </c>
      <c r="B1556" s="10">
        <v>12899</v>
      </c>
    </row>
    <row r="1557" spans="1:2" x14ac:dyDescent="0.3">
      <c r="A1557" s="5">
        <v>37340</v>
      </c>
      <c r="B1557" s="10">
        <v>12895</v>
      </c>
    </row>
    <row r="1558" spans="1:2" x14ac:dyDescent="0.3">
      <c r="A1558" s="5">
        <v>37341</v>
      </c>
      <c r="B1558" s="10">
        <v>12855</v>
      </c>
    </row>
    <row r="1559" spans="1:2" x14ac:dyDescent="0.3">
      <c r="A1559" s="5">
        <v>37342</v>
      </c>
      <c r="B1559" s="10">
        <v>12780</v>
      </c>
    </row>
    <row r="1560" spans="1:2" x14ac:dyDescent="0.3">
      <c r="A1560" s="5">
        <v>37348</v>
      </c>
      <c r="B1560" s="10">
        <v>12762</v>
      </c>
    </row>
    <row r="1561" spans="1:2" x14ac:dyDescent="0.3">
      <c r="A1561" s="5">
        <v>37349</v>
      </c>
      <c r="B1561" s="10">
        <v>12667</v>
      </c>
    </row>
    <row r="1562" spans="1:2" x14ac:dyDescent="0.3">
      <c r="A1562" s="5">
        <v>37350</v>
      </c>
      <c r="B1562" s="10">
        <v>12699</v>
      </c>
    </row>
    <row r="1563" spans="1:2" x14ac:dyDescent="0.3">
      <c r="A1563" s="5">
        <v>37351</v>
      </c>
      <c r="B1563" s="10">
        <v>12686</v>
      </c>
    </row>
    <row r="1564" spans="1:2" x14ac:dyDescent="0.3">
      <c r="A1564" s="5">
        <v>37354</v>
      </c>
      <c r="B1564" s="10">
        <v>12665</v>
      </c>
    </row>
    <row r="1565" spans="1:2" x14ac:dyDescent="0.3">
      <c r="A1565" s="5">
        <v>37355</v>
      </c>
      <c r="B1565" s="10">
        <v>12644</v>
      </c>
    </row>
    <row r="1566" spans="1:2" x14ac:dyDescent="0.3">
      <c r="A1566" s="5">
        <v>37356</v>
      </c>
      <c r="B1566" s="10">
        <v>12530</v>
      </c>
    </row>
    <row r="1567" spans="1:2" x14ac:dyDescent="0.3">
      <c r="A1567" s="5">
        <v>37357</v>
      </c>
      <c r="B1567" s="10">
        <v>12472</v>
      </c>
    </row>
    <row r="1568" spans="1:2" x14ac:dyDescent="0.3">
      <c r="A1568" s="5">
        <v>37358</v>
      </c>
      <c r="B1568" s="10">
        <v>12454</v>
      </c>
    </row>
    <row r="1569" spans="1:2" x14ac:dyDescent="0.3">
      <c r="A1569" s="5">
        <v>37361</v>
      </c>
      <c r="B1569" s="10">
        <v>12436</v>
      </c>
    </row>
    <row r="1570" spans="1:2" x14ac:dyDescent="0.3">
      <c r="A1570" s="5">
        <v>37362</v>
      </c>
      <c r="B1570" s="10">
        <v>12396</v>
      </c>
    </row>
    <row r="1571" spans="1:2" x14ac:dyDescent="0.3">
      <c r="A1571" s="5">
        <v>37363</v>
      </c>
      <c r="B1571" s="10">
        <v>12390</v>
      </c>
    </row>
    <row r="1572" spans="1:2" x14ac:dyDescent="0.3">
      <c r="A1572" s="5">
        <v>37364</v>
      </c>
      <c r="B1572" s="10">
        <v>12353</v>
      </c>
    </row>
    <row r="1573" spans="1:2" x14ac:dyDescent="0.3">
      <c r="A1573" s="5">
        <v>37365</v>
      </c>
      <c r="B1573" s="10">
        <v>12314</v>
      </c>
    </row>
    <row r="1574" spans="1:2" x14ac:dyDescent="0.3">
      <c r="A1574" s="5">
        <v>37368</v>
      </c>
      <c r="B1574" s="10">
        <v>12315</v>
      </c>
    </row>
    <row r="1575" spans="1:2" x14ac:dyDescent="0.3">
      <c r="A1575" s="5">
        <v>37369</v>
      </c>
      <c r="B1575" s="10">
        <v>12316</v>
      </c>
    </row>
    <row r="1576" spans="1:2" x14ac:dyDescent="0.3">
      <c r="A1576" s="5">
        <v>37370</v>
      </c>
      <c r="B1576" s="10">
        <v>12316</v>
      </c>
    </row>
    <row r="1577" spans="1:2" x14ac:dyDescent="0.3">
      <c r="A1577" s="5">
        <v>37371</v>
      </c>
      <c r="B1577" s="10">
        <v>12317</v>
      </c>
    </row>
    <row r="1578" spans="1:2" x14ac:dyDescent="0.3">
      <c r="A1578" s="5">
        <v>37372</v>
      </c>
      <c r="B1578" s="10">
        <v>12317</v>
      </c>
    </row>
    <row r="1579" spans="1:2" x14ac:dyDescent="0.3">
      <c r="A1579" s="5">
        <v>37375</v>
      </c>
      <c r="B1579" s="10">
        <v>12313</v>
      </c>
    </row>
    <row r="1580" spans="1:2" x14ac:dyDescent="0.3">
      <c r="A1580" s="5">
        <v>37376</v>
      </c>
      <c r="B1580" s="10">
        <v>12171</v>
      </c>
    </row>
    <row r="1581" spans="1:2" x14ac:dyDescent="0.3">
      <c r="A1581" s="5">
        <v>37378</v>
      </c>
      <c r="B1581" s="10">
        <v>12135</v>
      </c>
    </row>
    <row r="1582" spans="1:2" x14ac:dyDescent="0.3">
      <c r="A1582" s="5">
        <v>37379</v>
      </c>
      <c r="B1582" s="10">
        <v>12027</v>
      </c>
    </row>
    <row r="1583" spans="1:2" x14ac:dyDescent="0.3">
      <c r="A1583" s="5">
        <v>37382</v>
      </c>
      <c r="B1583" s="10">
        <v>12009</v>
      </c>
    </row>
    <row r="1584" spans="1:2" x14ac:dyDescent="0.3">
      <c r="A1584" s="5">
        <v>37383</v>
      </c>
      <c r="B1584" s="10">
        <v>11980</v>
      </c>
    </row>
    <row r="1585" spans="1:2" x14ac:dyDescent="0.3">
      <c r="A1585" s="5">
        <v>37384</v>
      </c>
      <c r="B1585" s="10">
        <v>11770</v>
      </c>
    </row>
    <row r="1586" spans="1:2" x14ac:dyDescent="0.3">
      <c r="A1586" s="5">
        <v>37385</v>
      </c>
      <c r="B1586" s="10">
        <v>11740</v>
      </c>
    </row>
    <row r="1587" spans="1:2" x14ac:dyDescent="0.3">
      <c r="A1587" s="5">
        <v>37386</v>
      </c>
      <c r="B1587" s="10">
        <v>11564</v>
      </c>
    </row>
    <row r="1588" spans="1:2" x14ac:dyDescent="0.3">
      <c r="A1588" s="5">
        <v>37389</v>
      </c>
      <c r="B1588" s="10">
        <v>11546</v>
      </c>
    </row>
    <row r="1589" spans="1:2" x14ac:dyDescent="0.3">
      <c r="A1589" s="5">
        <v>37390</v>
      </c>
      <c r="B1589" s="10">
        <v>10843</v>
      </c>
    </row>
    <row r="1590" spans="1:2" x14ac:dyDescent="0.3">
      <c r="A1590" s="5">
        <v>37391</v>
      </c>
      <c r="B1590" s="10">
        <v>10818</v>
      </c>
    </row>
    <row r="1591" spans="1:2" x14ac:dyDescent="0.3">
      <c r="A1591" s="5">
        <v>37392</v>
      </c>
      <c r="B1591" s="10">
        <v>10795</v>
      </c>
    </row>
    <row r="1592" spans="1:2" x14ac:dyDescent="0.3">
      <c r="A1592" s="5">
        <v>37393</v>
      </c>
      <c r="B1592" s="10">
        <v>10751</v>
      </c>
    </row>
    <row r="1593" spans="1:2" x14ac:dyDescent="0.3">
      <c r="A1593" s="5">
        <v>37396</v>
      </c>
      <c r="B1593" s="10">
        <v>10709</v>
      </c>
    </row>
    <row r="1594" spans="1:2" x14ac:dyDescent="0.3">
      <c r="A1594" s="5">
        <v>37397</v>
      </c>
      <c r="B1594" s="10">
        <v>10636</v>
      </c>
    </row>
    <row r="1595" spans="1:2" x14ac:dyDescent="0.3">
      <c r="A1595" s="5">
        <v>37398</v>
      </c>
      <c r="B1595" s="10">
        <v>10594</v>
      </c>
    </row>
    <row r="1596" spans="1:2" x14ac:dyDescent="0.3">
      <c r="A1596" s="5">
        <v>37399</v>
      </c>
      <c r="B1596" s="10">
        <v>10563</v>
      </c>
    </row>
    <row r="1597" spans="1:2" x14ac:dyDescent="0.3">
      <c r="A1597" s="5">
        <v>37400</v>
      </c>
      <c r="B1597" s="10">
        <v>10505</v>
      </c>
    </row>
    <row r="1598" spans="1:2" x14ac:dyDescent="0.3">
      <c r="A1598" s="5">
        <v>37403</v>
      </c>
      <c r="B1598" s="10">
        <v>10463</v>
      </c>
    </row>
    <row r="1599" spans="1:2" x14ac:dyDescent="0.3">
      <c r="A1599" s="5">
        <v>37404</v>
      </c>
      <c r="B1599" s="10">
        <v>10386</v>
      </c>
    </row>
    <row r="1600" spans="1:2" x14ac:dyDescent="0.3">
      <c r="A1600" s="5">
        <v>37405</v>
      </c>
      <c r="B1600" s="10">
        <v>10357</v>
      </c>
    </row>
    <row r="1601" spans="1:2" x14ac:dyDescent="0.3">
      <c r="A1601" s="5">
        <v>37406</v>
      </c>
      <c r="B1601" s="10">
        <v>10221</v>
      </c>
    </row>
    <row r="1602" spans="1:2" x14ac:dyDescent="0.3">
      <c r="A1602" s="5">
        <v>37407</v>
      </c>
      <c r="B1602" s="10">
        <v>10185</v>
      </c>
    </row>
    <row r="1603" spans="1:2" x14ac:dyDescent="0.3">
      <c r="A1603" s="5">
        <v>37410</v>
      </c>
      <c r="B1603" s="10">
        <v>10174</v>
      </c>
    </row>
    <row r="1604" spans="1:2" x14ac:dyDescent="0.3">
      <c r="A1604" s="5">
        <v>37411</v>
      </c>
      <c r="B1604" s="10">
        <v>10182</v>
      </c>
    </row>
    <row r="1605" spans="1:2" x14ac:dyDescent="0.3">
      <c r="A1605" s="5">
        <v>37412</v>
      </c>
      <c r="B1605" s="10">
        <v>10158</v>
      </c>
    </row>
    <row r="1606" spans="1:2" x14ac:dyDescent="0.3">
      <c r="A1606" s="5">
        <v>37413</v>
      </c>
      <c r="B1606" s="10">
        <v>10119</v>
      </c>
    </row>
    <row r="1607" spans="1:2" x14ac:dyDescent="0.3">
      <c r="A1607" s="5">
        <v>37414</v>
      </c>
      <c r="B1607" s="10">
        <v>10054</v>
      </c>
    </row>
    <row r="1608" spans="1:2" x14ac:dyDescent="0.3">
      <c r="A1608" s="5">
        <v>37417</v>
      </c>
      <c r="B1608" s="10">
        <v>10070</v>
      </c>
    </row>
    <row r="1609" spans="1:2" x14ac:dyDescent="0.3">
      <c r="A1609" s="5">
        <v>37418</v>
      </c>
      <c r="B1609" s="10">
        <v>10062</v>
      </c>
    </row>
    <row r="1610" spans="1:2" x14ac:dyDescent="0.3">
      <c r="A1610" s="5">
        <v>37419</v>
      </c>
      <c r="B1610" s="10">
        <v>9974</v>
      </c>
    </row>
    <row r="1611" spans="1:2" x14ac:dyDescent="0.3">
      <c r="A1611" s="5">
        <v>37420</v>
      </c>
      <c r="B1611" s="10">
        <v>9966</v>
      </c>
    </row>
    <row r="1612" spans="1:2" x14ac:dyDescent="0.3">
      <c r="A1612" s="5">
        <v>37421</v>
      </c>
      <c r="B1612" s="10">
        <v>9928</v>
      </c>
    </row>
    <row r="1613" spans="1:2" x14ac:dyDescent="0.3">
      <c r="A1613" s="5">
        <v>37425</v>
      </c>
      <c r="B1613" s="10">
        <v>9818</v>
      </c>
    </row>
    <row r="1614" spans="1:2" x14ac:dyDescent="0.3">
      <c r="A1614" s="5">
        <v>37426</v>
      </c>
      <c r="B1614" s="10">
        <v>9819</v>
      </c>
    </row>
    <row r="1615" spans="1:2" x14ac:dyDescent="0.3">
      <c r="A1615" s="5">
        <v>37427</v>
      </c>
      <c r="B1615" s="10">
        <v>9781</v>
      </c>
    </row>
    <row r="1616" spans="1:2" x14ac:dyDescent="0.3">
      <c r="A1616" s="5">
        <v>37428</v>
      </c>
      <c r="B1616" s="10">
        <v>9757</v>
      </c>
    </row>
    <row r="1617" spans="1:2" x14ac:dyDescent="0.3">
      <c r="A1617" s="5">
        <v>37431</v>
      </c>
      <c r="B1617" s="10">
        <v>9688</v>
      </c>
    </row>
    <row r="1618" spans="1:2" x14ac:dyDescent="0.3">
      <c r="A1618" s="5">
        <v>37432</v>
      </c>
      <c r="B1618" s="10">
        <v>9695</v>
      </c>
    </row>
    <row r="1619" spans="1:2" x14ac:dyDescent="0.3">
      <c r="A1619" s="5">
        <v>37433</v>
      </c>
      <c r="B1619" s="10">
        <v>9717</v>
      </c>
    </row>
    <row r="1620" spans="1:2" x14ac:dyDescent="0.3">
      <c r="A1620" s="5">
        <v>37434</v>
      </c>
      <c r="B1620" s="10">
        <v>9698</v>
      </c>
    </row>
    <row r="1621" spans="1:2" x14ac:dyDescent="0.3">
      <c r="A1621" s="5">
        <v>37435</v>
      </c>
      <c r="B1621" s="10">
        <v>9629</v>
      </c>
    </row>
    <row r="1622" spans="1:2" x14ac:dyDescent="0.3">
      <c r="A1622" s="5">
        <v>37438</v>
      </c>
      <c r="B1622" s="10">
        <v>9574</v>
      </c>
    </row>
    <row r="1623" spans="1:2" x14ac:dyDescent="0.3">
      <c r="A1623" s="5">
        <v>37439</v>
      </c>
      <c r="B1623" s="10">
        <v>9568</v>
      </c>
    </row>
    <row r="1624" spans="1:2" x14ac:dyDescent="0.3">
      <c r="A1624" s="5">
        <v>37440</v>
      </c>
      <c r="B1624" s="10">
        <v>9535</v>
      </c>
    </row>
    <row r="1625" spans="1:2" x14ac:dyDescent="0.3">
      <c r="A1625" s="5">
        <v>37441</v>
      </c>
      <c r="B1625" s="10">
        <v>9511</v>
      </c>
    </row>
    <row r="1626" spans="1:2" x14ac:dyDescent="0.3">
      <c r="A1626" s="5">
        <v>37442</v>
      </c>
      <c r="B1626" s="10">
        <v>9504</v>
      </c>
    </row>
    <row r="1627" spans="1:2" x14ac:dyDescent="0.3">
      <c r="A1627" s="5">
        <v>37445</v>
      </c>
      <c r="B1627" s="10">
        <v>9508</v>
      </c>
    </row>
    <row r="1628" spans="1:2" x14ac:dyDescent="0.3">
      <c r="A1628" s="5">
        <v>37447</v>
      </c>
      <c r="B1628" s="10">
        <v>9505</v>
      </c>
    </row>
    <row r="1629" spans="1:2" x14ac:dyDescent="0.3">
      <c r="A1629" s="5">
        <v>37448</v>
      </c>
      <c r="B1629" s="10">
        <v>9531</v>
      </c>
    </row>
    <row r="1630" spans="1:2" x14ac:dyDescent="0.3">
      <c r="A1630" s="5">
        <v>37449</v>
      </c>
      <c r="B1630" s="10">
        <v>9525</v>
      </c>
    </row>
    <row r="1631" spans="1:2" x14ac:dyDescent="0.3">
      <c r="A1631" s="5">
        <v>37452</v>
      </c>
      <c r="B1631" s="10">
        <v>8958</v>
      </c>
    </row>
    <row r="1632" spans="1:2" x14ac:dyDescent="0.3">
      <c r="A1632" s="5">
        <v>37453</v>
      </c>
      <c r="B1632" s="10">
        <v>9015</v>
      </c>
    </row>
    <row r="1633" spans="1:2" x14ac:dyDescent="0.3">
      <c r="A1633" s="5">
        <v>37454</v>
      </c>
      <c r="B1633" s="10">
        <v>9052</v>
      </c>
    </row>
    <row r="1634" spans="1:2" x14ac:dyDescent="0.3">
      <c r="A1634" s="5">
        <v>37455</v>
      </c>
      <c r="B1634" s="10">
        <v>9022</v>
      </c>
    </row>
    <row r="1635" spans="1:2" x14ac:dyDescent="0.3">
      <c r="A1635" s="5">
        <v>37456</v>
      </c>
      <c r="B1635" s="10">
        <v>8968</v>
      </c>
    </row>
    <row r="1636" spans="1:2" x14ac:dyDescent="0.3">
      <c r="A1636" s="5">
        <v>37459</v>
      </c>
      <c r="B1636" s="10">
        <v>8979</v>
      </c>
    </row>
    <row r="1637" spans="1:2" x14ac:dyDescent="0.3">
      <c r="A1637" s="5">
        <v>37460</v>
      </c>
      <c r="B1637" s="10">
        <v>8944</v>
      </c>
    </row>
    <row r="1638" spans="1:2" x14ac:dyDescent="0.3">
      <c r="A1638" s="5">
        <v>37461</v>
      </c>
      <c r="B1638" s="10">
        <v>8932</v>
      </c>
    </row>
    <row r="1639" spans="1:2" x14ac:dyDescent="0.3">
      <c r="A1639" s="5">
        <v>37462</v>
      </c>
      <c r="B1639" s="10">
        <v>8937</v>
      </c>
    </row>
    <row r="1640" spans="1:2" x14ac:dyDescent="0.3">
      <c r="A1640" s="5">
        <v>37463</v>
      </c>
      <c r="B1640" s="10">
        <v>8966</v>
      </c>
    </row>
    <row r="1641" spans="1:2" x14ac:dyDescent="0.3">
      <c r="A1641" s="5">
        <v>37466</v>
      </c>
      <c r="B1641" s="10">
        <v>8973</v>
      </c>
    </row>
    <row r="1642" spans="1:2" x14ac:dyDescent="0.3">
      <c r="A1642" s="5">
        <v>37467</v>
      </c>
      <c r="B1642" s="10">
        <v>9015</v>
      </c>
    </row>
    <row r="1643" spans="1:2" x14ac:dyDescent="0.3">
      <c r="A1643" s="5">
        <v>37468</v>
      </c>
      <c r="B1643" s="10">
        <v>8986</v>
      </c>
    </row>
    <row r="1644" spans="1:2" x14ac:dyDescent="0.3">
      <c r="A1644" s="5">
        <v>37469</v>
      </c>
      <c r="B1644" s="10">
        <v>8982</v>
      </c>
    </row>
    <row r="1645" spans="1:2" x14ac:dyDescent="0.3">
      <c r="A1645" s="5">
        <v>37470</v>
      </c>
      <c r="B1645" s="10">
        <v>8961</v>
      </c>
    </row>
    <row r="1646" spans="1:2" x14ac:dyDescent="0.3">
      <c r="A1646" s="5">
        <v>37473</v>
      </c>
      <c r="B1646" s="10">
        <v>8985</v>
      </c>
    </row>
    <row r="1647" spans="1:2" x14ac:dyDescent="0.3">
      <c r="A1647" s="5">
        <v>37474</v>
      </c>
      <c r="B1647" s="10">
        <v>8985</v>
      </c>
    </row>
    <row r="1648" spans="1:2" x14ac:dyDescent="0.3">
      <c r="A1648" s="5">
        <v>37475</v>
      </c>
      <c r="B1648" s="10">
        <v>8980</v>
      </c>
    </row>
    <row r="1649" spans="1:2" x14ac:dyDescent="0.3">
      <c r="A1649" s="5">
        <v>37476</v>
      </c>
      <c r="B1649" s="10">
        <v>8832</v>
      </c>
    </row>
    <row r="1650" spans="1:2" x14ac:dyDescent="0.3">
      <c r="A1650" s="5">
        <v>37477</v>
      </c>
      <c r="B1650" s="10">
        <v>8873</v>
      </c>
    </row>
    <row r="1651" spans="1:2" x14ac:dyDescent="0.3">
      <c r="A1651" s="5">
        <v>37480</v>
      </c>
      <c r="B1651" s="10">
        <v>8894</v>
      </c>
    </row>
    <row r="1652" spans="1:2" x14ac:dyDescent="0.3">
      <c r="A1652" s="5">
        <v>37481</v>
      </c>
      <c r="B1652" s="10">
        <v>8936</v>
      </c>
    </row>
    <row r="1653" spans="1:2" x14ac:dyDescent="0.3">
      <c r="A1653" s="5">
        <v>37482</v>
      </c>
      <c r="B1653" s="10">
        <v>8962</v>
      </c>
    </row>
    <row r="1654" spans="1:2" x14ac:dyDescent="0.3">
      <c r="A1654" s="5">
        <v>37483</v>
      </c>
      <c r="B1654" s="10">
        <v>9034</v>
      </c>
    </row>
    <row r="1655" spans="1:2" x14ac:dyDescent="0.3">
      <c r="A1655" s="5">
        <v>37484</v>
      </c>
      <c r="B1655" s="10">
        <v>9030</v>
      </c>
    </row>
    <row r="1656" spans="1:2" x14ac:dyDescent="0.3">
      <c r="A1656" s="5">
        <v>37488</v>
      </c>
      <c r="B1656" s="10">
        <v>9070</v>
      </c>
    </row>
    <row r="1657" spans="1:2" x14ac:dyDescent="0.3">
      <c r="A1657" s="5">
        <v>37489</v>
      </c>
      <c r="B1657" s="10">
        <v>9094</v>
      </c>
    </row>
    <row r="1658" spans="1:2" x14ac:dyDescent="0.3">
      <c r="A1658" s="5">
        <v>37490</v>
      </c>
      <c r="B1658" s="10">
        <v>9133</v>
      </c>
    </row>
    <row r="1659" spans="1:2" x14ac:dyDescent="0.3">
      <c r="A1659" s="5">
        <v>37491</v>
      </c>
      <c r="B1659" s="10">
        <v>9098</v>
      </c>
    </row>
    <row r="1660" spans="1:2" x14ac:dyDescent="0.3">
      <c r="A1660" s="5">
        <v>37494</v>
      </c>
      <c r="B1660" s="10">
        <v>9098</v>
      </c>
    </row>
    <row r="1661" spans="1:2" x14ac:dyDescent="0.3">
      <c r="A1661" s="5">
        <v>37495</v>
      </c>
      <c r="B1661" s="10">
        <v>9070</v>
      </c>
    </row>
    <row r="1662" spans="1:2" x14ac:dyDescent="0.3">
      <c r="A1662" s="5">
        <v>37496</v>
      </c>
      <c r="B1662" s="10">
        <v>9086</v>
      </c>
    </row>
    <row r="1663" spans="1:2" x14ac:dyDescent="0.3">
      <c r="A1663" s="5">
        <v>37497</v>
      </c>
      <c r="B1663" s="10">
        <v>9109</v>
      </c>
    </row>
    <row r="1664" spans="1:2" x14ac:dyDescent="0.3">
      <c r="A1664" s="5">
        <v>37498</v>
      </c>
      <c r="B1664" s="10">
        <v>9102</v>
      </c>
    </row>
    <row r="1665" spans="1:2" x14ac:dyDescent="0.3">
      <c r="A1665" s="5">
        <v>37501</v>
      </c>
      <c r="B1665" s="10">
        <v>9109</v>
      </c>
    </row>
    <row r="1666" spans="1:2" x14ac:dyDescent="0.3">
      <c r="A1666" s="5">
        <v>37502</v>
      </c>
      <c r="B1666" s="10">
        <v>9144</v>
      </c>
    </row>
    <row r="1667" spans="1:2" x14ac:dyDescent="0.3">
      <c r="A1667" s="5">
        <v>37503</v>
      </c>
      <c r="B1667" s="10">
        <v>9163</v>
      </c>
    </row>
    <row r="1668" spans="1:2" x14ac:dyDescent="0.3">
      <c r="A1668" s="5">
        <v>37504</v>
      </c>
      <c r="B1668" s="10">
        <v>9158</v>
      </c>
    </row>
    <row r="1669" spans="1:2" x14ac:dyDescent="0.3">
      <c r="A1669" s="5">
        <v>37505</v>
      </c>
      <c r="B1669" s="10">
        <v>9338</v>
      </c>
    </row>
    <row r="1670" spans="1:2" x14ac:dyDescent="0.3">
      <c r="A1670" s="5">
        <v>37508</v>
      </c>
      <c r="B1670" s="10">
        <v>9316</v>
      </c>
    </row>
    <row r="1671" spans="1:2" x14ac:dyDescent="0.3">
      <c r="A1671" s="5">
        <v>37509</v>
      </c>
      <c r="B1671" s="10">
        <v>9369</v>
      </c>
    </row>
    <row r="1672" spans="1:2" x14ac:dyDescent="0.3">
      <c r="A1672" s="5">
        <v>37510</v>
      </c>
      <c r="B1672" s="10">
        <v>9374</v>
      </c>
    </row>
    <row r="1673" spans="1:2" x14ac:dyDescent="0.3">
      <c r="A1673" s="5">
        <v>37511</v>
      </c>
      <c r="B1673" s="10">
        <v>9404</v>
      </c>
    </row>
    <row r="1674" spans="1:2" x14ac:dyDescent="0.3">
      <c r="A1674" s="5">
        <v>37512</v>
      </c>
      <c r="B1674" s="10">
        <v>9411</v>
      </c>
    </row>
    <row r="1675" spans="1:2" x14ac:dyDescent="0.3">
      <c r="A1675" s="5">
        <v>37515</v>
      </c>
      <c r="B1675" s="10">
        <v>9450</v>
      </c>
    </row>
    <row r="1676" spans="1:2" x14ac:dyDescent="0.3">
      <c r="A1676" s="5">
        <v>37516</v>
      </c>
      <c r="B1676" s="10">
        <v>9449</v>
      </c>
    </row>
    <row r="1677" spans="1:2" x14ac:dyDescent="0.3">
      <c r="A1677" s="5">
        <v>37517</v>
      </c>
      <c r="B1677" s="10">
        <v>9472</v>
      </c>
    </row>
    <row r="1678" spans="1:2" x14ac:dyDescent="0.3">
      <c r="A1678" s="5">
        <v>37518</v>
      </c>
      <c r="B1678" s="10">
        <v>9481</v>
      </c>
    </row>
    <row r="1679" spans="1:2" x14ac:dyDescent="0.3">
      <c r="A1679" s="5">
        <v>37519</v>
      </c>
      <c r="B1679" s="10">
        <v>9453</v>
      </c>
    </row>
    <row r="1680" spans="1:2" x14ac:dyDescent="0.3">
      <c r="A1680" s="5">
        <v>37522</v>
      </c>
      <c r="B1680" s="10">
        <v>9477</v>
      </c>
    </row>
    <row r="1681" spans="1:2" x14ac:dyDescent="0.3">
      <c r="A1681" s="5">
        <v>37523</v>
      </c>
      <c r="B1681" s="10">
        <v>9476</v>
      </c>
    </row>
    <row r="1682" spans="1:2" x14ac:dyDescent="0.3">
      <c r="A1682" s="5">
        <v>37524</v>
      </c>
      <c r="B1682" s="10">
        <v>9472</v>
      </c>
    </row>
    <row r="1683" spans="1:2" x14ac:dyDescent="0.3">
      <c r="A1683" s="5">
        <v>37525</v>
      </c>
      <c r="B1683" s="10">
        <v>9465</v>
      </c>
    </row>
    <row r="1684" spans="1:2" x14ac:dyDescent="0.3">
      <c r="A1684" s="5">
        <v>37526</v>
      </c>
      <c r="B1684" s="10">
        <v>9431</v>
      </c>
    </row>
    <row r="1685" spans="1:2" x14ac:dyDescent="0.3">
      <c r="A1685" s="5">
        <v>37529</v>
      </c>
      <c r="B1685" s="10">
        <v>9404</v>
      </c>
    </row>
    <row r="1686" spans="1:2" x14ac:dyDescent="0.3">
      <c r="A1686" s="5">
        <v>37530</v>
      </c>
      <c r="B1686" s="10">
        <v>9426</v>
      </c>
    </row>
    <row r="1687" spans="1:2" x14ac:dyDescent="0.3">
      <c r="A1687" s="5">
        <v>37531</v>
      </c>
      <c r="B1687" s="10">
        <v>9414</v>
      </c>
    </row>
    <row r="1688" spans="1:2" x14ac:dyDescent="0.3">
      <c r="A1688" s="5">
        <v>37532</v>
      </c>
      <c r="B1688" s="10">
        <v>9426</v>
      </c>
    </row>
    <row r="1689" spans="1:2" x14ac:dyDescent="0.3">
      <c r="A1689" s="5">
        <v>37533</v>
      </c>
      <c r="B1689" s="10">
        <v>9377</v>
      </c>
    </row>
    <row r="1690" spans="1:2" x14ac:dyDescent="0.3">
      <c r="A1690" s="5">
        <v>37536</v>
      </c>
      <c r="B1690" s="10">
        <v>9399</v>
      </c>
    </row>
    <row r="1691" spans="1:2" x14ac:dyDescent="0.3">
      <c r="A1691" s="5">
        <v>37537</v>
      </c>
      <c r="B1691" s="10">
        <v>9401</v>
      </c>
    </row>
    <row r="1692" spans="1:2" x14ac:dyDescent="0.3">
      <c r="A1692" s="5">
        <v>37538</v>
      </c>
      <c r="B1692" s="10">
        <v>9435</v>
      </c>
    </row>
    <row r="1693" spans="1:2" x14ac:dyDescent="0.3">
      <c r="A1693" s="5">
        <v>37539</v>
      </c>
      <c r="B1693" s="10">
        <v>9380</v>
      </c>
    </row>
    <row r="1694" spans="1:2" x14ac:dyDescent="0.3">
      <c r="A1694" s="5">
        <v>37540</v>
      </c>
      <c r="B1694" s="10">
        <v>9383</v>
      </c>
    </row>
    <row r="1695" spans="1:2" x14ac:dyDescent="0.3">
      <c r="A1695" s="5">
        <v>37544</v>
      </c>
      <c r="B1695" s="10">
        <v>9458</v>
      </c>
    </row>
    <row r="1696" spans="1:2" x14ac:dyDescent="0.3">
      <c r="A1696" s="5">
        <v>37545</v>
      </c>
      <c r="B1696" s="10">
        <v>9523</v>
      </c>
    </row>
    <row r="1697" spans="1:2" x14ac:dyDescent="0.3">
      <c r="A1697" s="5">
        <v>37546</v>
      </c>
      <c r="B1697" s="10">
        <v>9634</v>
      </c>
    </row>
    <row r="1698" spans="1:2" x14ac:dyDescent="0.3">
      <c r="A1698" s="5">
        <v>37547</v>
      </c>
      <c r="B1698" s="10">
        <v>9630</v>
      </c>
    </row>
    <row r="1699" spans="1:2" x14ac:dyDescent="0.3">
      <c r="A1699" s="5">
        <v>37550</v>
      </c>
      <c r="B1699" s="10">
        <v>9629</v>
      </c>
    </row>
    <row r="1700" spans="1:2" x14ac:dyDescent="0.3">
      <c r="A1700" s="5">
        <v>37551</v>
      </c>
      <c r="B1700" s="10">
        <v>9641</v>
      </c>
    </row>
    <row r="1701" spans="1:2" x14ac:dyDescent="0.3">
      <c r="A1701" s="5">
        <v>37552</v>
      </c>
      <c r="B1701" s="10">
        <v>9712</v>
      </c>
    </row>
    <row r="1702" spans="1:2" x14ac:dyDescent="0.3">
      <c r="A1702" s="5">
        <v>37553</v>
      </c>
      <c r="B1702" s="10">
        <v>9732</v>
      </c>
    </row>
    <row r="1703" spans="1:2" x14ac:dyDescent="0.3">
      <c r="A1703" s="5">
        <v>37554</v>
      </c>
      <c r="B1703" s="10">
        <v>9749</v>
      </c>
    </row>
    <row r="1704" spans="1:2" x14ac:dyDescent="0.3">
      <c r="A1704" s="5">
        <v>37557</v>
      </c>
      <c r="B1704" s="10">
        <v>9772</v>
      </c>
    </row>
    <row r="1705" spans="1:2" x14ac:dyDescent="0.3">
      <c r="A1705" s="5">
        <v>37558</v>
      </c>
      <c r="B1705" s="10">
        <v>9789</v>
      </c>
    </row>
    <row r="1706" spans="1:2" x14ac:dyDescent="0.3">
      <c r="A1706" s="5">
        <v>37559</v>
      </c>
      <c r="B1706" s="10">
        <v>9835</v>
      </c>
    </row>
    <row r="1707" spans="1:2" x14ac:dyDescent="0.3">
      <c r="A1707" s="5">
        <v>37560</v>
      </c>
      <c r="B1707" s="10">
        <v>9883</v>
      </c>
    </row>
    <row r="1708" spans="1:2" x14ac:dyDescent="0.3">
      <c r="A1708" s="5">
        <v>37561</v>
      </c>
      <c r="B1708" s="10">
        <v>9918</v>
      </c>
    </row>
    <row r="1709" spans="1:2" x14ac:dyDescent="0.3">
      <c r="A1709" s="5">
        <v>37564</v>
      </c>
      <c r="B1709" s="10">
        <v>9916</v>
      </c>
    </row>
    <row r="1710" spans="1:2" x14ac:dyDescent="0.3">
      <c r="A1710" s="5">
        <v>37565</v>
      </c>
      <c r="B1710" s="10">
        <v>9922</v>
      </c>
    </row>
    <row r="1711" spans="1:2" x14ac:dyDescent="0.3">
      <c r="A1711" s="5">
        <v>37567</v>
      </c>
      <c r="B1711" s="10">
        <v>9805</v>
      </c>
    </row>
    <row r="1712" spans="1:2" x14ac:dyDescent="0.3">
      <c r="A1712" s="5">
        <v>37568</v>
      </c>
      <c r="B1712" s="10">
        <v>9897</v>
      </c>
    </row>
    <row r="1713" spans="1:2" x14ac:dyDescent="0.3">
      <c r="A1713" s="5">
        <v>37571</v>
      </c>
      <c r="B1713" s="10">
        <v>9711</v>
      </c>
    </row>
    <row r="1714" spans="1:2" x14ac:dyDescent="0.3">
      <c r="A1714" s="5">
        <v>37572</v>
      </c>
      <c r="B1714" s="10">
        <v>9810</v>
      </c>
    </row>
    <row r="1715" spans="1:2" x14ac:dyDescent="0.3">
      <c r="A1715" s="5">
        <v>37573</v>
      </c>
      <c r="B1715" s="10">
        <v>9854</v>
      </c>
    </row>
    <row r="1716" spans="1:2" x14ac:dyDescent="0.3">
      <c r="A1716" s="5">
        <v>37574</v>
      </c>
      <c r="B1716" s="10">
        <v>9787</v>
      </c>
    </row>
    <row r="1717" spans="1:2" x14ac:dyDescent="0.3">
      <c r="A1717" s="5">
        <v>37575</v>
      </c>
      <c r="B1717" s="10">
        <v>9777</v>
      </c>
    </row>
    <row r="1718" spans="1:2" x14ac:dyDescent="0.3">
      <c r="A1718" s="5">
        <v>37578</v>
      </c>
      <c r="B1718" s="10">
        <v>9821</v>
      </c>
    </row>
    <row r="1719" spans="1:2" x14ac:dyDescent="0.3">
      <c r="A1719" s="5">
        <v>37579</v>
      </c>
      <c r="B1719" s="10">
        <v>9864</v>
      </c>
    </row>
    <row r="1720" spans="1:2" x14ac:dyDescent="0.3">
      <c r="A1720" s="5">
        <v>37580</v>
      </c>
      <c r="B1720" s="10">
        <v>9823</v>
      </c>
    </row>
    <row r="1721" spans="1:2" x14ac:dyDescent="0.3">
      <c r="A1721" s="5">
        <v>37581</v>
      </c>
      <c r="B1721" s="10">
        <v>9861</v>
      </c>
    </row>
    <row r="1722" spans="1:2" x14ac:dyDescent="0.3">
      <c r="A1722" s="5">
        <v>37582</v>
      </c>
      <c r="B1722" s="10">
        <v>9883</v>
      </c>
    </row>
    <row r="1723" spans="1:2" x14ac:dyDescent="0.3">
      <c r="A1723" s="5">
        <v>37585</v>
      </c>
      <c r="B1723" s="10">
        <v>9906</v>
      </c>
    </row>
    <row r="1724" spans="1:2" x14ac:dyDescent="0.3">
      <c r="A1724" s="5">
        <v>37586</v>
      </c>
      <c r="B1724" s="10">
        <v>9993</v>
      </c>
    </row>
    <row r="1725" spans="1:2" x14ac:dyDescent="0.3">
      <c r="A1725" s="5">
        <v>37587</v>
      </c>
      <c r="B1725" s="10">
        <v>10030</v>
      </c>
    </row>
    <row r="1726" spans="1:2" x14ac:dyDescent="0.3">
      <c r="A1726" s="5">
        <v>37588</v>
      </c>
      <c r="B1726" s="10">
        <v>10019</v>
      </c>
    </row>
    <row r="1727" spans="1:2" x14ac:dyDescent="0.3">
      <c r="A1727" s="5">
        <v>37589</v>
      </c>
      <c r="B1727" s="10">
        <v>10022</v>
      </c>
    </row>
    <row r="1728" spans="1:2" x14ac:dyDescent="0.3">
      <c r="A1728" s="5">
        <v>37592</v>
      </c>
      <c r="B1728" s="10">
        <v>10071</v>
      </c>
    </row>
    <row r="1729" spans="1:2" x14ac:dyDescent="0.3">
      <c r="A1729" s="5">
        <v>37593</v>
      </c>
      <c r="B1729" s="10">
        <v>10111</v>
      </c>
    </row>
    <row r="1730" spans="1:2" x14ac:dyDescent="0.3">
      <c r="A1730" s="5">
        <v>37594</v>
      </c>
      <c r="B1730" s="10">
        <v>10128</v>
      </c>
    </row>
    <row r="1731" spans="1:2" x14ac:dyDescent="0.3">
      <c r="A1731" s="5">
        <v>37595</v>
      </c>
      <c r="B1731" s="10">
        <v>10140</v>
      </c>
    </row>
    <row r="1732" spans="1:2" x14ac:dyDescent="0.3">
      <c r="A1732" s="5">
        <v>37596</v>
      </c>
      <c r="B1732" s="10">
        <v>10139</v>
      </c>
    </row>
    <row r="1733" spans="1:2" x14ac:dyDescent="0.3">
      <c r="A1733" s="5">
        <v>37599</v>
      </c>
      <c r="B1733" s="10">
        <v>10152</v>
      </c>
    </row>
    <row r="1734" spans="1:2" x14ac:dyDescent="0.3">
      <c r="A1734" s="5">
        <v>37600</v>
      </c>
      <c r="B1734" s="10">
        <v>10186</v>
      </c>
    </row>
    <row r="1735" spans="1:2" x14ac:dyDescent="0.3">
      <c r="A1735" s="5">
        <v>37601</v>
      </c>
      <c r="B1735" s="10">
        <v>10221</v>
      </c>
    </row>
    <row r="1736" spans="1:2" x14ac:dyDescent="0.3">
      <c r="A1736" s="5">
        <v>37602</v>
      </c>
      <c r="B1736" s="10">
        <v>10234</v>
      </c>
    </row>
    <row r="1737" spans="1:2" x14ac:dyDescent="0.3">
      <c r="A1737" s="5">
        <v>37603</v>
      </c>
      <c r="B1737" s="10">
        <v>10259</v>
      </c>
    </row>
    <row r="1738" spans="1:2" x14ac:dyDescent="0.3">
      <c r="A1738" s="5">
        <v>37606</v>
      </c>
      <c r="B1738" s="10">
        <v>10203</v>
      </c>
    </row>
    <row r="1739" spans="1:2" x14ac:dyDescent="0.3">
      <c r="A1739" s="5">
        <v>37607</v>
      </c>
      <c r="B1739" s="10">
        <v>10206</v>
      </c>
    </row>
    <row r="1740" spans="1:2" x14ac:dyDescent="0.3">
      <c r="A1740" s="5">
        <v>37608</v>
      </c>
      <c r="B1740" s="10">
        <v>10247</v>
      </c>
    </row>
    <row r="1741" spans="1:2" x14ac:dyDescent="0.3">
      <c r="A1741" s="5">
        <v>37609</v>
      </c>
      <c r="B1741" s="10">
        <v>10274</v>
      </c>
    </row>
    <row r="1742" spans="1:2" x14ac:dyDescent="0.3">
      <c r="A1742" s="5">
        <v>37610</v>
      </c>
      <c r="B1742" s="10">
        <v>10295</v>
      </c>
    </row>
    <row r="1743" spans="1:2" x14ac:dyDescent="0.3">
      <c r="A1743" s="5">
        <v>37613</v>
      </c>
      <c r="B1743" s="10">
        <v>10368</v>
      </c>
    </row>
    <row r="1744" spans="1:2" x14ac:dyDescent="0.3">
      <c r="A1744" s="5">
        <v>37614</v>
      </c>
      <c r="B1744" s="10">
        <v>10378</v>
      </c>
    </row>
    <row r="1745" spans="1:2" x14ac:dyDescent="0.3">
      <c r="A1745" s="5">
        <v>37616</v>
      </c>
      <c r="B1745" s="10">
        <v>10415</v>
      </c>
    </row>
    <row r="1746" spans="1:2" x14ac:dyDescent="0.3">
      <c r="A1746" s="5">
        <v>37617</v>
      </c>
      <c r="B1746" s="10">
        <v>10469</v>
      </c>
    </row>
    <row r="1747" spans="1:2" x14ac:dyDescent="0.3">
      <c r="A1747" s="5">
        <v>37620</v>
      </c>
      <c r="B1747" s="10">
        <v>10516</v>
      </c>
    </row>
    <row r="1748" spans="1:2" x14ac:dyDescent="0.3">
      <c r="A1748" s="5">
        <v>37621</v>
      </c>
      <c r="B1748" s="10">
        <v>10476</v>
      </c>
    </row>
    <row r="1749" spans="1:2" x14ac:dyDescent="0.3">
      <c r="A1749" s="5">
        <v>37623</v>
      </c>
      <c r="B1749" s="10">
        <v>10501</v>
      </c>
    </row>
    <row r="1750" spans="1:2" x14ac:dyDescent="0.3">
      <c r="A1750" s="5">
        <v>37624</v>
      </c>
      <c r="B1750" s="10">
        <v>10505</v>
      </c>
    </row>
    <row r="1751" spans="1:2" x14ac:dyDescent="0.3">
      <c r="A1751" s="5">
        <v>37627</v>
      </c>
      <c r="B1751" s="10">
        <v>10564</v>
      </c>
    </row>
    <row r="1752" spans="1:2" x14ac:dyDescent="0.3">
      <c r="A1752" s="5">
        <v>37628</v>
      </c>
      <c r="B1752" s="10">
        <v>10605</v>
      </c>
    </row>
    <row r="1753" spans="1:2" x14ac:dyDescent="0.3">
      <c r="A1753" s="5">
        <v>37629</v>
      </c>
      <c r="B1753" s="10">
        <v>10652</v>
      </c>
    </row>
    <row r="1754" spans="1:2" x14ac:dyDescent="0.3">
      <c r="A1754" s="5">
        <v>37630</v>
      </c>
      <c r="B1754" s="10">
        <v>10663</v>
      </c>
    </row>
    <row r="1755" spans="1:2" x14ac:dyDescent="0.3">
      <c r="A1755" s="5">
        <v>37631</v>
      </c>
      <c r="B1755" s="10">
        <v>10645</v>
      </c>
    </row>
    <row r="1756" spans="1:2" x14ac:dyDescent="0.3">
      <c r="A1756" s="5">
        <v>37634</v>
      </c>
      <c r="B1756" s="10">
        <v>10664</v>
      </c>
    </row>
    <row r="1757" spans="1:2" x14ac:dyDescent="0.3">
      <c r="A1757" s="5">
        <v>37635</v>
      </c>
      <c r="B1757" s="10">
        <v>10693</v>
      </c>
    </row>
    <row r="1758" spans="1:2" x14ac:dyDescent="0.3">
      <c r="A1758" s="5">
        <v>37636</v>
      </c>
      <c r="B1758" s="10">
        <v>10730</v>
      </c>
    </row>
    <row r="1759" spans="1:2" x14ac:dyDescent="0.3">
      <c r="A1759" s="5">
        <v>37637</v>
      </c>
      <c r="B1759" s="10">
        <v>10746</v>
      </c>
    </row>
    <row r="1760" spans="1:2" x14ac:dyDescent="0.3">
      <c r="A1760" s="5">
        <v>37638</v>
      </c>
      <c r="B1760" s="10">
        <v>9751</v>
      </c>
    </row>
    <row r="1761" spans="1:2" x14ac:dyDescent="0.3">
      <c r="A1761" s="5">
        <v>37641</v>
      </c>
      <c r="B1761" s="10">
        <v>9752</v>
      </c>
    </row>
    <row r="1762" spans="1:2" x14ac:dyDescent="0.3">
      <c r="A1762" s="5">
        <v>37642</v>
      </c>
      <c r="B1762" s="10">
        <v>9815</v>
      </c>
    </row>
    <row r="1763" spans="1:2" x14ac:dyDescent="0.3">
      <c r="A1763" s="5">
        <v>37643</v>
      </c>
      <c r="B1763" s="10">
        <v>9831</v>
      </c>
    </row>
    <row r="1764" spans="1:2" x14ac:dyDescent="0.3">
      <c r="A1764" s="5">
        <v>37644</v>
      </c>
      <c r="B1764" s="10">
        <v>8267</v>
      </c>
    </row>
    <row r="1765" spans="1:2" x14ac:dyDescent="0.3">
      <c r="A1765" s="5">
        <v>37645</v>
      </c>
      <c r="B1765" s="10">
        <v>8245</v>
      </c>
    </row>
    <row r="1766" spans="1:2" x14ac:dyDescent="0.3">
      <c r="A1766" s="5">
        <v>37648</v>
      </c>
      <c r="B1766" s="10">
        <v>9262</v>
      </c>
    </row>
    <row r="1767" spans="1:2" x14ac:dyDescent="0.3">
      <c r="A1767" s="5">
        <v>37649</v>
      </c>
      <c r="B1767" s="10">
        <v>9264</v>
      </c>
    </row>
    <row r="1768" spans="1:2" x14ac:dyDescent="0.3">
      <c r="A1768" s="5">
        <v>37650</v>
      </c>
      <c r="B1768" s="10">
        <v>9330</v>
      </c>
    </row>
    <row r="1769" spans="1:2" x14ac:dyDescent="0.3">
      <c r="A1769" s="5">
        <v>37651</v>
      </c>
      <c r="B1769" s="10">
        <v>9334</v>
      </c>
    </row>
    <row r="1770" spans="1:2" x14ac:dyDescent="0.3">
      <c r="A1770" s="5">
        <v>37652</v>
      </c>
      <c r="B1770" s="10">
        <v>9326</v>
      </c>
    </row>
    <row r="1771" spans="1:2" x14ac:dyDescent="0.3">
      <c r="A1771" s="5">
        <v>37655</v>
      </c>
      <c r="B1771" s="10">
        <v>9308</v>
      </c>
    </row>
    <row r="1772" spans="1:2" x14ac:dyDescent="0.3">
      <c r="A1772" s="5">
        <v>37656</v>
      </c>
      <c r="B1772" s="10">
        <v>9290</v>
      </c>
    </row>
    <row r="1773" spans="1:2" x14ac:dyDescent="0.3">
      <c r="A1773" s="5">
        <v>37657</v>
      </c>
      <c r="B1773" s="10">
        <v>9306</v>
      </c>
    </row>
    <row r="1774" spans="1:2" x14ac:dyDescent="0.3">
      <c r="A1774" s="5">
        <v>37658</v>
      </c>
      <c r="B1774" s="10">
        <v>9320</v>
      </c>
    </row>
    <row r="1775" spans="1:2" x14ac:dyDescent="0.3">
      <c r="A1775" s="5">
        <v>37659</v>
      </c>
      <c r="B1775" s="10">
        <v>9210</v>
      </c>
    </row>
    <row r="1776" spans="1:2" x14ac:dyDescent="0.3">
      <c r="A1776" s="5">
        <v>37662</v>
      </c>
      <c r="B1776" s="10">
        <v>9232</v>
      </c>
    </row>
    <row r="1777" spans="1:2" x14ac:dyDescent="0.3">
      <c r="A1777" s="5">
        <v>37663</v>
      </c>
      <c r="B1777" s="10">
        <v>9256</v>
      </c>
    </row>
    <row r="1778" spans="1:2" x14ac:dyDescent="0.3">
      <c r="A1778" s="5">
        <v>37664</v>
      </c>
      <c r="B1778" s="10">
        <v>9236</v>
      </c>
    </row>
    <row r="1779" spans="1:2" x14ac:dyDescent="0.3">
      <c r="A1779" s="5">
        <v>37665</v>
      </c>
      <c r="B1779" s="10">
        <v>9291</v>
      </c>
    </row>
    <row r="1780" spans="1:2" x14ac:dyDescent="0.3">
      <c r="A1780" s="5">
        <v>37666</v>
      </c>
      <c r="B1780" s="10">
        <v>9440</v>
      </c>
    </row>
    <row r="1781" spans="1:2" x14ac:dyDescent="0.3">
      <c r="A1781" s="5">
        <v>37669</v>
      </c>
      <c r="B1781" s="10">
        <v>9439</v>
      </c>
    </row>
    <row r="1782" spans="1:2" x14ac:dyDescent="0.3">
      <c r="A1782" s="5">
        <v>37670</v>
      </c>
      <c r="B1782" s="10">
        <v>9434</v>
      </c>
    </row>
    <row r="1783" spans="1:2" x14ac:dyDescent="0.3">
      <c r="A1783" s="5">
        <v>37671</v>
      </c>
      <c r="B1783" s="10">
        <v>10194</v>
      </c>
    </row>
    <row r="1784" spans="1:2" x14ac:dyDescent="0.3">
      <c r="A1784" s="5">
        <v>37672</v>
      </c>
      <c r="B1784" s="10">
        <v>10209</v>
      </c>
    </row>
    <row r="1785" spans="1:2" x14ac:dyDescent="0.3">
      <c r="A1785" s="5">
        <v>37673</v>
      </c>
      <c r="B1785" s="10">
        <v>10247</v>
      </c>
    </row>
    <row r="1786" spans="1:2" x14ac:dyDescent="0.3">
      <c r="A1786" s="5">
        <v>37676</v>
      </c>
      <c r="B1786" s="10">
        <v>10251</v>
      </c>
    </row>
    <row r="1787" spans="1:2" x14ac:dyDescent="0.3">
      <c r="A1787" s="5">
        <v>37677</v>
      </c>
      <c r="B1787" s="10">
        <v>10274</v>
      </c>
    </row>
    <row r="1788" spans="1:2" x14ac:dyDescent="0.3">
      <c r="A1788" s="5">
        <v>37678</v>
      </c>
      <c r="B1788" s="10">
        <v>10300</v>
      </c>
    </row>
    <row r="1789" spans="1:2" x14ac:dyDescent="0.3">
      <c r="A1789" s="5">
        <v>37679</v>
      </c>
      <c r="B1789" s="10">
        <v>10295</v>
      </c>
    </row>
    <row r="1790" spans="1:2" x14ac:dyDescent="0.3">
      <c r="A1790" s="5">
        <v>37680</v>
      </c>
      <c r="B1790" s="10">
        <v>10289</v>
      </c>
    </row>
    <row r="1791" spans="1:2" x14ac:dyDescent="0.3">
      <c r="A1791" s="5">
        <v>37683</v>
      </c>
      <c r="B1791" s="10">
        <v>10256</v>
      </c>
    </row>
    <row r="1792" spans="1:2" x14ac:dyDescent="0.3">
      <c r="A1792" s="5">
        <v>37684</v>
      </c>
      <c r="B1792" s="10">
        <v>10263</v>
      </c>
    </row>
    <row r="1793" spans="1:2" x14ac:dyDescent="0.3">
      <c r="A1793" s="5">
        <v>37685</v>
      </c>
      <c r="B1793" s="10">
        <v>10266</v>
      </c>
    </row>
    <row r="1794" spans="1:2" x14ac:dyDescent="0.3">
      <c r="A1794" s="5">
        <v>37686</v>
      </c>
      <c r="B1794" s="10">
        <v>10276</v>
      </c>
    </row>
    <row r="1795" spans="1:2" x14ac:dyDescent="0.3">
      <c r="A1795" s="5">
        <v>37687</v>
      </c>
      <c r="B1795" s="10">
        <v>10279</v>
      </c>
    </row>
    <row r="1796" spans="1:2" x14ac:dyDescent="0.3">
      <c r="A1796" s="5">
        <v>37690</v>
      </c>
      <c r="B1796" s="10">
        <v>10304</v>
      </c>
    </row>
    <row r="1797" spans="1:2" x14ac:dyDescent="0.3">
      <c r="A1797" s="5">
        <v>37691</v>
      </c>
      <c r="B1797" s="10">
        <v>10310</v>
      </c>
    </row>
    <row r="1798" spans="1:2" x14ac:dyDescent="0.3">
      <c r="A1798" s="5">
        <v>37692</v>
      </c>
      <c r="B1798" s="10">
        <v>10312</v>
      </c>
    </row>
    <row r="1799" spans="1:2" x14ac:dyDescent="0.3">
      <c r="A1799" s="5">
        <v>37693</v>
      </c>
      <c r="B1799" s="10">
        <v>10312</v>
      </c>
    </row>
    <row r="1800" spans="1:2" x14ac:dyDescent="0.3">
      <c r="A1800" s="5">
        <v>37694</v>
      </c>
      <c r="B1800" s="10">
        <v>10326</v>
      </c>
    </row>
    <row r="1801" spans="1:2" x14ac:dyDescent="0.3">
      <c r="A1801" s="5">
        <v>37697</v>
      </c>
      <c r="B1801" s="10">
        <v>10209</v>
      </c>
    </row>
    <row r="1802" spans="1:2" x14ac:dyDescent="0.3">
      <c r="A1802" s="5">
        <v>37698</v>
      </c>
      <c r="B1802" s="10">
        <v>10224</v>
      </c>
    </row>
    <row r="1803" spans="1:2" x14ac:dyDescent="0.3">
      <c r="A1803" s="5">
        <v>37699</v>
      </c>
      <c r="B1803" s="10">
        <v>10176</v>
      </c>
    </row>
    <row r="1804" spans="1:2" x14ac:dyDescent="0.3">
      <c r="A1804" s="5">
        <v>37700</v>
      </c>
      <c r="B1804" s="10">
        <v>10513</v>
      </c>
    </row>
    <row r="1805" spans="1:2" x14ac:dyDescent="0.3">
      <c r="A1805" s="5">
        <v>37701</v>
      </c>
      <c r="B1805" s="10">
        <v>10507</v>
      </c>
    </row>
    <row r="1806" spans="1:2" x14ac:dyDescent="0.3">
      <c r="A1806" s="5">
        <v>37704</v>
      </c>
      <c r="B1806" s="10">
        <v>10496</v>
      </c>
    </row>
    <row r="1807" spans="1:2" x14ac:dyDescent="0.3">
      <c r="A1807" s="5">
        <v>37705</v>
      </c>
      <c r="B1807" s="10">
        <v>10533</v>
      </c>
    </row>
    <row r="1808" spans="1:2" x14ac:dyDescent="0.3">
      <c r="A1808" s="5">
        <v>37706</v>
      </c>
      <c r="B1808" s="10">
        <v>10555</v>
      </c>
    </row>
    <row r="1809" spans="1:2" x14ac:dyDescent="0.3">
      <c r="A1809" s="5">
        <v>37707</v>
      </c>
      <c r="B1809" s="10">
        <v>10576</v>
      </c>
    </row>
    <row r="1810" spans="1:2" x14ac:dyDescent="0.3">
      <c r="A1810" s="5">
        <v>37708</v>
      </c>
      <c r="B1810" s="10">
        <v>10517</v>
      </c>
    </row>
    <row r="1811" spans="1:2" x14ac:dyDescent="0.3">
      <c r="A1811" s="5">
        <v>37712</v>
      </c>
      <c r="B1811" s="10">
        <v>10513</v>
      </c>
    </row>
    <row r="1812" spans="1:2" x14ac:dyDescent="0.3">
      <c r="A1812" s="5">
        <v>37713</v>
      </c>
      <c r="B1812" s="10">
        <v>10515</v>
      </c>
    </row>
    <row r="1813" spans="1:2" x14ac:dyDescent="0.3">
      <c r="A1813" s="5">
        <v>37714</v>
      </c>
      <c r="B1813" s="10">
        <v>10540</v>
      </c>
    </row>
    <row r="1814" spans="1:2" x14ac:dyDescent="0.3">
      <c r="A1814" s="5">
        <v>37715</v>
      </c>
      <c r="B1814" s="10">
        <v>10547</v>
      </c>
    </row>
    <row r="1815" spans="1:2" x14ac:dyDescent="0.3">
      <c r="A1815" s="5">
        <v>37718</v>
      </c>
      <c r="B1815" s="10">
        <v>10519</v>
      </c>
    </row>
    <row r="1816" spans="1:2" x14ac:dyDescent="0.3">
      <c r="A1816" s="5">
        <v>37719</v>
      </c>
      <c r="B1816" s="10">
        <v>10506</v>
      </c>
    </row>
    <row r="1817" spans="1:2" x14ac:dyDescent="0.3">
      <c r="A1817" s="5">
        <v>37720</v>
      </c>
      <c r="B1817" s="10">
        <v>10514</v>
      </c>
    </row>
    <row r="1818" spans="1:2" x14ac:dyDescent="0.3">
      <c r="A1818" s="5">
        <v>37721</v>
      </c>
      <c r="B1818" s="10">
        <v>10448</v>
      </c>
    </row>
    <row r="1819" spans="1:2" x14ac:dyDescent="0.3">
      <c r="A1819" s="5">
        <v>37722</v>
      </c>
      <c r="B1819" s="10">
        <v>10472</v>
      </c>
    </row>
    <row r="1820" spans="1:2" x14ac:dyDescent="0.3">
      <c r="A1820" s="5">
        <v>37725</v>
      </c>
      <c r="B1820" s="10">
        <v>10472</v>
      </c>
    </row>
    <row r="1821" spans="1:2" x14ac:dyDescent="0.3">
      <c r="A1821" s="5">
        <v>37726</v>
      </c>
      <c r="B1821" s="10">
        <v>10477</v>
      </c>
    </row>
    <row r="1822" spans="1:2" x14ac:dyDescent="0.3">
      <c r="A1822" s="5">
        <v>37727</v>
      </c>
      <c r="B1822" s="10">
        <v>10484</v>
      </c>
    </row>
    <row r="1823" spans="1:2" x14ac:dyDescent="0.3">
      <c r="A1823" s="5">
        <v>37732</v>
      </c>
      <c r="B1823" s="10">
        <v>10502</v>
      </c>
    </row>
    <row r="1824" spans="1:2" x14ac:dyDescent="0.3">
      <c r="A1824" s="5">
        <v>37733</v>
      </c>
      <c r="B1824" s="10">
        <v>10541</v>
      </c>
    </row>
    <row r="1825" spans="1:2" x14ac:dyDescent="0.3">
      <c r="A1825" s="5">
        <v>37734</v>
      </c>
      <c r="B1825" s="10">
        <v>10595</v>
      </c>
    </row>
    <row r="1826" spans="1:2" x14ac:dyDescent="0.3">
      <c r="A1826" s="5">
        <v>37735</v>
      </c>
      <c r="B1826" s="10">
        <v>10609</v>
      </c>
    </row>
    <row r="1827" spans="1:2" x14ac:dyDescent="0.3">
      <c r="A1827" s="5">
        <v>37736</v>
      </c>
      <c r="B1827" s="10">
        <v>10867</v>
      </c>
    </row>
    <row r="1828" spans="1:2" x14ac:dyDescent="0.3">
      <c r="A1828" s="5">
        <v>37739</v>
      </c>
      <c r="B1828" s="10">
        <v>10891</v>
      </c>
    </row>
    <row r="1829" spans="1:2" x14ac:dyDescent="0.3">
      <c r="A1829" s="5">
        <v>37740</v>
      </c>
      <c r="B1829" s="10">
        <v>10948</v>
      </c>
    </row>
    <row r="1830" spans="1:2" x14ac:dyDescent="0.3">
      <c r="A1830" s="5">
        <v>37741</v>
      </c>
      <c r="B1830" s="10">
        <v>10971</v>
      </c>
    </row>
    <row r="1831" spans="1:2" x14ac:dyDescent="0.3">
      <c r="A1831" s="5">
        <v>37743</v>
      </c>
      <c r="B1831" s="10">
        <v>11102</v>
      </c>
    </row>
    <row r="1832" spans="1:2" x14ac:dyDescent="0.3">
      <c r="A1832" s="5">
        <v>37746</v>
      </c>
      <c r="B1832" s="10">
        <v>11182</v>
      </c>
    </row>
    <row r="1833" spans="1:2" x14ac:dyDescent="0.3">
      <c r="A1833" s="5">
        <v>37747</v>
      </c>
      <c r="B1833" s="10">
        <v>11260</v>
      </c>
    </row>
    <row r="1834" spans="1:2" x14ac:dyDescent="0.3">
      <c r="A1834" s="5">
        <v>37748</v>
      </c>
      <c r="B1834" s="10">
        <v>10996</v>
      </c>
    </row>
    <row r="1835" spans="1:2" x14ac:dyDescent="0.3">
      <c r="A1835" s="5">
        <v>37749</v>
      </c>
      <c r="B1835" s="10">
        <v>11135</v>
      </c>
    </row>
    <row r="1836" spans="1:2" x14ac:dyDescent="0.3">
      <c r="A1836" s="5">
        <v>37750</v>
      </c>
      <c r="B1836" s="10">
        <v>11292</v>
      </c>
    </row>
    <row r="1837" spans="1:2" x14ac:dyDescent="0.3">
      <c r="A1837" s="5">
        <v>37753</v>
      </c>
      <c r="B1837" s="10">
        <v>11354</v>
      </c>
    </row>
    <row r="1838" spans="1:2" x14ac:dyDescent="0.3">
      <c r="A1838" s="5">
        <v>37754</v>
      </c>
      <c r="B1838" s="10">
        <v>11465</v>
      </c>
    </row>
    <row r="1839" spans="1:2" x14ac:dyDescent="0.3">
      <c r="A1839" s="5">
        <v>37755</v>
      </c>
      <c r="B1839" s="10">
        <v>10735</v>
      </c>
    </row>
    <row r="1840" spans="1:2" x14ac:dyDescent="0.3">
      <c r="A1840" s="5">
        <v>37756</v>
      </c>
      <c r="B1840" s="10">
        <v>10755</v>
      </c>
    </row>
    <row r="1841" spans="1:2" x14ac:dyDescent="0.3">
      <c r="A1841" s="5">
        <v>37757</v>
      </c>
      <c r="B1841" s="10">
        <v>10898</v>
      </c>
    </row>
    <row r="1842" spans="1:2" x14ac:dyDescent="0.3">
      <c r="A1842" s="5">
        <v>37760</v>
      </c>
      <c r="B1842" s="10">
        <v>10881</v>
      </c>
    </row>
    <row r="1843" spans="1:2" x14ac:dyDescent="0.3">
      <c r="A1843" s="5">
        <v>37761</v>
      </c>
      <c r="B1843" s="10">
        <v>10971</v>
      </c>
    </row>
    <row r="1844" spans="1:2" x14ac:dyDescent="0.3">
      <c r="A1844" s="5">
        <v>37762</v>
      </c>
      <c r="B1844" s="10">
        <v>10988</v>
      </c>
    </row>
    <row r="1845" spans="1:2" x14ac:dyDescent="0.3">
      <c r="A1845" s="5">
        <v>37763</v>
      </c>
      <c r="B1845" s="10">
        <v>11008</v>
      </c>
    </row>
    <row r="1846" spans="1:2" x14ac:dyDescent="0.3">
      <c r="A1846" s="5">
        <v>37764</v>
      </c>
      <c r="B1846" s="10">
        <v>11045</v>
      </c>
    </row>
    <row r="1847" spans="1:2" x14ac:dyDescent="0.3">
      <c r="A1847" s="5">
        <v>37767</v>
      </c>
      <c r="B1847" s="10">
        <v>11048</v>
      </c>
    </row>
    <row r="1848" spans="1:2" x14ac:dyDescent="0.3">
      <c r="A1848" s="5">
        <v>37768</v>
      </c>
      <c r="B1848" s="10">
        <v>11052</v>
      </c>
    </row>
    <row r="1849" spans="1:2" x14ac:dyDescent="0.3">
      <c r="A1849" s="5">
        <v>37769</v>
      </c>
      <c r="B1849" s="10">
        <v>11048</v>
      </c>
    </row>
    <row r="1850" spans="1:2" x14ac:dyDescent="0.3">
      <c r="A1850" s="5">
        <v>37770</v>
      </c>
      <c r="B1850" s="10">
        <v>11087</v>
      </c>
    </row>
    <row r="1851" spans="1:2" x14ac:dyDescent="0.3">
      <c r="A1851" s="5">
        <v>37771</v>
      </c>
      <c r="B1851" s="10">
        <v>11374</v>
      </c>
    </row>
    <row r="1852" spans="1:2" x14ac:dyDescent="0.3">
      <c r="A1852" s="5">
        <v>37774</v>
      </c>
      <c r="B1852" s="10">
        <v>11547</v>
      </c>
    </row>
    <row r="1853" spans="1:2" x14ac:dyDescent="0.3">
      <c r="A1853" s="5">
        <v>37775</v>
      </c>
      <c r="B1853" s="10">
        <v>11601</v>
      </c>
    </row>
    <row r="1854" spans="1:2" x14ac:dyDescent="0.3">
      <c r="A1854" s="5">
        <v>37776</v>
      </c>
      <c r="B1854" s="10">
        <v>11638</v>
      </c>
    </row>
    <row r="1855" spans="1:2" x14ac:dyDescent="0.3">
      <c r="A1855" s="5">
        <v>37777</v>
      </c>
      <c r="B1855" s="10">
        <v>11614</v>
      </c>
    </row>
    <row r="1856" spans="1:2" x14ac:dyDescent="0.3">
      <c r="A1856" s="5">
        <v>37778</v>
      </c>
      <c r="B1856" s="10">
        <v>11656</v>
      </c>
    </row>
    <row r="1857" spans="1:2" x14ac:dyDescent="0.3">
      <c r="A1857" s="5">
        <v>37781</v>
      </c>
      <c r="B1857" s="10">
        <v>11734</v>
      </c>
    </row>
    <row r="1858" spans="1:2" x14ac:dyDescent="0.3">
      <c r="A1858" s="5">
        <v>37782</v>
      </c>
      <c r="B1858" s="10">
        <v>11823</v>
      </c>
    </row>
    <row r="1859" spans="1:2" x14ac:dyDescent="0.3">
      <c r="A1859" s="5">
        <v>37783</v>
      </c>
      <c r="B1859" s="10">
        <v>11853</v>
      </c>
    </row>
    <row r="1860" spans="1:2" x14ac:dyDescent="0.3">
      <c r="A1860" s="5">
        <v>37784</v>
      </c>
      <c r="B1860" s="10">
        <v>12021</v>
      </c>
    </row>
    <row r="1861" spans="1:2" x14ac:dyDescent="0.3">
      <c r="A1861" s="5">
        <v>37785</v>
      </c>
      <c r="B1861" s="10">
        <v>11452</v>
      </c>
    </row>
    <row r="1862" spans="1:2" x14ac:dyDescent="0.3">
      <c r="A1862" s="5">
        <v>37789</v>
      </c>
      <c r="B1862" s="10">
        <v>11552</v>
      </c>
    </row>
    <row r="1863" spans="1:2" x14ac:dyDescent="0.3">
      <c r="A1863" s="5">
        <v>37790</v>
      </c>
      <c r="B1863" s="10">
        <v>11628</v>
      </c>
    </row>
    <row r="1864" spans="1:2" x14ac:dyDescent="0.3">
      <c r="A1864" s="5">
        <v>37791</v>
      </c>
      <c r="B1864" s="10">
        <v>11637</v>
      </c>
    </row>
    <row r="1865" spans="1:2" x14ac:dyDescent="0.3">
      <c r="A1865" s="5">
        <v>37792</v>
      </c>
      <c r="B1865" s="10">
        <v>11650</v>
      </c>
    </row>
    <row r="1866" spans="1:2" x14ac:dyDescent="0.3">
      <c r="A1866" s="5">
        <v>37795</v>
      </c>
      <c r="B1866" s="10">
        <v>11735</v>
      </c>
    </row>
    <row r="1867" spans="1:2" x14ac:dyDescent="0.3">
      <c r="A1867" s="5">
        <v>37796</v>
      </c>
      <c r="B1867" s="10">
        <v>12136</v>
      </c>
    </row>
    <row r="1868" spans="1:2" x14ac:dyDescent="0.3">
      <c r="A1868" s="5">
        <v>37797</v>
      </c>
      <c r="B1868" s="10">
        <v>12173</v>
      </c>
    </row>
    <row r="1869" spans="1:2" x14ac:dyDescent="0.3">
      <c r="A1869" s="5">
        <v>37798</v>
      </c>
      <c r="B1869" s="10">
        <v>12237</v>
      </c>
    </row>
    <row r="1870" spans="1:2" x14ac:dyDescent="0.3">
      <c r="A1870" s="5">
        <v>37799</v>
      </c>
      <c r="B1870" s="10">
        <v>12229</v>
      </c>
    </row>
    <row r="1871" spans="1:2" x14ac:dyDescent="0.3">
      <c r="A1871" s="5">
        <v>37802</v>
      </c>
      <c r="B1871" s="10">
        <v>12183</v>
      </c>
    </row>
    <row r="1872" spans="1:2" x14ac:dyDescent="0.3">
      <c r="A1872" s="5">
        <v>37803</v>
      </c>
      <c r="B1872" s="10">
        <v>12201</v>
      </c>
    </row>
    <row r="1873" spans="1:2" x14ac:dyDescent="0.3">
      <c r="A1873" s="5">
        <v>37804</v>
      </c>
      <c r="B1873" s="10">
        <v>12239</v>
      </c>
    </row>
    <row r="1874" spans="1:2" x14ac:dyDescent="0.3">
      <c r="A1874" s="5">
        <v>37805</v>
      </c>
      <c r="B1874" s="10">
        <v>12244</v>
      </c>
    </row>
    <row r="1875" spans="1:2" x14ac:dyDescent="0.3">
      <c r="A1875" s="5">
        <v>37806</v>
      </c>
      <c r="B1875" s="10">
        <v>12973</v>
      </c>
    </row>
    <row r="1876" spans="1:2" x14ac:dyDescent="0.3">
      <c r="A1876" s="5">
        <v>37809</v>
      </c>
      <c r="B1876" s="10">
        <v>13036</v>
      </c>
    </row>
    <row r="1877" spans="1:2" x14ac:dyDescent="0.3">
      <c r="A1877" s="5">
        <v>37810</v>
      </c>
      <c r="B1877" s="10">
        <v>13071</v>
      </c>
    </row>
    <row r="1878" spans="1:2" x14ac:dyDescent="0.3">
      <c r="A1878" s="5">
        <v>37812</v>
      </c>
      <c r="B1878" s="10">
        <v>13101</v>
      </c>
    </row>
    <row r="1879" spans="1:2" x14ac:dyDescent="0.3">
      <c r="A1879" s="5">
        <v>37813</v>
      </c>
      <c r="B1879" s="10">
        <v>13137</v>
      </c>
    </row>
    <row r="1880" spans="1:2" x14ac:dyDescent="0.3">
      <c r="A1880" s="5">
        <v>37816</v>
      </c>
      <c r="B1880" s="10">
        <v>13167</v>
      </c>
    </row>
    <row r="1881" spans="1:2" x14ac:dyDescent="0.3">
      <c r="A1881" s="5">
        <v>37817</v>
      </c>
      <c r="B1881" s="10">
        <v>13197</v>
      </c>
    </row>
    <row r="1882" spans="1:2" x14ac:dyDescent="0.3">
      <c r="A1882" s="5">
        <v>37818</v>
      </c>
      <c r="B1882" s="10">
        <v>13251</v>
      </c>
    </row>
    <row r="1883" spans="1:2" x14ac:dyDescent="0.3">
      <c r="A1883" s="5">
        <v>37819</v>
      </c>
      <c r="B1883" s="10">
        <v>12267</v>
      </c>
    </row>
    <row r="1884" spans="1:2" x14ac:dyDescent="0.3">
      <c r="A1884" s="5">
        <v>37820</v>
      </c>
      <c r="B1884" s="10">
        <v>12300</v>
      </c>
    </row>
    <row r="1885" spans="1:2" x14ac:dyDescent="0.3">
      <c r="A1885" s="5">
        <v>37823</v>
      </c>
      <c r="B1885" s="10">
        <v>12321</v>
      </c>
    </row>
    <row r="1886" spans="1:2" x14ac:dyDescent="0.3">
      <c r="A1886" s="5">
        <v>37824</v>
      </c>
      <c r="B1886" s="10">
        <v>12357</v>
      </c>
    </row>
    <row r="1887" spans="1:2" x14ac:dyDescent="0.3">
      <c r="A1887" s="5">
        <v>37825</v>
      </c>
      <c r="B1887" s="10">
        <v>12376</v>
      </c>
    </row>
    <row r="1888" spans="1:2" x14ac:dyDescent="0.3">
      <c r="A1888" s="5">
        <v>37826</v>
      </c>
      <c r="B1888" s="10">
        <v>12424</v>
      </c>
    </row>
    <row r="1889" spans="1:2" x14ac:dyDescent="0.3">
      <c r="A1889" s="5">
        <v>37827</v>
      </c>
      <c r="B1889" s="10">
        <v>12467</v>
      </c>
    </row>
    <row r="1890" spans="1:2" x14ac:dyDescent="0.3">
      <c r="A1890" s="5">
        <v>37830</v>
      </c>
      <c r="B1890" s="10">
        <v>12490</v>
      </c>
    </row>
    <row r="1891" spans="1:2" x14ac:dyDescent="0.3">
      <c r="A1891" s="5">
        <v>37831</v>
      </c>
      <c r="B1891" s="10">
        <v>13552</v>
      </c>
    </row>
    <row r="1892" spans="1:2" x14ac:dyDescent="0.3">
      <c r="A1892" s="5">
        <v>37832</v>
      </c>
      <c r="B1892" s="10">
        <v>13518</v>
      </c>
    </row>
    <row r="1893" spans="1:2" x14ac:dyDescent="0.3">
      <c r="A1893" s="5">
        <v>37833</v>
      </c>
      <c r="B1893" s="10">
        <v>13484</v>
      </c>
    </row>
    <row r="1894" spans="1:2" x14ac:dyDescent="0.3">
      <c r="A1894" s="5">
        <v>37834</v>
      </c>
      <c r="B1894" s="10">
        <v>13496</v>
      </c>
    </row>
    <row r="1895" spans="1:2" x14ac:dyDescent="0.3">
      <c r="A1895" s="5">
        <v>37837</v>
      </c>
      <c r="B1895" s="10">
        <v>13521</v>
      </c>
    </row>
    <row r="1896" spans="1:2" x14ac:dyDescent="0.3">
      <c r="A1896" s="5">
        <v>37838</v>
      </c>
      <c r="B1896" s="10">
        <v>13504</v>
      </c>
    </row>
    <row r="1897" spans="1:2" x14ac:dyDescent="0.3">
      <c r="A1897" s="5">
        <v>37839</v>
      </c>
      <c r="B1897" s="10">
        <v>13533</v>
      </c>
    </row>
    <row r="1898" spans="1:2" x14ac:dyDescent="0.3">
      <c r="A1898" s="5">
        <v>37840</v>
      </c>
      <c r="B1898" s="10">
        <v>13396</v>
      </c>
    </row>
    <row r="1899" spans="1:2" x14ac:dyDescent="0.3">
      <c r="A1899" s="5">
        <v>37841</v>
      </c>
      <c r="B1899" s="10">
        <v>13390</v>
      </c>
    </row>
    <row r="1900" spans="1:2" x14ac:dyDescent="0.3">
      <c r="A1900" s="5">
        <v>37844</v>
      </c>
      <c r="B1900" s="10">
        <v>13398</v>
      </c>
    </row>
    <row r="1901" spans="1:2" x14ac:dyDescent="0.3">
      <c r="A1901" s="5">
        <v>37845</v>
      </c>
      <c r="B1901" s="10">
        <v>13365</v>
      </c>
    </row>
    <row r="1902" spans="1:2" x14ac:dyDescent="0.3">
      <c r="A1902" s="5">
        <v>37846</v>
      </c>
      <c r="B1902" s="10">
        <v>13395</v>
      </c>
    </row>
    <row r="1903" spans="1:2" x14ac:dyDescent="0.3">
      <c r="A1903" s="5">
        <v>37847</v>
      </c>
      <c r="B1903" s="10">
        <v>13357</v>
      </c>
    </row>
    <row r="1904" spans="1:2" x14ac:dyDescent="0.3">
      <c r="A1904" s="5">
        <v>37848</v>
      </c>
      <c r="B1904" s="10">
        <v>13325</v>
      </c>
    </row>
    <row r="1905" spans="1:2" x14ac:dyDescent="0.3">
      <c r="A1905" s="5">
        <v>37852</v>
      </c>
      <c r="B1905" s="10">
        <v>13319</v>
      </c>
    </row>
    <row r="1906" spans="1:2" x14ac:dyDescent="0.3">
      <c r="A1906" s="5">
        <v>37853</v>
      </c>
      <c r="B1906" s="10">
        <v>13340</v>
      </c>
    </row>
    <row r="1907" spans="1:2" x14ac:dyDescent="0.3">
      <c r="A1907" s="5">
        <v>37854</v>
      </c>
      <c r="B1907" s="10">
        <v>13334</v>
      </c>
    </row>
    <row r="1908" spans="1:2" x14ac:dyDescent="0.3">
      <c r="A1908" s="5">
        <v>37855</v>
      </c>
      <c r="B1908" s="10">
        <v>13332</v>
      </c>
    </row>
    <row r="1909" spans="1:2" x14ac:dyDescent="0.3">
      <c r="A1909" s="5">
        <v>37858</v>
      </c>
      <c r="B1909" s="10">
        <v>13334</v>
      </c>
    </row>
    <row r="1910" spans="1:2" x14ac:dyDescent="0.3">
      <c r="A1910" s="5">
        <v>37859</v>
      </c>
      <c r="B1910" s="10">
        <v>13330</v>
      </c>
    </row>
    <row r="1911" spans="1:2" x14ac:dyDescent="0.3">
      <c r="A1911" s="5">
        <v>37860</v>
      </c>
      <c r="B1911" s="10">
        <v>13317</v>
      </c>
    </row>
    <row r="1912" spans="1:2" x14ac:dyDescent="0.3">
      <c r="A1912" s="5">
        <v>37861</v>
      </c>
      <c r="B1912" s="10">
        <v>13300</v>
      </c>
    </row>
    <row r="1913" spans="1:2" x14ac:dyDescent="0.3">
      <c r="A1913" s="5">
        <v>37862</v>
      </c>
      <c r="B1913" s="10">
        <v>13584</v>
      </c>
    </row>
    <row r="1914" spans="1:2" x14ac:dyDescent="0.3">
      <c r="A1914" s="5">
        <v>37865</v>
      </c>
      <c r="B1914" s="10">
        <v>13592</v>
      </c>
    </row>
    <row r="1915" spans="1:2" x14ac:dyDescent="0.3">
      <c r="A1915" s="5">
        <v>37866</v>
      </c>
      <c r="B1915" s="10">
        <v>13618</v>
      </c>
    </row>
    <row r="1916" spans="1:2" x14ac:dyDescent="0.3">
      <c r="A1916" s="5">
        <v>37867</v>
      </c>
      <c r="B1916" s="10">
        <v>13622</v>
      </c>
    </row>
    <row r="1917" spans="1:2" x14ac:dyDescent="0.3">
      <c r="A1917" s="5">
        <v>37868</v>
      </c>
      <c r="B1917" s="10">
        <v>13625</v>
      </c>
    </row>
    <row r="1918" spans="1:2" x14ac:dyDescent="0.3">
      <c r="A1918" s="5">
        <v>37869</v>
      </c>
      <c r="B1918" s="10">
        <v>13643</v>
      </c>
    </row>
    <row r="1919" spans="1:2" x14ac:dyDescent="0.3">
      <c r="A1919" s="5">
        <v>37872</v>
      </c>
      <c r="B1919" s="10">
        <v>13707</v>
      </c>
    </row>
    <row r="1920" spans="1:2" x14ac:dyDescent="0.3">
      <c r="A1920" s="5">
        <v>37873</v>
      </c>
      <c r="B1920" s="10">
        <v>13714</v>
      </c>
    </row>
    <row r="1921" spans="1:2" x14ac:dyDescent="0.3">
      <c r="A1921" s="5">
        <v>37874</v>
      </c>
      <c r="B1921" s="10">
        <v>13763</v>
      </c>
    </row>
    <row r="1922" spans="1:2" x14ac:dyDescent="0.3">
      <c r="A1922" s="5">
        <v>37875</v>
      </c>
      <c r="B1922" s="10">
        <v>10870</v>
      </c>
    </row>
    <row r="1923" spans="1:2" x14ac:dyDescent="0.3">
      <c r="A1923" s="5">
        <v>37876</v>
      </c>
      <c r="B1923" s="10">
        <v>10757</v>
      </c>
    </row>
    <row r="1924" spans="1:2" x14ac:dyDescent="0.3">
      <c r="A1924" s="5">
        <v>37879</v>
      </c>
      <c r="B1924" s="10">
        <v>10804</v>
      </c>
    </row>
    <row r="1925" spans="1:2" x14ac:dyDescent="0.3">
      <c r="A1925" s="5">
        <v>37880</v>
      </c>
      <c r="B1925" s="10">
        <v>10802</v>
      </c>
    </row>
    <row r="1926" spans="1:2" x14ac:dyDescent="0.3">
      <c r="A1926" s="5">
        <v>37881</v>
      </c>
      <c r="B1926" s="10">
        <v>10815</v>
      </c>
    </row>
    <row r="1927" spans="1:2" x14ac:dyDescent="0.3">
      <c r="A1927" s="5">
        <v>37882</v>
      </c>
      <c r="B1927" s="10">
        <v>10825</v>
      </c>
    </row>
    <row r="1928" spans="1:2" x14ac:dyDescent="0.3">
      <c r="A1928" s="5">
        <v>37883</v>
      </c>
      <c r="B1928" s="10">
        <v>10845</v>
      </c>
    </row>
    <row r="1929" spans="1:2" x14ac:dyDescent="0.3">
      <c r="A1929" s="5">
        <v>37886</v>
      </c>
      <c r="B1929" s="10">
        <v>10841</v>
      </c>
    </row>
    <row r="1930" spans="1:2" x14ac:dyDescent="0.3">
      <c r="A1930" s="5">
        <v>37887</v>
      </c>
      <c r="B1930" s="10">
        <v>13428</v>
      </c>
    </row>
    <row r="1931" spans="1:2" x14ac:dyDescent="0.3">
      <c r="A1931" s="5">
        <v>37888</v>
      </c>
      <c r="B1931" s="10">
        <v>13449</v>
      </c>
    </row>
    <row r="1932" spans="1:2" x14ac:dyDescent="0.3">
      <c r="A1932" s="5">
        <v>37889</v>
      </c>
      <c r="B1932" s="10">
        <v>13467</v>
      </c>
    </row>
    <row r="1933" spans="1:2" x14ac:dyDescent="0.3">
      <c r="A1933" s="5">
        <v>37890</v>
      </c>
      <c r="B1933" s="10">
        <v>13383</v>
      </c>
    </row>
    <row r="1934" spans="1:2" x14ac:dyDescent="0.3">
      <c r="A1934" s="5">
        <v>37893</v>
      </c>
      <c r="B1934" s="10">
        <v>13378</v>
      </c>
    </row>
    <row r="1935" spans="1:2" x14ac:dyDescent="0.3">
      <c r="A1935" s="5">
        <v>37894</v>
      </c>
      <c r="B1935" s="10">
        <v>13406</v>
      </c>
    </row>
    <row r="1936" spans="1:2" x14ac:dyDescent="0.3">
      <c r="A1936" s="5">
        <v>37895</v>
      </c>
      <c r="B1936" s="10">
        <v>13423</v>
      </c>
    </row>
    <row r="1937" spans="1:2" x14ac:dyDescent="0.3">
      <c r="A1937" s="5">
        <v>37896</v>
      </c>
      <c r="B1937" s="10">
        <v>13434</v>
      </c>
    </row>
    <row r="1938" spans="1:2" x14ac:dyDescent="0.3">
      <c r="A1938" s="5">
        <v>37897</v>
      </c>
      <c r="B1938" s="10">
        <v>13436</v>
      </c>
    </row>
    <row r="1939" spans="1:2" x14ac:dyDescent="0.3">
      <c r="A1939" s="5">
        <v>37900</v>
      </c>
      <c r="B1939" s="10">
        <v>13446</v>
      </c>
    </row>
    <row r="1940" spans="1:2" x14ac:dyDescent="0.3">
      <c r="A1940" s="5">
        <v>37901</v>
      </c>
      <c r="B1940" s="10">
        <v>13457</v>
      </c>
    </row>
    <row r="1941" spans="1:2" x14ac:dyDescent="0.3">
      <c r="A1941" s="5">
        <v>37902</v>
      </c>
      <c r="B1941" s="10">
        <v>13477</v>
      </c>
    </row>
    <row r="1942" spans="1:2" x14ac:dyDescent="0.3">
      <c r="A1942" s="5">
        <v>37903</v>
      </c>
      <c r="B1942" s="10">
        <v>13508</v>
      </c>
    </row>
    <row r="1943" spans="1:2" x14ac:dyDescent="0.3">
      <c r="A1943" s="5">
        <v>37904</v>
      </c>
      <c r="B1943" s="10">
        <v>13427</v>
      </c>
    </row>
    <row r="1944" spans="1:2" x14ac:dyDescent="0.3">
      <c r="A1944" s="5">
        <v>37908</v>
      </c>
      <c r="B1944" s="10">
        <v>13449</v>
      </c>
    </row>
    <row r="1945" spans="1:2" x14ac:dyDescent="0.3">
      <c r="A1945" s="5">
        <v>37909</v>
      </c>
      <c r="B1945" s="10">
        <v>13333</v>
      </c>
    </row>
    <row r="1946" spans="1:2" x14ac:dyDescent="0.3">
      <c r="A1946" s="5">
        <v>37910</v>
      </c>
      <c r="B1946" s="10">
        <v>13360</v>
      </c>
    </row>
    <row r="1947" spans="1:2" x14ac:dyDescent="0.3">
      <c r="A1947" s="5">
        <v>37911</v>
      </c>
      <c r="B1947" s="10">
        <v>13331</v>
      </c>
    </row>
    <row r="1948" spans="1:2" x14ac:dyDescent="0.3">
      <c r="A1948" s="5">
        <v>37914</v>
      </c>
      <c r="B1948" s="10">
        <v>13242</v>
      </c>
    </row>
    <row r="1949" spans="1:2" x14ac:dyDescent="0.3">
      <c r="A1949" s="5">
        <v>37915</v>
      </c>
      <c r="B1949" s="10">
        <v>13310</v>
      </c>
    </row>
    <row r="1950" spans="1:2" x14ac:dyDescent="0.3">
      <c r="A1950" s="5">
        <v>37916</v>
      </c>
      <c r="B1950" s="10">
        <v>13337</v>
      </c>
    </row>
    <row r="1951" spans="1:2" x14ac:dyDescent="0.3">
      <c r="A1951" s="5">
        <v>37917</v>
      </c>
      <c r="B1951" s="10">
        <v>13357</v>
      </c>
    </row>
    <row r="1952" spans="1:2" x14ac:dyDescent="0.3">
      <c r="A1952" s="5">
        <v>37918</v>
      </c>
      <c r="B1952" s="10">
        <v>12754</v>
      </c>
    </row>
    <row r="1953" spans="1:2" x14ac:dyDescent="0.3">
      <c r="A1953" s="5">
        <v>37921</v>
      </c>
      <c r="B1953" s="10">
        <v>12792</v>
      </c>
    </row>
    <row r="1954" spans="1:2" x14ac:dyDescent="0.3">
      <c r="A1954" s="5">
        <v>37922</v>
      </c>
      <c r="B1954" s="10">
        <v>12821</v>
      </c>
    </row>
    <row r="1955" spans="1:2" x14ac:dyDescent="0.3">
      <c r="A1955" s="5">
        <v>37923</v>
      </c>
      <c r="B1955" s="10">
        <v>12848</v>
      </c>
    </row>
    <row r="1956" spans="1:2" x14ac:dyDescent="0.3">
      <c r="A1956" s="5">
        <v>37924</v>
      </c>
      <c r="B1956" s="10">
        <v>12882</v>
      </c>
    </row>
    <row r="1957" spans="1:2" x14ac:dyDescent="0.3">
      <c r="A1957" s="5">
        <v>37925</v>
      </c>
      <c r="B1957" s="10">
        <v>12902</v>
      </c>
    </row>
    <row r="1958" spans="1:2" x14ac:dyDescent="0.3">
      <c r="A1958" s="5">
        <v>37928</v>
      </c>
      <c r="B1958" s="10">
        <v>12892</v>
      </c>
    </row>
    <row r="1959" spans="1:2" x14ac:dyDescent="0.3">
      <c r="A1959" s="5">
        <v>37929</v>
      </c>
      <c r="B1959" s="10">
        <v>12924</v>
      </c>
    </row>
    <row r="1960" spans="1:2" x14ac:dyDescent="0.3">
      <c r="A1960" s="5">
        <v>37930</v>
      </c>
      <c r="B1960" s="10">
        <v>12953</v>
      </c>
    </row>
    <row r="1961" spans="1:2" x14ac:dyDescent="0.3">
      <c r="A1961" s="5">
        <v>37932</v>
      </c>
      <c r="B1961" s="10">
        <v>12841</v>
      </c>
    </row>
    <row r="1962" spans="1:2" x14ac:dyDescent="0.3">
      <c r="A1962" s="5">
        <v>37935</v>
      </c>
      <c r="B1962" s="10">
        <v>13329</v>
      </c>
    </row>
    <row r="1963" spans="1:2" x14ac:dyDescent="0.3">
      <c r="A1963" s="5">
        <v>37936</v>
      </c>
      <c r="B1963" s="10">
        <v>13334</v>
      </c>
    </row>
    <row r="1964" spans="1:2" x14ac:dyDescent="0.3">
      <c r="A1964" s="5">
        <v>37937</v>
      </c>
      <c r="B1964" s="10">
        <v>13387</v>
      </c>
    </row>
    <row r="1965" spans="1:2" x14ac:dyDescent="0.3">
      <c r="A1965" s="5">
        <v>37938</v>
      </c>
      <c r="B1965" s="10">
        <v>13435</v>
      </c>
    </row>
    <row r="1966" spans="1:2" x14ac:dyDescent="0.3">
      <c r="A1966" s="5">
        <v>37939</v>
      </c>
      <c r="B1966" s="10">
        <v>13506</v>
      </c>
    </row>
    <row r="1967" spans="1:2" x14ac:dyDescent="0.3">
      <c r="A1967" s="5">
        <v>37942</v>
      </c>
      <c r="B1967" s="10">
        <v>13435</v>
      </c>
    </row>
    <row r="1968" spans="1:2" x14ac:dyDescent="0.3">
      <c r="A1968" s="5">
        <v>37943</v>
      </c>
      <c r="B1968" s="10">
        <v>13499</v>
      </c>
    </row>
    <row r="1969" spans="1:2" x14ac:dyDescent="0.3">
      <c r="A1969" s="5">
        <v>37944</v>
      </c>
      <c r="B1969" s="10">
        <v>13503</v>
      </c>
    </row>
    <row r="1970" spans="1:2" x14ac:dyDescent="0.3">
      <c r="A1970" s="5">
        <v>37945</v>
      </c>
      <c r="B1970" s="10">
        <v>13535</v>
      </c>
    </row>
    <row r="1971" spans="1:2" x14ac:dyDescent="0.3">
      <c r="A1971" s="5">
        <v>37946</v>
      </c>
      <c r="B1971" s="10">
        <v>13394</v>
      </c>
    </row>
    <row r="1972" spans="1:2" x14ac:dyDescent="0.3">
      <c r="A1972" s="5">
        <v>37949</v>
      </c>
      <c r="B1972" s="10">
        <v>13448</v>
      </c>
    </row>
    <row r="1973" spans="1:2" x14ac:dyDescent="0.3">
      <c r="A1973" s="5">
        <v>37950</v>
      </c>
      <c r="B1973" s="10">
        <v>13466</v>
      </c>
    </row>
    <row r="1974" spans="1:2" x14ac:dyDescent="0.3">
      <c r="A1974" s="5">
        <v>37951</v>
      </c>
      <c r="B1974" s="10">
        <v>13487</v>
      </c>
    </row>
    <row r="1975" spans="1:2" x14ac:dyDescent="0.3">
      <c r="A1975" s="5">
        <v>37952</v>
      </c>
      <c r="B1975" s="10">
        <v>13487</v>
      </c>
    </row>
    <row r="1976" spans="1:2" x14ac:dyDescent="0.3">
      <c r="A1976" s="5">
        <v>37953</v>
      </c>
      <c r="B1976" s="10">
        <v>13483</v>
      </c>
    </row>
    <row r="1977" spans="1:2" x14ac:dyDescent="0.3">
      <c r="A1977" s="5">
        <v>37956</v>
      </c>
      <c r="B1977" s="10">
        <v>13520</v>
      </c>
    </row>
    <row r="1978" spans="1:2" x14ac:dyDescent="0.3">
      <c r="A1978" s="5">
        <v>37957</v>
      </c>
      <c r="B1978" s="10">
        <v>13538</v>
      </c>
    </row>
    <row r="1979" spans="1:2" x14ac:dyDescent="0.3">
      <c r="A1979" s="5">
        <v>37958</v>
      </c>
      <c r="B1979" s="10">
        <v>13583</v>
      </c>
    </row>
    <row r="1980" spans="1:2" x14ac:dyDescent="0.3">
      <c r="A1980" s="5">
        <v>37959</v>
      </c>
      <c r="B1980" s="10">
        <v>13721</v>
      </c>
    </row>
    <row r="1981" spans="1:2" x14ac:dyDescent="0.3">
      <c r="A1981" s="5">
        <v>37960</v>
      </c>
      <c r="B1981" s="10">
        <v>13754</v>
      </c>
    </row>
    <row r="1982" spans="1:2" x14ac:dyDescent="0.3">
      <c r="A1982" s="5">
        <v>37964</v>
      </c>
      <c r="B1982" s="10">
        <v>13890</v>
      </c>
    </row>
    <row r="1983" spans="1:2" x14ac:dyDescent="0.3">
      <c r="A1983" s="5">
        <v>37965</v>
      </c>
      <c r="B1983" s="10">
        <v>13917</v>
      </c>
    </row>
    <row r="1984" spans="1:2" x14ac:dyDescent="0.3">
      <c r="A1984" s="5">
        <v>37966</v>
      </c>
      <c r="B1984" s="10">
        <v>13938</v>
      </c>
    </row>
    <row r="1985" spans="1:2" x14ac:dyDescent="0.3">
      <c r="A1985" s="5">
        <v>37967</v>
      </c>
      <c r="B1985" s="10">
        <v>13976</v>
      </c>
    </row>
    <row r="1986" spans="1:2" x14ac:dyDescent="0.3">
      <c r="A1986" s="5">
        <v>37970</v>
      </c>
      <c r="B1986" s="10">
        <v>13402</v>
      </c>
    </row>
    <row r="1987" spans="1:2" x14ac:dyDescent="0.3">
      <c r="A1987" s="5">
        <v>37971</v>
      </c>
      <c r="B1987" s="10">
        <v>13437</v>
      </c>
    </row>
    <row r="1988" spans="1:2" x14ac:dyDescent="0.3">
      <c r="A1988" s="5">
        <v>37972</v>
      </c>
      <c r="B1988" s="10">
        <v>13497</v>
      </c>
    </row>
    <row r="1989" spans="1:2" x14ac:dyDescent="0.3">
      <c r="A1989" s="5">
        <v>37973</v>
      </c>
      <c r="B1989" s="10">
        <v>13551</v>
      </c>
    </row>
    <row r="1990" spans="1:2" x14ac:dyDescent="0.3">
      <c r="A1990" s="5">
        <v>37974</v>
      </c>
      <c r="B1990" s="10">
        <v>13577</v>
      </c>
    </row>
    <row r="1991" spans="1:2" x14ac:dyDescent="0.3">
      <c r="A1991" s="5">
        <v>37977</v>
      </c>
      <c r="B1991" s="10">
        <v>14048</v>
      </c>
    </row>
    <row r="1992" spans="1:2" x14ac:dyDescent="0.3">
      <c r="A1992" s="5">
        <v>37978</v>
      </c>
      <c r="B1992" s="10">
        <v>14072</v>
      </c>
    </row>
    <row r="1993" spans="1:2" x14ac:dyDescent="0.3">
      <c r="A1993" s="5">
        <v>37979</v>
      </c>
      <c r="B1993" s="10">
        <v>14061</v>
      </c>
    </row>
    <row r="1994" spans="1:2" x14ac:dyDescent="0.3">
      <c r="A1994" s="5">
        <v>37981</v>
      </c>
      <c r="B1994" s="10">
        <v>14073</v>
      </c>
    </row>
    <row r="1995" spans="1:2" x14ac:dyDescent="0.3">
      <c r="A1995" s="5">
        <v>37984</v>
      </c>
      <c r="B1995" s="10">
        <v>14052</v>
      </c>
    </row>
    <row r="1996" spans="1:2" x14ac:dyDescent="0.3">
      <c r="A1996" s="5">
        <v>37985</v>
      </c>
      <c r="B1996" s="10">
        <v>14117</v>
      </c>
    </row>
    <row r="1997" spans="1:2" x14ac:dyDescent="0.3">
      <c r="A1997" s="5">
        <v>37986</v>
      </c>
      <c r="B1997" s="10">
        <v>14119</v>
      </c>
    </row>
    <row r="1998" spans="1:2" x14ac:dyDescent="0.3">
      <c r="A1998" s="5">
        <v>37988</v>
      </c>
      <c r="B1998" s="10">
        <v>14209</v>
      </c>
    </row>
    <row r="1999" spans="1:2" x14ac:dyDescent="0.3">
      <c r="A1999" s="5">
        <v>37991</v>
      </c>
      <c r="B1999" s="10">
        <v>14257</v>
      </c>
    </row>
    <row r="2000" spans="1:2" x14ac:dyDescent="0.3">
      <c r="A2000" s="5">
        <v>37992</v>
      </c>
      <c r="B2000" s="10">
        <v>14303</v>
      </c>
    </row>
    <row r="2001" spans="1:2" x14ac:dyDescent="0.3">
      <c r="A2001" s="5">
        <v>37993</v>
      </c>
      <c r="B2001" s="10">
        <v>14326</v>
      </c>
    </row>
    <row r="2002" spans="1:2" x14ac:dyDescent="0.3">
      <c r="A2002" s="5">
        <v>37994</v>
      </c>
      <c r="B2002" s="10">
        <v>14364</v>
      </c>
    </row>
    <row r="2003" spans="1:2" x14ac:dyDescent="0.3">
      <c r="A2003" s="5">
        <v>37995</v>
      </c>
      <c r="B2003" s="10">
        <v>14398</v>
      </c>
    </row>
    <row r="2004" spans="1:2" x14ac:dyDescent="0.3">
      <c r="A2004" s="5">
        <v>37998</v>
      </c>
      <c r="B2004" s="10">
        <v>14440</v>
      </c>
    </row>
    <row r="2005" spans="1:2" x14ac:dyDescent="0.3">
      <c r="A2005" s="5">
        <v>37999</v>
      </c>
      <c r="B2005" s="10">
        <v>14467</v>
      </c>
    </row>
    <row r="2006" spans="1:2" x14ac:dyDescent="0.3">
      <c r="A2006" s="5">
        <v>38000</v>
      </c>
      <c r="B2006" s="10">
        <v>14500</v>
      </c>
    </row>
    <row r="2007" spans="1:2" x14ac:dyDescent="0.3">
      <c r="A2007" s="5">
        <v>38001</v>
      </c>
      <c r="B2007" s="10">
        <v>14480</v>
      </c>
    </row>
    <row r="2008" spans="1:2" x14ac:dyDescent="0.3">
      <c r="A2008" s="5">
        <v>38002</v>
      </c>
      <c r="B2008" s="10">
        <v>14502</v>
      </c>
    </row>
    <row r="2009" spans="1:2" x14ac:dyDescent="0.3">
      <c r="A2009" s="5">
        <v>38005</v>
      </c>
      <c r="B2009" s="10">
        <v>14502</v>
      </c>
    </row>
    <row r="2010" spans="1:2" x14ac:dyDescent="0.3">
      <c r="A2010" s="5">
        <v>38006</v>
      </c>
      <c r="B2010" s="10">
        <v>14476</v>
      </c>
    </row>
    <row r="2011" spans="1:2" x14ac:dyDescent="0.3">
      <c r="A2011" s="5">
        <v>38007</v>
      </c>
      <c r="B2011" s="10">
        <v>14554</v>
      </c>
    </row>
    <row r="2012" spans="1:2" x14ac:dyDescent="0.3">
      <c r="A2012" s="5">
        <v>38008</v>
      </c>
      <c r="B2012" s="10">
        <v>14584</v>
      </c>
    </row>
    <row r="2013" spans="1:2" x14ac:dyDescent="0.3">
      <c r="A2013" s="5">
        <v>38009</v>
      </c>
      <c r="B2013" s="10">
        <v>14619</v>
      </c>
    </row>
    <row r="2014" spans="1:2" x14ac:dyDescent="0.3">
      <c r="A2014" s="5">
        <v>38012</v>
      </c>
      <c r="B2014" s="10">
        <v>14632</v>
      </c>
    </row>
    <row r="2015" spans="1:2" x14ac:dyDescent="0.3">
      <c r="A2015" s="5">
        <v>38013</v>
      </c>
      <c r="B2015" s="10">
        <v>14653</v>
      </c>
    </row>
    <row r="2016" spans="1:2" x14ac:dyDescent="0.3">
      <c r="A2016" s="5">
        <v>38014</v>
      </c>
      <c r="B2016" s="10">
        <v>14661</v>
      </c>
    </row>
    <row r="2017" spans="1:2" x14ac:dyDescent="0.3">
      <c r="A2017" s="5">
        <v>38015</v>
      </c>
      <c r="B2017" s="10">
        <v>14669</v>
      </c>
    </row>
    <row r="2018" spans="1:2" x14ac:dyDescent="0.3">
      <c r="A2018" s="5">
        <v>38016</v>
      </c>
      <c r="B2018" s="10">
        <v>14920</v>
      </c>
    </row>
    <row r="2019" spans="1:2" x14ac:dyDescent="0.3">
      <c r="A2019" s="5">
        <v>38019</v>
      </c>
      <c r="B2019" s="10">
        <v>14957</v>
      </c>
    </row>
    <row r="2020" spans="1:2" x14ac:dyDescent="0.3">
      <c r="A2020" s="5">
        <v>38020</v>
      </c>
      <c r="B2020" s="10">
        <v>14991</v>
      </c>
    </row>
    <row r="2021" spans="1:2" x14ac:dyDescent="0.3">
      <c r="A2021" s="5">
        <v>38021</v>
      </c>
      <c r="B2021" s="10">
        <v>14997</v>
      </c>
    </row>
    <row r="2022" spans="1:2" x14ac:dyDescent="0.3">
      <c r="A2022" s="5">
        <v>38022</v>
      </c>
      <c r="B2022" s="10">
        <v>15001</v>
      </c>
    </row>
    <row r="2023" spans="1:2" x14ac:dyDescent="0.3">
      <c r="A2023" s="5">
        <v>38023</v>
      </c>
      <c r="B2023" s="10">
        <v>15022</v>
      </c>
    </row>
    <row r="2024" spans="1:2" x14ac:dyDescent="0.3">
      <c r="A2024" s="5">
        <v>38026</v>
      </c>
      <c r="B2024" s="10">
        <v>14971</v>
      </c>
    </row>
    <row r="2025" spans="1:2" x14ac:dyDescent="0.3">
      <c r="A2025" s="5">
        <v>38027</v>
      </c>
      <c r="B2025" s="10">
        <v>15037</v>
      </c>
    </row>
    <row r="2026" spans="1:2" x14ac:dyDescent="0.3">
      <c r="A2026" s="5">
        <v>38028</v>
      </c>
      <c r="B2026" s="10">
        <v>15047</v>
      </c>
    </row>
    <row r="2027" spans="1:2" x14ac:dyDescent="0.3">
      <c r="A2027" s="5">
        <v>38029</v>
      </c>
      <c r="B2027" s="10">
        <v>15089</v>
      </c>
    </row>
    <row r="2028" spans="1:2" x14ac:dyDescent="0.3">
      <c r="A2028" s="5">
        <v>38030</v>
      </c>
      <c r="B2028" s="10">
        <v>15105</v>
      </c>
    </row>
    <row r="2029" spans="1:2" x14ac:dyDescent="0.3">
      <c r="A2029" s="5">
        <v>38033</v>
      </c>
      <c r="B2029" s="10">
        <v>15104</v>
      </c>
    </row>
    <row r="2030" spans="1:2" x14ac:dyDescent="0.3">
      <c r="A2030" s="5">
        <v>38034</v>
      </c>
      <c r="B2030" s="10">
        <v>14963</v>
      </c>
    </row>
    <row r="2031" spans="1:2" x14ac:dyDescent="0.3">
      <c r="A2031" s="5">
        <v>38035</v>
      </c>
      <c r="B2031" s="10">
        <v>14984</v>
      </c>
    </row>
    <row r="2032" spans="1:2" x14ac:dyDescent="0.3">
      <c r="A2032" s="5">
        <v>38036</v>
      </c>
      <c r="B2032" s="10">
        <v>14971</v>
      </c>
    </row>
    <row r="2033" spans="1:2" x14ac:dyDescent="0.3">
      <c r="A2033" s="5">
        <v>38037</v>
      </c>
      <c r="B2033" s="10">
        <v>14976</v>
      </c>
    </row>
    <row r="2034" spans="1:2" x14ac:dyDescent="0.3">
      <c r="A2034" s="5">
        <v>38040</v>
      </c>
      <c r="B2034" s="10">
        <v>14947</v>
      </c>
    </row>
    <row r="2035" spans="1:2" x14ac:dyDescent="0.3">
      <c r="A2035" s="5">
        <v>38041</v>
      </c>
      <c r="B2035" s="10">
        <v>14967</v>
      </c>
    </row>
    <row r="2036" spans="1:2" x14ac:dyDescent="0.3">
      <c r="A2036" s="5">
        <v>38042</v>
      </c>
      <c r="B2036" s="10">
        <v>14998</v>
      </c>
    </row>
    <row r="2037" spans="1:2" x14ac:dyDescent="0.3">
      <c r="A2037" s="5">
        <v>38043</v>
      </c>
      <c r="B2037" s="10">
        <v>15000</v>
      </c>
    </row>
    <row r="2038" spans="1:2" x14ac:dyDescent="0.3">
      <c r="A2038" s="5">
        <v>38044</v>
      </c>
      <c r="B2038" s="10">
        <v>15003</v>
      </c>
    </row>
    <row r="2039" spans="1:2" x14ac:dyDescent="0.3">
      <c r="A2039" s="5">
        <v>38047</v>
      </c>
      <c r="B2039" s="10">
        <v>15046</v>
      </c>
    </row>
    <row r="2040" spans="1:2" x14ac:dyDescent="0.3">
      <c r="A2040" s="5">
        <v>38048</v>
      </c>
      <c r="B2040" s="10">
        <v>15049</v>
      </c>
    </row>
    <row r="2041" spans="1:2" x14ac:dyDescent="0.3">
      <c r="A2041" s="5">
        <v>38049</v>
      </c>
      <c r="B2041" s="10">
        <v>15026</v>
      </c>
    </row>
    <row r="2042" spans="1:2" x14ac:dyDescent="0.3">
      <c r="A2042" s="5">
        <v>38050</v>
      </c>
      <c r="B2042" s="10">
        <v>15011</v>
      </c>
    </row>
    <row r="2043" spans="1:2" x14ac:dyDescent="0.3">
      <c r="A2043" s="5">
        <v>38051</v>
      </c>
      <c r="B2043" s="10">
        <v>15031</v>
      </c>
    </row>
    <row r="2044" spans="1:2" x14ac:dyDescent="0.3">
      <c r="A2044" s="5">
        <v>38054</v>
      </c>
      <c r="B2044" s="10">
        <v>15062</v>
      </c>
    </row>
    <row r="2045" spans="1:2" x14ac:dyDescent="0.3">
      <c r="A2045" s="5">
        <v>38055</v>
      </c>
      <c r="B2045" s="10">
        <v>12017</v>
      </c>
    </row>
    <row r="2046" spans="1:2" x14ac:dyDescent="0.3">
      <c r="A2046" s="5">
        <v>38056</v>
      </c>
      <c r="B2046" s="10">
        <v>12042</v>
      </c>
    </row>
    <row r="2047" spans="1:2" x14ac:dyDescent="0.3">
      <c r="A2047" s="5">
        <v>38057</v>
      </c>
      <c r="B2047" s="10">
        <v>12055</v>
      </c>
    </row>
    <row r="2048" spans="1:2" x14ac:dyDescent="0.3">
      <c r="A2048" s="5">
        <v>38058</v>
      </c>
      <c r="B2048" s="10">
        <v>12107</v>
      </c>
    </row>
    <row r="2049" spans="1:2" x14ac:dyDescent="0.3">
      <c r="A2049" s="5">
        <v>38061</v>
      </c>
      <c r="B2049" s="10">
        <v>11997</v>
      </c>
    </row>
    <row r="2050" spans="1:2" x14ac:dyDescent="0.3">
      <c r="A2050" s="5">
        <v>38062</v>
      </c>
      <c r="B2050" s="10">
        <v>12027</v>
      </c>
    </row>
    <row r="2051" spans="1:2" x14ac:dyDescent="0.3">
      <c r="A2051" s="5">
        <v>38063</v>
      </c>
      <c r="B2051" s="10">
        <v>12047</v>
      </c>
    </row>
    <row r="2052" spans="1:2" x14ac:dyDescent="0.3">
      <c r="A2052" s="5">
        <v>38064</v>
      </c>
      <c r="B2052" s="10">
        <v>12004</v>
      </c>
    </row>
    <row r="2053" spans="1:2" x14ac:dyDescent="0.3">
      <c r="A2053" s="5">
        <v>38065</v>
      </c>
      <c r="B2053" s="10">
        <v>11748</v>
      </c>
    </row>
    <row r="2054" spans="1:2" x14ac:dyDescent="0.3">
      <c r="A2054" s="5">
        <v>38068</v>
      </c>
      <c r="B2054" s="10">
        <v>11756</v>
      </c>
    </row>
    <row r="2055" spans="1:2" x14ac:dyDescent="0.3">
      <c r="A2055" s="5">
        <v>38069</v>
      </c>
      <c r="B2055" s="10">
        <v>11779</v>
      </c>
    </row>
    <row r="2056" spans="1:2" x14ac:dyDescent="0.3">
      <c r="A2056" s="5">
        <v>38070</v>
      </c>
      <c r="B2056" s="10">
        <v>14878</v>
      </c>
    </row>
    <row r="2057" spans="1:2" x14ac:dyDescent="0.3">
      <c r="A2057" s="5">
        <v>38071</v>
      </c>
      <c r="B2057" s="10">
        <v>14866</v>
      </c>
    </row>
    <row r="2058" spans="1:2" x14ac:dyDescent="0.3">
      <c r="A2058" s="5">
        <v>38072</v>
      </c>
      <c r="B2058" s="10">
        <v>14861</v>
      </c>
    </row>
    <row r="2059" spans="1:2" x14ac:dyDescent="0.3">
      <c r="A2059" s="5">
        <v>38075</v>
      </c>
      <c r="B2059" s="10">
        <v>14882</v>
      </c>
    </row>
    <row r="2060" spans="1:2" x14ac:dyDescent="0.3">
      <c r="A2060" s="5">
        <v>38076</v>
      </c>
      <c r="B2060" s="10">
        <v>14921</v>
      </c>
    </row>
    <row r="2061" spans="1:2" x14ac:dyDescent="0.3">
      <c r="A2061" s="5">
        <v>38077</v>
      </c>
      <c r="B2061" s="10">
        <v>15003</v>
      </c>
    </row>
    <row r="2062" spans="1:2" x14ac:dyDescent="0.3">
      <c r="A2062" s="5">
        <v>38078</v>
      </c>
      <c r="B2062" s="10">
        <v>15104</v>
      </c>
    </row>
    <row r="2063" spans="1:2" x14ac:dyDescent="0.3">
      <c r="A2063" s="5">
        <v>38079</v>
      </c>
      <c r="B2063" s="10">
        <v>15113</v>
      </c>
    </row>
    <row r="2064" spans="1:2" x14ac:dyDescent="0.3">
      <c r="A2064" s="5">
        <v>38083</v>
      </c>
      <c r="B2064" s="10">
        <v>15142</v>
      </c>
    </row>
    <row r="2065" spans="1:2" x14ac:dyDescent="0.3">
      <c r="A2065" s="5">
        <v>38084</v>
      </c>
      <c r="B2065" s="10">
        <v>15100</v>
      </c>
    </row>
    <row r="2066" spans="1:2" x14ac:dyDescent="0.3">
      <c r="A2066" s="5">
        <v>38089</v>
      </c>
      <c r="B2066" s="10">
        <v>15123</v>
      </c>
    </row>
    <row r="2067" spans="1:2" x14ac:dyDescent="0.3">
      <c r="A2067" s="5">
        <v>38090</v>
      </c>
      <c r="B2067" s="10">
        <v>15144</v>
      </c>
    </row>
    <row r="2068" spans="1:2" x14ac:dyDescent="0.3">
      <c r="A2068" s="5">
        <v>38091</v>
      </c>
      <c r="B2068" s="10">
        <v>15202</v>
      </c>
    </row>
    <row r="2069" spans="1:2" x14ac:dyDescent="0.3">
      <c r="A2069" s="5">
        <v>38092</v>
      </c>
      <c r="B2069" s="10">
        <v>15206</v>
      </c>
    </row>
    <row r="2070" spans="1:2" x14ac:dyDescent="0.3">
      <c r="A2070" s="5">
        <v>38093</v>
      </c>
      <c r="B2070" s="10">
        <v>15155</v>
      </c>
    </row>
    <row r="2071" spans="1:2" x14ac:dyDescent="0.3">
      <c r="A2071" s="5">
        <v>38096</v>
      </c>
      <c r="B2071" s="10">
        <v>15200</v>
      </c>
    </row>
    <row r="2072" spans="1:2" x14ac:dyDescent="0.3">
      <c r="A2072" s="5">
        <v>38097</v>
      </c>
      <c r="B2072" s="10">
        <v>15250</v>
      </c>
    </row>
    <row r="2073" spans="1:2" x14ac:dyDescent="0.3">
      <c r="A2073" s="5">
        <v>38098</v>
      </c>
      <c r="B2073" s="10">
        <v>15280</v>
      </c>
    </row>
    <row r="2074" spans="1:2" x14ac:dyDescent="0.3">
      <c r="A2074" s="5">
        <v>38099</v>
      </c>
      <c r="B2074" s="10">
        <v>15339</v>
      </c>
    </row>
    <row r="2075" spans="1:2" x14ac:dyDescent="0.3">
      <c r="A2075" s="5">
        <v>38100</v>
      </c>
      <c r="B2075" s="10">
        <v>15407</v>
      </c>
    </row>
    <row r="2076" spans="1:2" x14ac:dyDescent="0.3">
      <c r="A2076" s="5">
        <v>38103</v>
      </c>
      <c r="B2076" s="10">
        <v>15472</v>
      </c>
    </row>
    <row r="2077" spans="1:2" x14ac:dyDescent="0.3">
      <c r="A2077" s="5">
        <v>38104</v>
      </c>
      <c r="B2077" s="10">
        <v>15537</v>
      </c>
    </row>
    <row r="2078" spans="1:2" x14ac:dyDescent="0.3">
      <c r="A2078" s="5">
        <v>38105</v>
      </c>
      <c r="B2078" s="10">
        <v>15588</v>
      </c>
    </row>
    <row r="2079" spans="1:2" x14ac:dyDescent="0.3">
      <c r="A2079" s="5">
        <v>38106</v>
      </c>
      <c r="B2079" s="10">
        <v>15656</v>
      </c>
    </row>
    <row r="2080" spans="1:2" x14ac:dyDescent="0.3">
      <c r="A2080" s="5">
        <v>38107</v>
      </c>
      <c r="B2080" s="10">
        <v>15763</v>
      </c>
    </row>
    <row r="2081" spans="1:2" x14ac:dyDescent="0.3">
      <c r="A2081" s="5">
        <v>38110</v>
      </c>
      <c r="B2081" s="10">
        <v>15853</v>
      </c>
    </row>
    <row r="2082" spans="1:2" x14ac:dyDescent="0.3">
      <c r="A2082" s="5">
        <v>38111</v>
      </c>
      <c r="B2082" s="10">
        <v>15965</v>
      </c>
    </row>
    <row r="2083" spans="1:2" x14ac:dyDescent="0.3">
      <c r="A2083" s="5">
        <v>38112</v>
      </c>
      <c r="B2083" s="10">
        <v>16021</v>
      </c>
    </row>
    <row r="2084" spans="1:2" x14ac:dyDescent="0.3">
      <c r="A2084" s="5">
        <v>38113</v>
      </c>
      <c r="B2084" s="10">
        <v>16054</v>
      </c>
    </row>
    <row r="2085" spans="1:2" x14ac:dyDescent="0.3">
      <c r="A2085" s="5">
        <v>38114</v>
      </c>
      <c r="B2085" s="10">
        <v>16008</v>
      </c>
    </row>
    <row r="2086" spans="1:2" x14ac:dyDescent="0.3">
      <c r="A2086" s="5">
        <v>38117</v>
      </c>
      <c r="B2086" s="10">
        <v>15966</v>
      </c>
    </row>
    <row r="2087" spans="1:2" x14ac:dyDescent="0.3">
      <c r="A2087" s="5">
        <v>38118</v>
      </c>
      <c r="B2087" s="10">
        <v>16021</v>
      </c>
    </row>
    <row r="2088" spans="1:2" x14ac:dyDescent="0.3">
      <c r="A2088" s="5">
        <v>38119</v>
      </c>
      <c r="B2088" s="10">
        <v>16126</v>
      </c>
    </row>
    <row r="2089" spans="1:2" x14ac:dyDescent="0.3">
      <c r="A2089" s="5">
        <v>38120</v>
      </c>
      <c r="B2089" s="10">
        <v>16161</v>
      </c>
    </row>
    <row r="2090" spans="1:2" x14ac:dyDescent="0.3">
      <c r="A2090" s="5">
        <v>38121</v>
      </c>
      <c r="B2090" s="10">
        <v>16216</v>
      </c>
    </row>
    <row r="2091" spans="1:2" x14ac:dyDescent="0.3">
      <c r="A2091" s="5">
        <v>38124</v>
      </c>
      <c r="B2091" s="10">
        <v>16154</v>
      </c>
    </row>
    <row r="2092" spans="1:2" x14ac:dyDescent="0.3">
      <c r="A2092" s="5">
        <v>38125</v>
      </c>
      <c r="B2092" s="10">
        <v>16228</v>
      </c>
    </row>
    <row r="2093" spans="1:2" x14ac:dyDescent="0.3">
      <c r="A2093" s="5">
        <v>38126</v>
      </c>
      <c r="B2093" s="10">
        <v>16310</v>
      </c>
    </row>
    <row r="2094" spans="1:2" x14ac:dyDescent="0.3">
      <c r="A2094" s="5">
        <v>38127</v>
      </c>
      <c r="B2094" s="10">
        <v>16359</v>
      </c>
    </row>
    <row r="2095" spans="1:2" x14ac:dyDescent="0.3">
      <c r="A2095" s="5">
        <v>38128</v>
      </c>
      <c r="B2095" s="10">
        <v>16446</v>
      </c>
    </row>
    <row r="2096" spans="1:2" x14ac:dyDescent="0.3">
      <c r="A2096" s="5">
        <v>38131</v>
      </c>
      <c r="B2096" s="10">
        <v>16511</v>
      </c>
    </row>
    <row r="2097" spans="1:2" x14ac:dyDescent="0.3">
      <c r="A2097" s="5">
        <v>38133</v>
      </c>
      <c r="B2097" s="10">
        <v>16576</v>
      </c>
    </row>
    <row r="2098" spans="1:2" x14ac:dyDescent="0.3">
      <c r="A2098" s="5">
        <v>38134</v>
      </c>
      <c r="B2098" s="10">
        <v>16645</v>
      </c>
    </row>
    <row r="2099" spans="1:2" x14ac:dyDescent="0.3">
      <c r="A2099" s="5">
        <v>38135</v>
      </c>
      <c r="B2099" s="10">
        <v>16703</v>
      </c>
    </row>
    <row r="2100" spans="1:2" x14ac:dyDescent="0.3">
      <c r="A2100" s="5">
        <v>38138</v>
      </c>
      <c r="B2100" s="10">
        <v>16705</v>
      </c>
    </row>
    <row r="2101" spans="1:2" x14ac:dyDescent="0.3">
      <c r="A2101" s="5">
        <v>38139</v>
      </c>
      <c r="B2101" s="10">
        <v>16811</v>
      </c>
    </row>
    <row r="2102" spans="1:2" x14ac:dyDescent="0.3">
      <c r="A2102" s="5">
        <v>38140</v>
      </c>
      <c r="B2102" s="10">
        <v>16883</v>
      </c>
    </row>
    <row r="2103" spans="1:2" x14ac:dyDescent="0.3">
      <c r="A2103" s="5">
        <v>38141</v>
      </c>
      <c r="B2103" s="10">
        <v>16916</v>
      </c>
    </row>
    <row r="2104" spans="1:2" x14ac:dyDescent="0.3">
      <c r="A2104" s="5">
        <v>38142</v>
      </c>
      <c r="B2104" s="10">
        <v>17019</v>
      </c>
    </row>
    <row r="2105" spans="1:2" x14ac:dyDescent="0.3">
      <c r="A2105" s="5">
        <v>38145</v>
      </c>
      <c r="B2105" s="10">
        <v>17065</v>
      </c>
    </row>
    <row r="2106" spans="1:2" x14ac:dyDescent="0.3">
      <c r="A2106" s="5">
        <v>38146</v>
      </c>
      <c r="B2106" s="10">
        <v>17079</v>
      </c>
    </row>
    <row r="2107" spans="1:2" x14ac:dyDescent="0.3">
      <c r="A2107" s="5">
        <v>38147</v>
      </c>
      <c r="B2107" s="10">
        <v>17117</v>
      </c>
    </row>
    <row r="2108" spans="1:2" x14ac:dyDescent="0.3">
      <c r="A2108" s="5">
        <v>38148</v>
      </c>
      <c r="B2108" s="10">
        <v>17190</v>
      </c>
    </row>
    <row r="2109" spans="1:2" x14ac:dyDescent="0.3">
      <c r="A2109" s="5">
        <v>38149</v>
      </c>
      <c r="B2109" s="10">
        <v>17212</v>
      </c>
    </row>
    <row r="2110" spans="1:2" x14ac:dyDescent="0.3">
      <c r="A2110" s="5">
        <v>38152</v>
      </c>
      <c r="B2110" s="10">
        <v>17263</v>
      </c>
    </row>
    <row r="2111" spans="1:2" x14ac:dyDescent="0.3">
      <c r="A2111" s="5">
        <v>38153</v>
      </c>
      <c r="B2111" s="10">
        <v>17314</v>
      </c>
    </row>
    <row r="2112" spans="1:2" x14ac:dyDescent="0.3">
      <c r="A2112" s="5">
        <v>38154</v>
      </c>
      <c r="B2112" s="10">
        <v>17366</v>
      </c>
    </row>
    <row r="2113" spans="1:2" x14ac:dyDescent="0.3">
      <c r="A2113" s="5">
        <v>38155</v>
      </c>
      <c r="B2113" s="10">
        <v>17459</v>
      </c>
    </row>
    <row r="2114" spans="1:2" x14ac:dyDescent="0.3">
      <c r="A2114" s="5">
        <v>38156</v>
      </c>
      <c r="B2114" s="10">
        <v>17155</v>
      </c>
    </row>
    <row r="2115" spans="1:2" x14ac:dyDescent="0.3">
      <c r="A2115" s="5">
        <v>38160</v>
      </c>
      <c r="B2115" s="10">
        <v>17368</v>
      </c>
    </row>
    <row r="2116" spans="1:2" x14ac:dyDescent="0.3">
      <c r="A2116" s="5">
        <v>38161</v>
      </c>
      <c r="B2116" s="10">
        <v>17428</v>
      </c>
    </row>
    <row r="2117" spans="1:2" x14ac:dyDescent="0.3">
      <c r="A2117" s="5">
        <v>38162</v>
      </c>
      <c r="B2117" s="10">
        <v>17501</v>
      </c>
    </row>
    <row r="2118" spans="1:2" x14ac:dyDescent="0.3">
      <c r="A2118" s="5">
        <v>38163</v>
      </c>
      <c r="B2118" s="10">
        <v>17530</v>
      </c>
    </row>
    <row r="2119" spans="1:2" x14ac:dyDescent="0.3">
      <c r="A2119" s="5">
        <v>38166</v>
      </c>
      <c r="B2119" s="10">
        <v>17550</v>
      </c>
    </row>
    <row r="2120" spans="1:2" x14ac:dyDescent="0.3">
      <c r="A2120" s="5">
        <v>38167</v>
      </c>
      <c r="B2120" s="10">
        <v>17556</v>
      </c>
    </row>
    <row r="2121" spans="1:2" x14ac:dyDescent="0.3">
      <c r="A2121" s="5">
        <v>38168</v>
      </c>
      <c r="B2121" s="10">
        <v>17443</v>
      </c>
    </row>
    <row r="2122" spans="1:2" x14ac:dyDescent="0.3">
      <c r="A2122" s="5">
        <v>38169</v>
      </c>
      <c r="B2122" s="10">
        <v>17478</v>
      </c>
    </row>
    <row r="2123" spans="1:2" x14ac:dyDescent="0.3">
      <c r="A2123" s="5">
        <v>38170</v>
      </c>
      <c r="B2123" s="10">
        <v>17513</v>
      </c>
    </row>
    <row r="2124" spans="1:2" x14ac:dyDescent="0.3">
      <c r="A2124" s="5">
        <v>38173</v>
      </c>
      <c r="B2124" s="10">
        <v>17513</v>
      </c>
    </row>
    <row r="2125" spans="1:2" x14ac:dyDescent="0.3">
      <c r="A2125" s="5">
        <v>38174</v>
      </c>
      <c r="B2125" s="10">
        <v>17732</v>
      </c>
    </row>
    <row r="2126" spans="1:2" x14ac:dyDescent="0.3">
      <c r="A2126" s="5">
        <v>38175</v>
      </c>
      <c r="B2126" s="10">
        <v>17879</v>
      </c>
    </row>
    <row r="2127" spans="1:2" x14ac:dyDescent="0.3">
      <c r="A2127" s="5">
        <v>38176</v>
      </c>
      <c r="B2127" s="10">
        <v>17913</v>
      </c>
    </row>
    <row r="2128" spans="1:2" x14ac:dyDescent="0.3">
      <c r="A2128" s="5">
        <v>38180</v>
      </c>
      <c r="B2128" s="10">
        <v>17995</v>
      </c>
    </row>
    <row r="2129" spans="1:2" x14ac:dyDescent="0.3">
      <c r="A2129" s="5">
        <v>38181</v>
      </c>
      <c r="B2129" s="10">
        <v>18007</v>
      </c>
    </row>
    <row r="2130" spans="1:2" x14ac:dyDescent="0.3">
      <c r="A2130" s="5">
        <v>38182</v>
      </c>
      <c r="B2130" s="10">
        <v>18079</v>
      </c>
    </row>
    <row r="2131" spans="1:2" x14ac:dyDescent="0.3">
      <c r="A2131" s="5">
        <v>38183</v>
      </c>
      <c r="B2131" s="10">
        <v>18089</v>
      </c>
    </row>
    <row r="2132" spans="1:2" x14ac:dyDescent="0.3">
      <c r="A2132" s="5">
        <v>38184</v>
      </c>
      <c r="B2132" s="10">
        <v>18009</v>
      </c>
    </row>
    <row r="2133" spans="1:2" x14ac:dyDescent="0.3">
      <c r="A2133" s="5">
        <v>38187</v>
      </c>
      <c r="B2133" s="10">
        <v>18017</v>
      </c>
    </row>
    <row r="2134" spans="1:2" x14ac:dyDescent="0.3">
      <c r="A2134" s="5">
        <v>38188</v>
      </c>
      <c r="B2134" s="10">
        <v>18023</v>
      </c>
    </row>
    <row r="2135" spans="1:2" x14ac:dyDescent="0.3">
      <c r="A2135" s="5">
        <v>38189</v>
      </c>
      <c r="B2135" s="10">
        <v>18013</v>
      </c>
    </row>
    <row r="2136" spans="1:2" x14ac:dyDescent="0.3">
      <c r="A2136" s="5">
        <v>38190</v>
      </c>
      <c r="B2136" s="10">
        <v>18040</v>
      </c>
    </row>
    <row r="2137" spans="1:2" x14ac:dyDescent="0.3">
      <c r="A2137" s="5">
        <v>38191</v>
      </c>
      <c r="B2137" s="10">
        <v>18038</v>
      </c>
    </row>
    <row r="2138" spans="1:2" x14ac:dyDescent="0.3">
      <c r="A2138" s="5">
        <v>38194</v>
      </c>
      <c r="B2138" s="10">
        <v>18081</v>
      </c>
    </row>
    <row r="2139" spans="1:2" x14ac:dyDescent="0.3">
      <c r="A2139" s="5">
        <v>38195</v>
      </c>
      <c r="B2139" s="10">
        <v>18049</v>
      </c>
    </row>
    <row r="2140" spans="1:2" x14ac:dyDescent="0.3">
      <c r="A2140" s="5">
        <v>38196</v>
      </c>
      <c r="B2140" s="10">
        <v>18064</v>
      </c>
    </row>
    <row r="2141" spans="1:2" x14ac:dyDescent="0.3">
      <c r="A2141" s="5">
        <v>38197</v>
      </c>
      <c r="B2141" s="10">
        <v>18048</v>
      </c>
    </row>
    <row r="2142" spans="1:2" x14ac:dyDescent="0.3">
      <c r="A2142" s="5">
        <v>38198</v>
      </c>
      <c r="B2142" s="10">
        <v>18068</v>
      </c>
    </row>
    <row r="2143" spans="1:2" x14ac:dyDescent="0.3">
      <c r="A2143" s="5">
        <v>38201</v>
      </c>
      <c r="B2143" s="10">
        <v>18124</v>
      </c>
    </row>
    <row r="2144" spans="1:2" x14ac:dyDescent="0.3">
      <c r="A2144" s="5">
        <v>38202</v>
      </c>
      <c r="B2144" s="10">
        <v>18182</v>
      </c>
    </row>
    <row r="2145" spans="1:2" x14ac:dyDescent="0.3">
      <c r="A2145" s="5">
        <v>38203</v>
      </c>
      <c r="B2145" s="10">
        <v>18157</v>
      </c>
    </row>
    <row r="2146" spans="1:2" x14ac:dyDescent="0.3">
      <c r="A2146" s="5">
        <v>38204</v>
      </c>
      <c r="B2146" s="10">
        <v>18050</v>
      </c>
    </row>
    <row r="2147" spans="1:2" x14ac:dyDescent="0.3">
      <c r="A2147" s="5">
        <v>38205</v>
      </c>
      <c r="B2147" s="10">
        <v>18101</v>
      </c>
    </row>
    <row r="2148" spans="1:2" x14ac:dyDescent="0.3">
      <c r="A2148" s="5">
        <v>38208</v>
      </c>
      <c r="B2148" s="10">
        <v>18110</v>
      </c>
    </row>
    <row r="2149" spans="1:2" x14ac:dyDescent="0.3">
      <c r="A2149" s="5">
        <v>38209</v>
      </c>
      <c r="B2149" s="10">
        <v>18144</v>
      </c>
    </row>
    <row r="2150" spans="1:2" x14ac:dyDescent="0.3">
      <c r="A2150" s="5">
        <v>38210</v>
      </c>
      <c r="B2150" s="10">
        <v>18140</v>
      </c>
    </row>
    <row r="2151" spans="1:2" x14ac:dyDescent="0.3">
      <c r="A2151" s="5">
        <v>38211</v>
      </c>
      <c r="B2151" s="10">
        <v>18156</v>
      </c>
    </row>
    <row r="2152" spans="1:2" x14ac:dyDescent="0.3">
      <c r="A2152" s="5">
        <v>38212</v>
      </c>
      <c r="B2152" s="10">
        <v>18064</v>
      </c>
    </row>
    <row r="2153" spans="1:2" x14ac:dyDescent="0.3">
      <c r="A2153" s="5">
        <v>38216</v>
      </c>
      <c r="B2153" s="10">
        <v>18083</v>
      </c>
    </row>
    <row r="2154" spans="1:2" x14ac:dyDescent="0.3">
      <c r="A2154" s="5">
        <v>38217</v>
      </c>
      <c r="B2154" s="10">
        <v>18121</v>
      </c>
    </row>
    <row r="2155" spans="1:2" x14ac:dyDescent="0.3">
      <c r="A2155" s="5">
        <v>38218</v>
      </c>
      <c r="B2155" s="10">
        <v>18142</v>
      </c>
    </row>
    <row r="2156" spans="1:2" x14ac:dyDescent="0.3">
      <c r="A2156" s="5">
        <v>38219</v>
      </c>
      <c r="B2156" s="10">
        <v>17999</v>
      </c>
    </row>
    <row r="2157" spans="1:2" x14ac:dyDescent="0.3">
      <c r="A2157" s="5">
        <v>38222</v>
      </c>
      <c r="B2157" s="10">
        <v>17983</v>
      </c>
    </row>
    <row r="2158" spans="1:2" x14ac:dyDescent="0.3">
      <c r="A2158" s="5">
        <v>38223</v>
      </c>
      <c r="B2158" s="10">
        <v>17958</v>
      </c>
    </row>
    <row r="2159" spans="1:2" x14ac:dyDescent="0.3">
      <c r="A2159" s="5">
        <v>38224</v>
      </c>
      <c r="B2159" s="10">
        <v>17979</v>
      </c>
    </row>
    <row r="2160" spans="1:2" x14ac:dyDescent="0.3">
      <c r="A2160" s="5">
        <v>38225</v>
      </c>
      <c r="B2160" s="10">
        <v>17992</v>
      </c>
    </row>
    <row r="2161" spans="1:2" x14ac:dyDescent="0.3">
      <c r="A2161" s="5">
        <v>38226</v>
      </c>
      <c r="B2161" s="10">
        <v>17965</v>
      </c>
    </row>
    <row r="2162" spans="1:2" x14ac:dyDescent="0.3">
      <c r="A2162" s="5">
        <v>38229</v>
      </c>
      <c r="B2162" s="10">
        <v>18007</v>
      </c>
    </row>
    <row r="2163" spans="1:2" x14ac:dyDescent="0.3">
      <c r="A2163" s="5">
        <v>38230</v>
      </c>
      <c r="B2163" s="10">
        <v>18076</v>
      </c>
    </row>
    <row r="2164" spans="1:2" x14ac:dyDescent="0.3">
      <c r="A2164" s="5">
        <v>38231</v>
      </c>
      <c r="B2164" s="10">
        <v>18084</v>
      </c>
    </row>
    <row r="2165" spans="1:2" x14ac:dyDescent="0.3">
      <c r="A2165" s="5">
        <v>38232</v>
      </c>
      <c r="B2165" s="10">
        <v>18096</v>
      </c>
    </row>
    <row r="2166" spans="1:2" x14ac:dyDescent="0.3">
      <c r="A2166" s="5">
        <v>38233</v>
      </c>
      <c r="B2166" s="10">
        <v>18104</v>
      </c>
    </row>
    <row r="2167" spans="1:2" x14ac:dyDescent="0.3">
      <c r="A2167" s="5">
        <v>38236</v>
      </c>
      <c r="B2167" s="10">
        <v>18102</v>
      </c>
    </row>
    <row r="2168" spans="1:2" x14ac:dyDescent="0.3">
      <c r="A2168" s="5">
        <v>38237</v>
      </c>
      <c r="B2168" s="10">
        <v>18149</v>
      </c>
    </row>
    <row r="2169" spans="1:2" x14ac:dyDescent="0.3">
      <c r="A2169" s="5">
        <v>38238</v>
      </c>
      <c r="B2169" s="10">
        <v>18209</v>
      </c>
    </row>
    <row r="2170" spans="1:2" x14ac:dyDescent="0.3">
      <c r="A2170" s="5">
        <v>38239</v>
      </c>
      <c r="B2170" s="10">
        <v>18248</v>
      </c>
    </row>
    <row r="2171" spans="1:2" x14ac:dyDescent="0.3">
      <c r="A2171" s="5">
        <v>38240</v>
      </c>
      <c r="B2171" s="10">
        <v>18291</v>
      </c>
    </row>
    <row r="2172" spans="1:2" x14ac:dyDescent="0.3">
      <c r="A2172" s="5">
        <v>38243</v>
      </c>
      <c r="B2172" s="10">
        <v>18364</v>
      </c>
    </row>
    <row r="2173" spans="1:2" x14ac:dyDescent="0.3">
      <c r="A2173" s="5">
        <v>38244</v>
      </c>
      <c r="B2173" s="10">
        <v>18394</v>
      </c>
    </row>
    <row r="2174" spans="1:2" x14ac:dyDescent="0.3">
      <c r="A2174" s="5">
        <v>38245</v>
      </c>
      <c r="B2174" s="10">
        <v>18285</v>
      </c>
    </row>
    <row r="2175" spans="1:2" x14ac:dyDescent="0.3">
      <c r="A2175" s="5">
        <v>38246</v>
      </c>
      <c r="B2175" s="10">
        <v>18329</v>
      </c>
    </row>
    <row r="2176" spans="1:2" x14ac:dyDescent="0.3">
      <c r="A2176" s="5">
        <v>38247</v>
      </c>
      <c r="B2176" s="10">
        <v>18354</v>
      </c>
    </row>
    <row r="2177" spans="1:2" x14ac:dyDescent="0.3">
      <c r="A2177" s="5">
        <v>38250</v>
      </c>
      <c r="B2177" s="10">
        <v>18070</v>
      </c>
    </row>
    <row r="2178" spans="1:2" x14ac:dyDescent="0.3">
      <c r="A2178" s="5">
        <v>38251</v>
      </c>
      <c r="B2178" s="10">
        <v>18094</v>
      </c>
    </row>
    <row r="2179" spans="1:2" x14ac:dyDescent="0.3">
      <c r="A2179" s="5">
        <v>38252</v>
      </c>
      <c r="B2179" s="10">
        <v>18071</v>
      </c>
    </row>
    <row r="2180" spans="1:2" x14ac:dyDescent="0.3">
      <c r="A2180" s="5">
        <v>38253</v>
      </c>
      <c r="B2180" s="10">
        <v>18139</v>
      </c>
    </row>
    <row r="2181" spans="1:2" x14ac:dyDescent="0.3">
      <c r="A2181" s="5">
        <v>38254</v>
      </c>
      <c r="B2181" s="10">
        <v>18147</v>
      </c>
    </row>
    <row r="2182" spans="1:2" x14ac:dyDescent="0.3">
      <c r="A2182" s="5">
        <v>38257</v>
      </c>
      <c r="B2182" s="10">
        <v>18178</v>
      </c>
    </row>
    <row r="2183" spans="1:2" x14ac:dyDescent="0.3">
      <c r="A2183" s="5">
        <v>38258</v>
      </c>
      <c r="B2183" s="10">
        <v>18121</v>
      </c>
    </row>
    <row r="2184" spans="1:2" x14ac:dyDescent="0.3">
      <c r="A2184" s="5">
        <v>38259</v>
      </c>
      <c r="B2184" s="10">
        <v>18150</v>
      </c>
    </row>
    <row r="2185" spans="1:2" x14ac:dyDescent="0.3">
      <c r="A2185" s="5">
        <v>38260</v>
      </c>
      <c r="B2185" s="10">
        <v>18224</v>
      </c>
    </row>
    <row r="2186" spans="1:2" x14ac:dyDescent="0.3">
      <c r="A2186" s="5">
        <v>38261</v>
      </c>
      <c r="B2186" s="10">
        <v>18277</v>
      </c>
    </row>
    <row r="2187" spans="1:2" x14ac:dyDescent="0.3">
      <c r="A2187" s="5">
        <v>38264</v>
      </c>
      <c r="B2187" s="10">
        <v>18287</v>
      </c>
    </row>
    <row r="2188" spans="1:2" x14ac:dyDescent="0.3">
      <c r="A2188" s="5">
        <v>38265</v>
      </c>
      <c r="B2188" s="10">
        <v>18325</v>
      </c>
    </row>
    <row r="2189" spans="1:2" x14ac:dyDescent="0.3">
      <c r="A2189" s="5">
        <v>38266</v>
      </c>
      <c r="B2189" s="10">
        <v>18303</v>
      </c>
    </row>
    <row r="2190" spans="1:2" x14ac:dyDescent="0.3">
      <c r="A2190" s="5">
        <v>38267</v>
      </c>
      <c r="B2190" s="10">
        <v>18370</v>
      </c>
    </row>
    <row r="2191" spans="1:2" x14ac:dyDescent="0.3">
      <c r="A2191" s="5">
        <v>38268</v>
      </c>
      <c r="B2191" s="10">
        <v>18344</v>
      </c>
    </row>
    <row r="2192" spans="1:2" x14ac:dyDescent="0.3">
      <c r="A2192" s="5">
        <v>38272</v>
      </c>
      <c r="B2192" s="10">
        <v>18395</v>
      </c>
    </row>
    <row r="2193" spans="1:2" x14ac:dyDescent="0.3">
      <c r="A2193" s="5">
        <v>38273</v>
      </c>
      <c r="B2193" s="10">
        <v>18347</v>
      </c>
    </row>
    <row r="2194" spans="1:2" x14ac:dyDescent="0.3">
      <c r="A2194" s="5">
        <v>38274</v>
      </c>
      <c r="B2194" s="10">
        <v>18399</v>
      </c>
    </row>
    <row r="2195" spans="1:2" x14ac:dyDescent="0.3">
      <c r="A2195" s="5">
        <v>38275</v>
      </c>
      <c r="B2195" s="10">
        <v>18255</v>
      </c>
    </row>
    <row r="2196" spans="1:2" x14ac:dyDescent="0.3">
      <c r="A2196" s="5">
        <v>38278</v>
      </c>
      <c r="B2196" s="10">
        <v>18250</v>
      </c>
    </row>
    <row r="2197" spans="1:2" x14ac:dyDescent="0.3">
      <c r="A2197" s="5">
        <v>38279</v>
      </c>
      <c r="B2197" s="10">
        <v>18298</v>
      </c>
    </row>
    <row r="2198" spans="1:2" x14ac:dyDescent="0.3">
      <c r="A2198" s="5">
        <v>38280</v>
      </c>
      <c r="B2198" s="10">
        <v>18368</v>
      </c>
    </row>
    <row r="2199" spans="1:2" x14ac:dyDescent="0.3">
      <c r="A2199" s="5">
        <v>38281</v>
      </c>
      <c r="B2199" s="10">
        <v>18419</v>
      </c>
    </row>
    <row r="2200" spans="1:2" x14ac:dyDescent="0.3">
      <c r="A2200" s="5">
        <v>38282</v>
      </c>
      <c r="B2200" s="10">
        <v>18463</v>
      </c>
    </row>
    <row r="2201" spans="1:2" x14ac:dyDescent="0.3">
      <c r="A2201" s="5">
        <v>38285</v>
      </c>
      <c r="B2201" s="10">
        <v>18503</v>
      </c>
    </row>
    <row r="2202" spans="1:2" x14ac:dyDescent="0.3">
      <c r="A2202" s="5">
        <v>38286</v>
      </c>
      <c r="B2202" s="10">
        <v>18536</v>
      </c>
    </row>
    <row r="2203" spans="1:2" x14ac:dyDescent="0.3">
      <c r="A2203" s="5">
        <v>38287</v>
      </c>
      <c r="B2203" s="10">
        <v>18541</v>
      </c>
    </row>
    <row r="2204" spans="1:2" x14ac:dyDescent="0.3">
      <c r="A2204" s="5">
        <v>38288</v>
      </c>
      <c r="B2204" s="10">
        <v>18576</v>
      </c>
    </row>
    <row r="2205" spans="1:2" x14ac:dyDescent="0.3">
      <c r="A2205" s="5">
        <v>38289</v>
      </c>
      <c r="B2205" s="10">
        <v>18587</v>
      </c>
    </row>
    <row r="2206" spans="1:2" x14ac:dyDescent="0.3">
      <c r="A2206" s="5">
        <v>38292</v>
      </c>
      <c r="B2206" s="10">
        <v>18575</v>
      </c>
    </row>
    <row r="2207" spans="1:2" x14ac:dyDescent="0.3">
      <c r="A2207" s="5">
        <v>38293</v>
      </c>
      <c r="B2207" s="10">
        <v>18591</v>
      </c>
    </row>
    <row r="2208" spans="1:2" x14ac:dyDescent="0.3">
      <c r="A2208" s="5">
        <v>38294</v>
      </c>
      <c r="B2208" s="10">
        <v>18640</v>
      </c>
    </row>
    <row r="2209" spans="1:2" x14ac:dyDescent="0.3">
      <c r="A2209" s="5">
        <v>38295</v>
      </c>
      <c r="B2209" s="10">
        <v>18551</v>
      </c>
    </row>
    <row r="2210" spans="1:2" x14ac:dyDescent="0.3">
      <c r="A2210" s="5">
        <v>38296</v>
      </c>
      <c r="B2210" s="10">
        <v>18615</v>
      </c>
    </row>
    <row r="2211" spans="1:2" x14ac:dyDescent="0.3">
      <c r="A2211" s="5">
        <v>38299</v>
      </c>
      <c r="B2211" s="10">
        <v>18629</v>
      </c>
    </row>
    <row r="2212" spans="1:2" x14ac:dyDescent="0.3">
      <c r="A2212" s="5">
        <v>38300</v>
      </c>
      <c r="B2212" s="10">
        <v>18654</v>
      </c>
    </row>
    <row r="2213" spans="1:2" x14ac:dyDescent="0.3">
      <c r="A2213" s="5">
        <v>38301</v>
      </c>
      <c r="B2213" s="10">
        <v>18649</v>
      </c>
    </row>
    <row r="2214" spans="1:2" x14ac:dyDescent="0.3">
      <c r="A2214" s="5">
        <v>38302</v>
      </c>
      <c r="B2214" s="10">
        <v>18633</v>
      </c>
    </row>
    <row r="2215" spans="1:2" x14ac:dyDescent="0.3">
      <c r="A2215" s="5">
        <v>38303</v>
      </c>
      <c r="B2215" s="10">
        <v>18716</v>
      </c>
    </row>
    <row r="2216" spans="1:2" x14ac:dyDescent="0.3">
      <c r="A2216" s="5">
        <v>38306</v>
      </c>
      <c r="B2216" s="10">
        <v>18666</v>
      </c>
    </row>
    <row r="2217" spans="1:2" x14ac:dyDescent="0.3">
      <c r="A2217" s="5">
        <v>38307</v>
      </c>
      <c r="B2217" s="10">
        <v>18691</v>
      </c>
    </row>
    <row r="2218" spans="1:2" x14ac:dyDescent="0.3">
      <c r="A2218" s="5">
        <v>38308</v>
      </c>
      <c r="B2218" s="10">
        <v>18744</v>
      </c>
    </row>
    <row r="2219" spans="1:2" x14ac:dyDescent="0.3">
      <c r="A2219" s="5">
        <v>38309</v>
      </c>
      <c r="B2219" s="10">
        <v>18748</v>
      </c>
    </row>
    <row r="2220" spans="1:2" x14ac:dyDescent="0.3">
      <c r="A2220" s="5">
        <v>38310</v>
      </c>
      <c r="B2220" s="10">
        <v>18786</v>
      </c>
    </row>
    <row r="2221" spans="1:2" x14ac:dyDescent="0.3">
      <c r="A2221" s="5">
        <v>38313</v>
      </c>
      <c r="B2221" s="10">
        <v>18701</v>
      </c>
    </row>
    <row r="2222" spans="1:2" x14ac:dyDescent="0.3">
      <c r="A2222" s="5">
        <v>38314</v>
      </c>
      <c r="B2222" s="10">
        <v>18757</v>
      </c>
    </row>
    <row r="2223" spans="1:2" x14ac:dyDescent="0.3">
      <c r="A2223" s="5">
        <v>38315</v>
      </c>
      <c r="B2223" s="10">
        <v>18807</v>
      </c>
    </row>
    <row r="2224" spans="1:2" x14ac:dyDescent="0.3">
      <c r="A2224" s="5">
        <v>38316</v>
      </c>
      <c r="B2224" s="10">
        <v>18821</v>
      </c>
    </row>
    <row r="2225" spans="1:2" x14ac:dyDescent="0.3">
      <c r="A2225" s="5">
        <v>38317</v>
      </c>
      <c r="B2225" s="10">
        <v>18850</v>
      </c>
    </row>
    <row r="2226" spans="1:2" x14ac:dyDescent="0.3">
      <c r="A2226" s="5">
        <v>38320</v>
      </c>
      <c r="B2226" s="10">
        <v>18890</v>
      </c>
    </row>
    <row r="2227" spans="1:2" x14ac:dyDescent="0.3">
      <c r="A2227" s="5">
        <v>38321</v>
      </c>
      <c r="B2227" s="10">
        <v>18944</v>
      </c>
    </row>
    <row r="2228" spans="1:2" x14ac:dyDescent="0.3">
      <c r="A2228" s="5">
        <v>38322</v>
      </c>
      <c r="B2228" s="10">
        <v>19041</v>
      </c>
    </row>
    <row r="2229" spans="1:2" x14ac:dyDescent="0.3">
      <c r="A2229" s="5">
        <v>38323</v>
      </c>
      <c r="B2229" s="10">
        <v>19091</v>
      </c>
    </row>
    <row r="2230" spans="1:2" x14ac:dyDescent="0.3">
      <c r="A2230" s="5">
        <v>38324</v>
      </c>
      <c r="B2230" s="10">
        <v>19190</v>
      </c>
    </row>
    <row r="2231" spans="1:2" x14ac:dyDescent="0.3">
      <c r="A2231" s="5">
        <v>38327</v>
      </c>
      <c r="B2231" s="10">
        <v>19257</v>
      </c>
    </row>
    <row r="2232" spans="1:2" x14ac:dyDescent="0.3">
      <c r="A2232" s="5">
        <v>38328</v>
      </c>
      <c r="B2232" s="10">
        <v>19245</v>
      </c>
    </row>
    <row r="2233" spans="1:2" x14ac:dyDescent="0.3">
      <c r="A2233" s="5">
        <v>38330</v>
      </c>
      <c r="B2233" s="10">
        <v>19088</v>
      </c>
    </row>
    <row r="2234" spans="1:2" x14ac:dyDescent="0.3">
      <c r="A2234" s="5">
        <v>38331</v>
      </c>
      <c r="B2234" s="10">
        <v>19126</v>
      </c>
    </row>
    <row r="2235" spans="1:2" x14ac:dyDescent="0.3">
      <c r="A2235" s="5">
        <v>38334</v>
      </c>
      <c r="B2235" s="10">
        <v>19208</v>
      </c>
    </row>
    <row r="2236" spans="1:2" x14ac:dyDescent="0.3">
      <c r="A2236" s="5">
        <v>38335</v>
      </c>
      <c r="B2236" s="10">
        <v>19261</v>
      </c>
    </row>
    <row r="2237" spans="1:2" x14ac:dyDescent="0.3">
      <c r="A2237" s="5">
        <v>38336</v>
      </c>
      <c r="B2237" s="10">
        <v>19326</v>
      </c>
    </row>
    <row r="2238" spans="1:2" x14ac:dyDescent="0.3">
      <c r="A2238" s="5">
        <v>38337</v>
      </c>
      <c r="B2238" s="10">
        <v>19404</v>
      </c>
    </row>
    <row r="2239" spans="1:2" x14ac:dyDescent="0.3">
      <c r="A2239" s="5">
        <v>38338</v>
      </c>
      <c r="B2239" s="10">
        <v>19445</v>
      </c>
    </row>
    <row r="2240" spans="1:2" x14ac:dyDescent="0.3">
      <c r="A2240" s="5">
        <v>38341</v>
      </c>
      <c r="B2240" s="10">
        <v>19194</v>
      </c>
    </row>
    <row r="2241" spans="1:2" x14ac:dyDescent="0.3">
      <c r="A2241" s="5">
        <v>38342</v>
      </c>
      <c r="B2241" s="10">
        <v>19262</v>
      </c>
    </row>
    <row r="2242" spans="1:2" x14ac:dyDescent="0.3">
      <c r="A2242" s="5">
        <v>38343</v>
      </c>
      <c r="B2242" s="10">
        <v>19290</v>
      </c>
    </row>
    <row r="2243" spans="1:2" x14ac:dyDescent="0.3">
      <c r="A2243" s="5">
        <v>38344</v>
      </c>
      <c r="B2243" s="10">
        <v>19383</v>
      </c>
    </row>
    <row r="2244" spans="1:2" x14ac:dyDescent="0.3">
      <c r="A2244" s="5">
        <v>38345</v>
      </c>
      <c r="B2244" s="10">
        <v>19417</v>
      </c>
    </row>
    <row r="2245" spans="1:2" x14ac:dyDescent="0.3">
      <c r="A2245" s="5">
        <v>38348</v>
      </c>
      <c r="B2245" s="10">
        <v>19522</v>
      </c>
    </row>
    <row r="2246" spans="1:2" x14ac:dyDescent="0.3">
      <c r="A2246" s="5">
        <v>38349</v>
      </c>
      <c r="B2246" s="10">
        <v>19517</v>
      </c>
    </row>
    <row r="2247" spans="1:2" x14ac:dyDescent="0.3">
      <c r="A2247" s="5">
        <v>38350</v>
      </c>
      <c r="B2247" s="10">
        <v>19498</v>
      </c>
    </row>
    <row r="2248" spans="1:2" x14ac:dyDescent="0.3">
      <c r="A2248" s="5">
        <v>38351</v>
      </c>
      <c r="B2248" s="10">
        <v>19595</v>
      </c>
    </row>
    <row r="2249" spans="1:2" x14ac:dyDescent="0.3">
      <c r="A2249" s="5">
        <v>38352</v>
      </c>
      <c r="B2249" s="10">
        <v>19646</v>
      </c>
    </row>
    <row r="2250" spans="1:2" x14ac:dyDescent="0.3">
      <c r="A2250" s="5">
        <v>38355</v>
      </c>
      <c r="B2250" s="10">
        <v>19648</v>
      </c>
    </row>
    <row r="2251" spans="1:2" x14ac:dyDescent="0.3">
      <c r="A2251" s="5">
        <v>38356</v>
      </c>
      <c r="B2251" s="10">
        <v>19641</v>
      </c>
    </row>
    <row r="2252" spans="1:2" x14ac:dyDescent="0.3">
      <c r="A2252" s="5">
        <v>38357</v>
      </c>
      <c r="B2252" s="10">
        <v>19686</v>
      </c>
    </row>
    <row r="2253" spans="1:2" x14ac:dyDescent="0.3">
      <c r="A2253" s="5">
        <v>38358</v>
      </c>
      <c r="B2253" s="10">
        <v>19643</v>
      </c>
    </row>
    <row r="2254" spans="1:2" x14ac:dyDescent="0.3">
      <c r="A2254" s="5">
        <v>38359</v>
      </c>
      <c r="B2254" s="10">
        <v>19688</v>
      </c>
    </row>
    <row r="2255" spans="1:2" x14ac:dyDescent="0.3">
      <c r="A2255" s="5">
        <v>38362</v>
      </c>
      <c r="B2255" s="10">
        <v>19733</v>
      </c>
    </row>
    <row r="2256" spans="1:2" x14ac:dyDescent="0.3">
      <c r="A2256" s="5">
        <v>38363</v>
      </c>
      <c r="B2256" s="10">
        <v>19796</v>
      </c>
    </row>
    <row r="2257" spans="1:2" x14ac:dyDescent="0.3">
      <c r="A2257" s="5">
        <v>38364</v>
      </c>
      <c r="B2257" s="10">
        <v>19847</v>
      </c>
    </row>
    <row r="2258" spans="1:2" x14ac:dyDescent="0.3">
      <c r="A2258" s="5">
        <v>38365</v>
      </c>
      <c r="B2258" s="10">
        <v>19918</v>
      </c>
    </row>
    <row r="2259" spans="1:2" x14ac:dyDescent="0.3">
      <c r="A2259" s="5">
        <v>38366</v>
      </c>
      <c r="B2259" s="10">
        <v>19795</v>
      </c>
    </row>
    <row r="2260" spans="1:2" x14ac:dyDescent="0.3">
      <c r="A2260" s="5">
        <v>38369</v>
      </c>
      <c r="B2260" s="10">
        <v>19819</v>
      </c>
    </row>
    <row r="2261" spans="1:2" x14ac:dyDescent="0.3">
      <c r="A2261" s="5">
        <v>38370</v>
      </c>
      <c r="B2261" s="10">
        <v>19814</v>
      </c>
    </row>
    <row r="2262" spans="1:2" x14ac:dyDescent="0.3">
      <c r="A2262" s="5">
        <v>38371</v>
      </c>
      <c r="B2262" s="10">
        <v>19812</v>
      </c>
    </row>
    <row r="2263" spans="1:2" x14ac:dyDescent="0.3">
      <c r="A2263" s="5">
        <v>38372</v>
      </c>
      <c r="B2263" s="10">
        <v>19813</v>
      </c>
    </row>
    <row r="2264" spans="1:2" x14ac:dyDescent="0.3">
      <c r="A2264" s="5">
        <v>38373</v>
      </c>
      <c r="B2264" s="10">
        <v>19889</v>
      </c>
    </row>
    <row r="2265" spans="1:2" x14ac:dyDescent="0.3">
      <c r="A2265" s="5">
        <v>38376</v>
      </c>
      <c r="B2265" s="10">
        <v>19940</v>
      </c>
    </row>
    <row r="2266" spans="1:2" x14ac:dyDescent="0.3">
      <c r="A2266" s="5">
        <v>38377</v>
      </c>
      <c r="B2266" s="10">
        <v>19986</v>
      </c>
    </row>
    <row r="2267" spans="1:2" x14ac:dyDescent="0.3">
      <c r="A2267" s="5">
        <v>38378</v>
      </c>
      <c r="B2267" s="10">
        <v>20067</v>
      </c>
    </row>
    <row r="2268" spans="1:2" x14ac:dyDescent="0.3">
      <c r="A2268" s="5">
        <v>38379</v>
      </c>
      <c r="B2268" s="10">
        <v>20088</v>
      </c>
    </row>
    <row r="2269" spans="1:2" x14ac:dyDescent="0.3">
      <c r="A2269" s="5">
        <v>38380</v>
      </c>
      <c r="B2269" s="10">
        <v>20090</v>
      </c>
    </row>
    <row r="2270" spans="1:2" x14ac:dyDescent="0.3">
      <c r="A2270" s="5">
        <v>38383</v>
      </c>
      <c r="B2270" s="10">
        <v>20137</v>
      </c>
    </row>
    <row r="2271" spans="1:2" x14ac:dyDescent="0.3">
      <c r="A2271" s="5">
        <v>38384</v>
      </c>
      <c r="B2271" s="10">
        <v>20221</v>
      </c>
    </row>
    <row r="2272" spans="1:2" x14ac:dyDescent="0.3">
      <c r="A2272" s="5">
        <v>38385</v>
      </c>
      <c r="B2272" s="10">
        <v>20330</v>
      </c>
    </row>
    <row r="2273" spans="1:2" x14ac:dyDescent="0.3">
      <c r="A2273" s="5">
        <v>38386</v>
      </c>
      <c r="B2273" s="10">
        <v>20322</v>
      </c>
    </row>
    <row r="2274" spans="1:2" x14ac:dyDescent="0.3">
      <c r="A2274" s="5">
        <v>38387</v>
      </c>
      <c r="B2274" s="10">
        <v>20182</v>
      </c>
    </row>
    <row r="2275" spans="1:2" x14ac:dyDescent="0.3">
      <c r="A2275" s="5">
        <v>38390</v>
      </c>
      <c r="B2275" s="10">
        <v>20202</v>
      </c>
    </row>
    <row r="2276" spans="1:2" x14ac:dyDescent="0.3">
      <c r="A2276" s="5">
        <v>38391</v>
      </c>
      <c r="B2276" s="10">
        <v>20394</v>
      </c>
    </row>
    <row r="2277" spans="1:2" x14ac:dyDescent="0.3">
      <c r="A2277" s="5">
        <v>38392</v>
      </c>
      <c r="B2277" s="10">
        <v>20409</v>
      </c>
    </row>
    <row r="2278" spans="1:2" x14ac:dyDescent="0.3">
      <c r="A2278" s="5">
        <v>38393</v>
      </c>
      <c r="B2278" s="10">
        <v>20475</v>
      </c>
    </row>
    <row r="2279" spans="1:2" x14ac:dyDescent="0.3">
      <c r="A2279" s="5">
        <v>38394</v>
      </c>
      <c r="B2279" s="10">
        <v>20514</v>
      </c>
    </row>
    <row r="2280" spans="1:2" x14ac:dyDescent="0.3">
      <c r="A2280" s="5">
        <v>38397</v>
      </c>
      <c r="B2280" s="10">
        <v>20589</v>
      </c>
    </row>
    <row r="2281" spans="1:2" x14ac:dyDescent="0.3">
      <c r="A2281" s="5">
        <v>38398</v>
      </c>
      <c r="B2281" s="10">
        <v>20499</v>
      </c>
    </row>
    <row r="2282" spans="1:2" x14ac:dyDescent="0.3">
      <c r="A2282" s="5">
        <v>38399</v>
      </c>
      <c r="B2282" s="10">
        <v>20545</v>
      </c>
    </row>
    <row r="2283" spans="1:2" x14ac:dyDescent="0.3">
      <c r="A2283" s="5">
        <v>38400</v>
      </c>
      <c r="B2283" s="10">
        <v>20662</v>
      </c>
    </row>
    <row r="2284" spans="1:2" x14ac:dyDescent="0.3">
      <c r="A2284" s="5">
        <v>38401</v>
      </c>
      <c r="B2284" s="10">
        <v>20776</v>
      </c>
    </row>
    <row r="2285" spans="1:2" x14ac:dyDescent="0.3">
      <c r="A2285" s="5">
        <v>38404</v>
      </c>
      <c r="B2285" s="10">
        <v>20776</v>
      </c>
    </row>
    <row r="2286" spans="1:2" x14ac:dyDescent="0.3">
      <c r="A2286" s="5">
        <v>38405</v>
      </c>
      <c r="B2286" s="10">
        <v>20601</v>
      </c>
    </row>
    <row r="2287" spans="1:2" x14ac:dyDescent="0.3">
      <c r="A2287" s="5">
        <v>38406</v>
      </c>
      <c r="B2287" s="10">
        <v>20651</v>
      </c>
    </row>
    <row r="2288" spans="1:2" x14ac:dyDescent="0.3">
      <c r="A2288" s="5">
        <v>38407</v>
      </c>
      <c r="B2288" s="10">
        <v>20693</v>
      </c>
    </row>
    <row r="2289" spans="1:2" x14ac:dyDescent="0.3">
      <c r="A2289" s="5">
        <v>38408</v>
      </c>
      <c r="B2289" s="10">
        <v>20720</v>
      </c>
    </row>
    <row r="2290" spans="1:2" x14ac:dyDescent="0.3">
      <c r="A2290" s="5">
        <v>38411</v>
      </c>
      <c r="B2290" s="10">
        <v>20792</v>
      </c>
    </row>
    <row r="2291" spans="1:2" x14ac:dyDescent="0.3">
      <c r="A2291" s="5">
        <v>38412</v>
      </c>
      <c r="B2291" s="10">
        <v>20795</v>
      </c>
    </row>
    <row r="2292" spans="1:2" x14ac:dyDescent="0.3">
      <c r="A2292" s="5">
        <v>38413</v>
      </c>
      <c r="B2292" s="10">
        <v>20803</v>
      </c>
    </row>
    <row r="2293" spans="1:2" x14ac:dyDescent="0.3">
      <c r="A2293" s="5">
        <v>38414</v>
      </c>
      <c r="B2293" s="10">
        <v>20901</v>
      </c>
    </row>
    <row r="2294" spans="1:2" x14ac:dyDescent="0.3">
      <c r="A2294" s="5">
        <v>38415</v>
      </c>
      <c r="B2294" s="10">
        <v>20996</v>
      </c>
    </row>
    <row r="2295" spans="1:2" x14ac:dyDescent="0.3">
      <c r="A2295" s="5">
        <v>38418</v>
      </c>
      <c r="B2295" s="10">
        <v>21035</v>
      </c>
    </row>
    <row r="2296" spans="1:2" x14ac:dyDescent="0.3">
      <c r="A2296" s="5">
        <v>38419</v>
      </c>
      <c r="B2296" s="10">
        <v>21106</v>
      </c>
    </row>
    <row r="2297" spans="1:2" x14ac:dyDescent="0.3">
      <c r="A2297" s="5">
        <v>38420</v>
      </c>
      <c r="B2297" s="10">
        <v>20879</v>
      </c>
    </row>
    <row r="2298" spans="1:2" x14ac:dyDescent="0.3">
      <c r="A2298" s="5">
        <v>38421</v>
      </c>
      <c r="B2298" s="10">
        <v>20911</v>
      </c>
    </row>
    <row r="2299" spans="1:2" x14ac:dyDescent="0.3">
      <c r="A2299" s="5">
        <v>38422</v>
      </c>
      <c r="B2299" s="10">
        <v>21044</v>
      </c>
    </row>
    <row r="2300" spans="1:2" x14ac:dyDescent="0.3">
      <c r="A2300" s="5">
        <v>38425</v>
      </c>
      <c r="B2300" s="10">
        <v>21097</v>
      </c>
    </row>
    <row r="2301" spans="1:2" x14ac:dyDescent="0.3">
      <c r="A2301" s="5">
        <v>38426</v>
      </c>
      <c r="B2301" s="10">
        <v>21075</v>
      </c>
    </row>
    <row r="2302" spans="1:2" x14ac:dyDescent="0.3">
      <c r="A2302" s="5">
        <v>38427</v>
      </c>
      <c r="B2302" s="10">
        <v>21035</v>
      </c>
    </row>
    <row r="2303" spans="1:2" x14ac:dyDescent="0.3">
      <c r="A2303" s="5">
        <v>38428</v>
      </c>
      <c r="B2303" s="10">
        <v>21030</v>
      </c>
    </row>
    <row r="2304" spans="1:2" x14ac:dyDescent="0.3">
      <c r="A2304" s="5">
        <v>38429</v>
      </c>
      <c r="B2304" s="10">
        <v>20788</v>
      </c>
    </row>
    <row r="2305" spans="1:2" x14ac:dyDescent="0.3">
      <c r="A2305" s="5">
        <v>38432</v>
      </c>
      <c r="B2305" s="10">
        <v>20729</v>
      </c>
    </row>
    <row r="2306" spans="1:2" x14ac:dyDescent="0.3">
      <c r="A2306" s="5">
        <v>38433</v>
      </c>
      <c r="B2306" s="10">
        <v>20384</v>
      </c>
    </row>
    <row r="2307" spans="1:2" x14ac:dyDescent="0.3">
      <c r="A2307" s="5">
        <v>38434</v>
      </c>
      <c r="B2307" s="10">
        <v>20350</v>
      </c>
    </row>
    <row r="2308" spans="1:2" x14ac:dyDescent="0.3">
      <c r="A2308" s="5">
        <v>38439</v>
      </c>
      <c r="B2308" s="10">
        <v>20236</v>
      </c>
    </row>
    <row r="2309" spans="1:2" x14ac:dyDescent="0.3">
      <c r="A2309" s="5">
        <v>38440</v>
      </c>
      <c r="B2309" s="10">
        <v>20173</v>
      </c>
    </row>
    <row r="2310" spans="1:2" x14ac:dyDescent="0.3">
      <c r="A2310" s="5">
        <v>38441</v>
      </c>
      <c r="B2310" s="10">
        <v>20223</v>
      </c>
    </row>
    <row r="2311" spans="1:2" x14ac:dyDescent="0.3">
      <c r="A2311" s="5">
        <v>38442</v>
      </c>
      <c r="B2311" s="10">
        <v>20339</v>
      </c>
    </row>
    <row r="2312" spans="1:2" x14ac:dyDescent="0.3">
      <c r="A2312" s="5">
        <v>38443</v>
      </c>
      <c r="B2312" s="10">
        <v>20388</v>
      </c>
    </row>
    <row r="2313" spans="1:2" x14ac:dyDescent="0.3">
      <c r="A2313" s="5">
        <v>38446</v>
      </c>
      <c r="B2313" s="10">
        <v>20407</v>
      </c>
    </row>
    <row r="2314" spans="1:2" x14ac:dyDescent="0.3">
      <c r="A2314" s="5">
        <v>38447</v>
      </c>
      <c r="B2314" s="10">
        <v>20385</v>
      </c>
    </row>
    <row r="2315" spans="1:2" x14ac:dyDescent="0.3">
      <c r="A2315" s="5">
        <v>38448</v>
      </c>
      <c r="B2315" s="10">
        <v>20453</v>
      </c>
    </row>
    <row r="2316" spans="1:2" x14ac:dyDescent="0.3">
      <c r="A2316" s="5">
        <v>38449</v>
      </c>
      <c r="B2316" s="10">
        <v>20469</v>
      </c>
    </row>
    <row r="2317" spans="1:2" x14ac:dyDescent="0.3">
      <c r="A2317" s="5">
        <v>38450</v>
      </c>
      <c r="B2317" s="10">
        <v>20457</v>
      </c>
    </row>
    <row r="2318" spans="1:2" x14ac:dyDescent="0.3">
      <c r="A2318" s="5">
        <v>38453</v>
      </c>
      <c r="B2318" s="10">
        <v>20530</v>
      </c>
    </row>
    <row r="2319" spans="1:2" x14ac:dyDescent="0.3">
      <c r="A2319" s="5">
        <v>38454</v>
      </c>
      <c r="B2319" s="10">
        <v>20558</v>
      </c>
    </row>
    <row r="2320" spans="1:2" x14ac:dyDescent="0.3">
      <c r="A2320" s="5">
        <v>38455</v>
      </c>
      <c r="B2320" s="10">
        <v>20594</v>
      </c>
    </row>
    <row r="2321" spans="1:2" x14ac:dyDescent="0.3">
      <c r="A2321" s="5">
        <v>38456</v>
      </c>
      <c r="B2321" s="10">
        <v>20602</v>
      </c>
    </row>
    <row r="2322" spans="1:2" x14ac:dyDescent="0.3">
      <c r="A2322" s="5">
        <v>38457</v>
      </c>
      <c r="B2322" s="10">
        <v>20550</v>
      </c>
    </row>
    <row r="2323" spans="1:2" x14ac:dyDescent="0.3">
      <c r="A2323" s="5">
        <v>38460</v>
      </c>
      <c r="B2323" s="10">
        <v>20639</v>
      </c>
    </row>
    <row r="2324" spans="1:2" x14ac:dyDescent="0.3">
      <c r="A2324" s="5">
        <v>38461</v>
      </c>
      <c r="B2324" s="10">
        <v>20710</v>
      </c>
    </row>
    <row r="2325" spans="1:2" x14ac:dyDescent="0.3">
      <c r="A2325" s="5">
        <v>38462</v>
      </c>
      <c r="B2325" s="10">
        <v>20804</v>
      </c>
    </row>
    <row r="2326" spans="1:2" x14ac:dyDescent="0.3">
      <c r="A2326" s="5">
        <v>38463</v>
      </c>
      <c r="B2326" s="10">
        <v>20823</v>
      </c>
    </row>
    <row r="2327" spans="1:2" x14ac:dyDescent="0.3">
      <c r="A2327" s="5">
        <v>38464</v>
      </c>
      <c r="B2327" s="10">
        <v>20785</v>
      </c>
    </row>
    <row r="2328" spans="1:2" x14ac:dyDescent="0.3">
      <c r="A2328" s="5">
        <v>38467</v>
      </c>
      <c r="B2328" s="10">
        <v>20788</v>
      </c>
    </row>
    <row r="2329" spans="1:2" x14ac:dyDescent="0.3">
      <c r="A2329" s="5">
        <v>38468</v>
      </c>
      <c r="B2329" s="10">
        <v>20789</v>
      </c>
    </row>
    <row r="2330" spans="1:2" x14ac:dyDescent="0.3">
      <c r="A2330" s="5">
        <v>38469</v>
      </c>
      <c r="B2330" s="10">
        <v>20793</v>
      </c>
    </row>
    <row r="2331" spans="1:2" x14ac:dyDescent="0.3">
      <c r="A2331" s="5">
        <v>38470</v>
      </c>
      <c r="B2331" s="10">
        <v>20855</v>
      </c>
    </row>
    <row r="2332" spans="1:2" x14ac:dyDescent="0.3">
      <c r="A2332" s="5">
        <v>38471</v>
      </c>
      <c r="B2332" s="10">
        <v>20904</v>
      </c>
    </row>
    <row r="2333" spans="1:2" x14ac:dyDescent="0.3">
      <c r="A2333" s="5">
        <v>38474</v>
      </c>
      <c r="B2333" s="10">
        <v>20971</v>
      </c>
    </row>
    <row r="2334" spans="1:2" x14ac:dyDescent="0.3">
      <c r="A2334" s="5">
        <v>38475</v>
      </c>
      <c r="B2334" s="10">
        <v>21034</v>
      </c>
    </row>
    <row r="2335" spans="1:2" x14ac:dyDescent="0.3">
      <c r="A2335" s="5">
        <v>38476</v>
      </c>
      <c r="B2335" s="10">
        <v>21109</v>
      </c>
    </row>
    <row r="2336" spans="1:2" x14ac:dyDescent="0.3">
      <c r="A2336" s="5">
        <v>38477</v>
      </c>
      <c r="B2336" s="10">
        <v>21051</v>
      </c>
    </row>
    <row r="2337" spans="1:2" x14ac:dyDescent="0.3">
      <c r="A2337" s="5">
        <v>38478</v>
      </c>
      <c r="B2337" s="10">
        <v>21145</v>
      </c>
    </row>
    <row r="2338" spans="1:2" x14ac:dyDescent="0.3">
      <c r="A2338" s="5">
        <v>38481</v>
      </c>
      <c r="B2338" s="10">
        <v>21243</v>
      </c>
    </row>
    <row r="2339" spans="1:2" x14ac:dyDescent="0.3">
      <c r="A2339" s="5">
        <v>38482</v>
      </c>
      <c r="B2339" s="10">
        <v>21331</v>
      </c>
    </row>
    <row r="2340" spans="1:2" x14ac:dyDescent="0.3">
      <c r="A2340" s="5">
        <v>38483</v>
      </c>
      <c r="B2340" s="10">
        <v>21508</v>
      </c>
    </row>
    <row r="2341" spans="1:2" x14ac:dyDescent="0.3">
      <c r="A2341" s="5">
        <v>38484</v>
      </c>
      <c r="B2341" s="10">
        <v>21580</v>
      </c>
    </row>
    <row r="2342" spans="1:2" x14ac:dyDescent="0.3">
      <c r="A2342" s="5">
        <v>38485</v>
      </c>
      <c r="B2342" s="10">
        <v>21657</v>
      </c>
    </row>
    <row r="2343" spans="1:2" x14ac:dyDescent="0.3">
      <c r="A2343" s="5">
        <v>38488</v>
      </c>
      <c r="B2343" s="10">
        <v>21660</v>
      </c>
    </row>
    <row r="2344" spans="1:2" x14ac:dyDescent="0.3">
      <c r="A2344" s="5">
        <v>38489</v>
      </c>
      <c r="B2344" s="10">
        <v>21715</v>
      </c>
    </row>
    <row r="2345" spans="1:2" x14ac:dyDescent="0.3">
      <c r="A2345" s="5">
        <v>38490</v>
      </c>
      <c r="B2345" s="10">
        <v>21826</v>
      </c>
    </row>
    <row r="2346" spans="1:2" x14ac:dyDescent="0.3">
      <c r="A2346" s="5">
        <v>38491</v>
      </c>
      <c r="B2346" s="10">
        <v>21889</v>
      </c>
    </row>
    <row r="2347" spans="1:2" x14ac:dyDescent="0.3">
      <c r="A2347" s="5">
        <v>38492</v>
      </c>
      <c r="B2347" s="10">
        <v>21760</v>
      </c>
    </row>
    <row r="2348" spans="1:2" x14ac:dyDescent="0.3">
      <c r="A2348" s="5">
        <v>38495</v>
      </c>
      <c r="B2348" s="10">
        <v>21865</v>
      </c>
    </row>
    <row r="2349" spans="1:2" x14ac:dyDescent="0.3">
      <c r="A2349" s="5">
        <v>38496</v>
      </c>
      <c r="B2349" s="10">
        <v>21988</v>
      </c>
    </row>
    <row r="2350" spans="1:2" x14ac:dyDescent="0.3">
      <c r="A2350" s="5">
        <v>38498</v>
      </c>
      <c r="B2350" s="10">
        <v>21971</v>
      </c>
    </row>
    <row r="2351" spans="1:2" x14ac:dyDescent="0.3">
      <c r="A2351" s="5">
        <v>38499</v>
      </c>
      <c r="B2351" s="10">
        <v>22058</v>
      </c>
    </row>
    <row r="2352" spans="1:2" x14ac:dyDescent="0.3">
      <c r="A2352" s="5">
        <v>38502</v>
      </c>
      <c r="B2352" s="10">
        <v>22058</v>
      </c>
    </row>
    <row r="2353" spans="1:2" x14ac:dyDescent="0.3">
      <c r="A2353" s="5">
        <v>38503</v>
      </c>
      <c r="B2353" s="10">
        <v>22103</v>
      </c>
    </row>
    <row r="2354" spans="1:2" x14ac:dyDescent="0.3">
      <c r="A2354" s="5">
        <v>38504</v>
      </c>
      <c r="B2354" s="10">
        <v>22257</v>
      </c>
    </row>
    <row r="2355" spans="1:2" x14ac:dyDescent="0.3">
      <c r="A2355" s="5">
        <v>38505</v>
      </c>
      <c r="B2355" s="10">
        <v>21986</v>
      </c>
    </row>
    <row r="2356" spans="1:2" x14ac:dyDescent="0.3">
      <c r="A2356" s="5">
        <v>38506</v>
      </c>
      <c r="B2356" s="10">
        <v>22172</v>
      </c>
    </row>
    <row r="2357" spans="1:2" x14ac:dyDescent="0.3">
      <c r="A2357" s="5">
        <v>38509</v>
      </c>
      <c r="B2357" s="10">
        <v>22192</v>
      </c>
    </row>
    <row r="2358" spans="1:2" x14ac:dyDescent="0.3">
      <c r="A2358" s="5">
        <v>38510</v>
      </c>
      <c r="B2358" s="10">
        <v>22299</v>
      </c>
    </row>
    <row r="2359" spans="1:2" x14ac:dyDescent="0.3">
      <c r="A2359" s="5">
        <v>38511</v>
      </c>
      <c r="B2359" s="10">
        <v>22444</v>
      </c>
    </row>
    <row r="2360" spans="1:2" x14ac:dyDescent="0.3">
      <c r="A2360" s="5">
        <v>38512</v>
      </c>
      <c r="B2360" s="10">
        <v>22300</v>
      </c>
    </row>
    <row r="2361" spans="1:2" x14ac:dyDescent="0.3">
      <c r="A2361" s="5">
        <v>38513</v>
      </c>
      <c r="B2361" s="10">
        <v>22346</v>
      </c>
    </row>
    <row r="2362" spans="1:2" x14ac:dyDescent="0.3">
      <c r="A2362" s="5">
        <v>38516</v>
      </c>
      <c r="B2362" s="10">
        <v>22415</v>
      </c>
    </row>
    <row r="2363" spans="1:2" x14ac:dyDescent="0.3">
      <c r="A2363" s="5">
        <v>38517</v>
      </c>
      <c r="B2363" s="10">
        <v>22475</v>
      </c>
    </row>
    <row r="2364" spans="1:2" x14ac:dyDescent="0.3">
      <c r="A2364" s="5">
        <v>38518</v>
      </c>
      <c r="B2364" s="10">
        <v>22593</v>
      </c>
    </row>
    <row r="2365" spans="1:2" x14ac:dyDescent="0.3">
      <c r="A2365" s="5">
        <v>38519</v>
      </c>
      <c r="B2365" s="10">
        <v>22701</v>
      </c>
    </row>
    <row r="2366" spans="1:2" x14ac:dyDescent="0.3">
      <c r="A2366" s="5">
        <v>38520</v>
      </c>
      <c r="B2366" s="10">
        <v>22508</v>
      </c>
    </row>
    <row r="2367" spans="1:2" x14ac:dyDescent="0.3">
      <c r="A2367" s="5">
        <v>38524</v>
      </c>
      <c r="B2367" s="10">
        <v>22580</v>
      </c>
    </row>
    <row r="2368" spans="1:2" x14ac:dyDescent="0.3">
      <c r="A2368" s="5">
        <v>38525</v>
      </c>
      <c r="B2368" s="10">
        <v>22718</v>
      </c>
    </row>
    <row r="2369" spans="1:2" x14ac:dyDescent="0.3">
      <c r="A2369" s="5">
        <v>38526</v>
      </c>
      <c r="B2369" s="10">
        <v>22900</v>
      </c>
    </row>
    <row r="2370" spans="1:2" x14ac:dyDescent="0.3">
      <c r="A2370" s="5">
        <v>38527</v>
      </c>
      <c r="B2370" s="10">
        <v>22998</v>
      </c>
    </row>
    <row r="2371" spans="1:2" x14ac:dyDescent="0.3">
      <c r="A2371" s="5">
        <v>38530</v>
      </c>
      <c r="B2371" s="10">
        <v>23133</v>
      </c>
    </row>
    <row r="2372" spans="1:2" x14ac:dyDescent="0.3">
      <c r="A2372" s="5">
        <v>38531</v>
      </c>
      <c r="B2372" s="10">
        <v>23155</v>
      </c>
    </row>
    <row r="2373" spans="1:2" x14ac:dyDescent="0.3">
      <c r="A2373" s="5">
        <v>38532</v>
      </c>
      <c r="B2373" s="10">
        <v>23003</v>
      </c>
    </row>
    <row r="2374" spans="1:2" x14ac:dyDescent="0.3">
      <c r="A2374" s="5">
        <v>38533</v>
      </c>
      <c r="B2374" s="10">
        <v>23052</v>
      </c>
    </row>
    <row r="2375" spans="1:2" x14ac:dyDescent="0.3">
      <c r="A2375" s="5">
        <v>38534</v>
      </c>
      <c r="B2375" s="10">
        <v>23127</v>
      </c>
    </row>
    <row r="2376" spans="1:2" x14ac:dyDescent="0.3">
      <c r="A2376" s="5">
        <v>38537</v>
      </c>
      <c r="B2376" s="10">
        <v>23128</v>
      </c>
    </row>
    <row r="2377" spans="1:2" x14ac:dyDescent="0.3">
      <c r="A2377" s="5">
        <v>38538</v>
      </c>
      <c r="B2377" s="10">
        <v>23130</v>
      </c>
    </row>
    <row r="2378" spans="1:2" x14ac:dyDescent="0.3">
      <c r="A2378" s="5">
        <v>38539</v>
      </c>
      <c r="B2378" s="10">
        <v>23206</v>
      </c>
    </row>
    <row r="2379" spans="1:2" x14ac:dyDescent="0.3">
      <c r="A2379" s="5">
        <v>38540</v>
      </c>
      <c r="B2379" s="10">
        <v>23300</v>
      </c>
    </row>
    <row r="2380" spans="1:2" x14ac:dyDescent="0.3">
      <c r="A2380" s="5">
        <v>38541</v>
      </c>
      <c r="B2380" s="10">
        <v>23466</v>
      </c>
    </row>
    <row r="2381" spans="1:2" x14ac:dyDescent="0.3">
      <c r="A2381" s="5">
        <v>38544</v>
      </c>
      <c r="B2381" s="10">
        <v>23485</v>
      </c>
    </row>
    <row r="2382" spans="1:2" x14ac:dyDescent="0.3">
      <c r="A2382" s="5">
        <v>38545</v>
      </c>
      <c r="B2382" s="10">
        <v>23776</v>
      </c>
    </row>
    <row r="2383" spans="1:2" x14ac:dyDescent="0.3">
      <c r="A2383" s="5">
        <v>38546</v>
      </c>
      <c r="B2383" s="10">
        <v>23743</v>
      </c>
    </row>
    <row r="2384" spans="1:2" x14ac:dyDescent="0.3">
      <c r="A2384" s="5">
        <v>38547</v>
      </c>
      <c r="B2384" s="10">
        <v>23974</v>
      </c>
    </row>
    <row r="2385" spans="1:2" x14ac:dyDescent="0.3">
      <c r="A2385" s="5">
        <v>38548</v>
      </c>
      <c r="B2385" s="10">
        <v>23943</v>
      </c>
    </row>
    <row r="2386" spans="1:2" x14ac:dyDescent="0.3">
      <c r="A2386" s="5">
        <v>38551</v>
      </c>
      <c r="B2386" s="10">
        <v>23958</v>
      </c>
    </row>
    <row r="2387" spans="1:2" x14ac:dyDescent="0.3">
      <c r="A2387" s="5">
        <v>38552</v>
      </c>
      <c r="B2387" s="10">
        <v>24017</v>
      </c>
    </row>
    <row r="2388" spans="1:2" x14ac:dyDescent="0.3">
      <c r="A2388" s="5">
        <v>38553</v>
      </c>
      <c r="B2388" s="10">
        <v>24136</v>
      </c>
    </row>
    <row r="2389" spans="1:2" x14ac:dyDescent="0.3">
      <c r="A2389" s="5">
        <v>38554</v>
      </c>
      <c r="B2389" s="10">
        <v>24614</v>
      </c>
    </row>
    <row r="2390" spans="1:2" x14ac:dyDescent="0.3">
      <c r="A2390" s="5">
        <v>38555</v>
      </c>
      <c r="B2390" s="10">
        <v>24668</v>
      </c>
    </row>
    <row r="2391" spans="1:2" x14ac:dyDescent="0.3">
      <c r="A2391" s="5">
        <v>38558</v>
      </c>
      <c r="B2391" s="10">
        <v>24685</v>
      </c>
    </row>
    <row r="2392" spans="1:2" x14ac:dyDescent="0.3">
      <c r="A2392" s="5">
        <v>38559</v>
      </c>
      <c r="B2392" s="10">
        <v>24757</v>
      </c>
    </row>
    <row r="2393" spans="1:2" x14ac:dyDescent="0.3">
      <c r="A2393" s="5">
        <v>38560</v>
      </c>
      <c r="B2393" s="10">
        <v>24785</v>
      </c>
    </row>
    <row r="2394" spans="1:2" x14ac:dyDescent="0.3">
      <c r="A2394" s="5">
        <v>38561</v>
      </c>
      <c r="B2394" s="10">
        <v>24841</v>
      </c>
    </row>
    <row r="2395" spans="1:2" x14ac:dyDescent="0.3">
      <c r="A2395" s="5">
        <v>38562</v>
      </c>
      <c r="B2395" s="10">
        <v>25105</v>
      </c>
    </row>
    <row r="2396" spans="1:2" x14ac:dyDescent="0.3">
      <c r="A2396" s="5">
        <v>38565</v>
      </c>
      <c r="B2396" s="10">
        <v>25151</v>
      </c>
    </row>
    <row r="2397" spans="1:2" x14ac:dyDescent="0.3">
      <c r="A2397" s="5">
        <v>38566</v>
      </c>
      <c r="B2397" s="10">
        <v>25238</v>
      </c>
    </row>
    <row r="2398" spans="1:2" x14ac:dyDescent="0.3">
      <c r="A2398" s="5">
        <v>38567</v>
      </c>
      <c r="B2398" s="10">
        <v>25450</v>
      </c>
    </row>
    <row r="2399" spans="1:2" x14ac:dyDescent="0.3">
      <c r="A2399" s="5">
        <v>38568</v>
      </c>
      <c r="B2399" s="10">
        <v>24820</v>
      </c>
    </row>
    <row r="2400" spans="1:2" x14ac:dyDescent="0.3">
      <c r="A2400" s="5">
        <v>38569</v>
      </c>
      <c r="B2400" s="10">
        <v>24624</v>
      </c>
    </row>
    <row r="2401" spans="1:2" x14ac:dyDescent="0.3">
      <c r="A2401" s="5">
        <v>38572</v>
      </c>
      <c r="B2401" s="10">
        <v>24837</v>
      </c>
    </row>
    <row r="2402" spans="1:2" x14ac:dyDescent="0.3">
      <c r="A2402" s="5">
        <v>38573</v>
      </c>
      <c r="B2402" s="10">
        <v>24947</v>
      </c>
    </row>
    <row r="2403" spans="1:2" x14ac:dyDescent="0.3">
      <c r="A2403" s="5">
        <v>38574</v>
      </c>
      <c r="B2403" s="10">
        <v>25100</v>
      </c>
    </row>
    <row r="2404" spans="1:2" x14ac:dyDescent="0.3">
      <c r="A2404" s="5">
        <v>38575</v>
      </c>
      <c r="B2404" s="10">
        <v>25219</v>
      </c>
    </row>
    <row r="2405" spans="1:2" x14ac:dyDescent="0.3">
      <c r="A2405" s="5">
        <v>38576</v>
      </c>
      <c r="B2405" s="10">
        <v>25086</v>
      </c>
    </row>
    <row r="2406" spans="1:2" x14ac:dyDescent="0.3">
      <c r="A2406" s="5">
        <v>38580</v>
      </c>
      <c r="B2406" s="10">
        <v>25130</v>
      </c>
    </row>
    <row r="2407" spans="1:2" x14ac:dyDescent="0.3">
      <c r="A2407" s="5">
        <v>38581</v>
      </c>
      <c r="B2407" s="10">
        <v>25151</v>
      </c>
    </row>
    <row r="2408" spans="1:2" x14ac:dyDescent="0.3">
      <c r="A2408" s="5">
        <v>38582</v>
      </c>
      <c r="B2408" s="10">
        <v>25191</v>
      </c>
    </row>
    <row r="2409" spans="1:2" x14ac:dyDescent="0.3">
      <c r="A2409" s="5">
        <v>38583</v>
      </c>
      <c r="B2409" s="10">
        <v>25171</v>
      </c>
    </row>
    <row r="2410" spans="1:2" x14ac:dyDescent="0.3">
      <c r="A2410" s="5">
        <v>38586</v>
      </c>
      <c r="B2410" s="10">
        <v>25090</v>
      </c>
    </row>
    <row r="2411" spans="1:2" x14ac:dyDescent="0.3">
      <c r="A2411" s="5">
        <v>38587</v>
      </c>
      <c r="B2411" s="10">
        <v>25104</v>
      </c>
    </row>
    <row r="2412" spans="1:2" x14ac:dyDescent="0.3">
      <c r="A2412" s="5">
        <v>38588</v>
      </c>
      <c r="B2412" s="10">
        <v>25086</v>
      </c>
    </row>
    <row r="2413" spans="1:2" x14ac:dyDescent="0.3">
      <c r="A2413" s="5">
        <v>38589</v>
      </c>
      <c r="B2413" s="10">
        <v>25150</v>
      </c>
    </row>
    <row r="2414" spans="1:2" x14ac:dyDescent="0.3">
      <c r="A2414" s="5">
        <v>38590</v>
      </c>
      <c r="B2414" s="10">
        <v>25161</v>
      </c>
    </row>
    <row r="2415" spans="1:2" x14ac:dyDescent="0.3">
      <c r="A2415" s="5">
        <v>38593</v>
      </c>
      <c r="B2415" s="10">
        <v>25173</v>
      </c>
    </row>
    <row r="2416" spans="1:2" x14ac:dyDescent="0.3">
      <c r="A2416" s="5">
        <v>38594</v>
      </c>
      <c r="B2416" s="10">
        <v>25174</v>
      </c>
    </row>
    <row r="2417" spans="1:2" x14ac:dyDescent="0.3">
      <c r="A2417" s="5">
        <v>38595</v>
      </c>
      <c r="B2417" s="10">
        <v>25252</v>
      </c>
    </row>
    <row r="2418" spans="1:2" x14ac:dyDescent="0.3">
      <c r="A2418" s="5">
        <v>38596</v>
      </c>
      <c r="B2418" s="10">
        <v>25370</v>
      </c>
    </row>
    <row r="2419" spans="1:2" x14ac:dyDescent="0.3">
      <c r="A2419" s="5">
        <v>38597</v>
      </c>
      <c r="B2419" s="10">
        <v>25509</v>
      </c>
    </row>
    <row r="2420" spans="1:2" x14ac:dyDescent="0.3">
      <c r="A2420" s="5">
        <v>38600</v>
      </c>
      <c r="B2420" s="10">
        <v>25515</v>
      </c>
    </row>
    <row r="2421" spans="1:2" x14ac:dyDescent="0.3">
      <c r="A2421" s="5">
        <v>38601</v>
      </c>
      <c r="B2421" s="10">
        <v>25554</v>
      </c>
    </row>
    <row r="2422" spans="1:2" x14ac:dyDescent="0.3">
      <c r="A2422" s="5">
        <v>38602</v>
      </c>
      <c r="B2422" s="10">
        <v>25715</v>
      </c>
    </row>
    <row r="2423" spans="1:2" x14ac:dyDescent="0.3">
      <c r="A2423" s="5">
        <v>38603</v>
      </c>
      <c r="B2423" s="10">
        <v>25765</v>
      </c>
    </row>
    <row r="2424" spans="1:2" x14ac:dyDescent="0.3">
      <c r="A2424" s="5">
        <v>38604</v>
      </c>
      <c r="B2424" s="10">
        <v>25643</v>
      </c>
    </row>
    <row r="2425" spans="1:2" x14ac:dyDescent="0.3">
      <c r="A2425" s="5">
        <v>38607</v>
      </c>
      <c r="B2425" s="10">
        <v>25634</v>
      </c>
    </row>
    <row r="2426" spans="1:2" x14ac:dyDescent="0.3">
      <c r="A2426" s="5">
        <v>38608</v>
      </c>
      <c r="B2426" s="10">
        <v>25664</v>
      </c>
    </row>
    <row r="2427" spans="1:2" x14ac:dyDescent="0.3">
      <c r="A2427" s="5">
        <v>38609</v>
      </c>
      <c r="B2427" s="10">
        <v>25707</v>
      </c>
    </row>
    <row r="2428" spans="1:2" x14ac:dyDescent="0.3">
      <c r="A2428" s="5">
        <v>38610</v>
      </c>
      <c r="B2428" s="10">
        <v>25623</v>
      </c>
    </row>
    <row r="2429" spans="1:2" x14ac:dyDescent="0.3">
      <c r="A2429" s="5">
        <v>38611</v>
      </c>
      <c r="B2429" s="10">
        <v>25690</v>
      </c>
    </row>
    <row r="2430" spans="1:2" x14ac:dyDescent="0.3">
      <c r="A2430" s="5">
        <v>38614</v>
      </c>
      <c r="B2430" s="10">
        <v>25694</v>
      </c>
    </row>
    <row r="2431" spans="1:2" x14ac:dyDescent="0.3">
      <c r="A2431" s="5">
        <v>38615</v>
      </c>
      <c r="B2431" s="10">
        <v>25434</v>
      </c>
    </row>
    <row r="2432" spans="1:2" x14ac:dyDescent="0.3">
      <c r="A2432" s="5">
        <v>38616</v>
      </c>
      <c r="B2432" s="10">
        <v>25456</v>
      </c>
    </row>
    <row r="2433" spans="1:2" x14ac:dyDescent="0.3">
      <c r="A2433" s="5">
        <v>38617</v>
      </c>
      <c r="B2433" s="10">
        <v>25491</v>
      </c>
    </row>
    <row r="2434" spans="1:2" x14ac:dyDescent="0.3">
      <c r="A2434" s="5">
        <v>38618</v>
      </c>
      <c r="B2434" s="10">
        <v>25507</v>
      </c>
    </row>
    <row r="2435" spans="1:2" x14ac:dyDescent="0.3">
      <c r="A2435" s="5">
        <v>38621</v>
      </c>
      <c r="B2435" s="10">
        <v>25514</v>
      </c>
    </row>
    <row r="2436" spans="1:2" x14ac:dyDescent="0.3">
      <c r="A2436" s="5">
        <v>38622</v>
      </c>
      <c r="B2436" s="10">
        <v>25558</v>
      </c>
    </row>
    <row r="2437" spans="1:2" x14ac:dyDescent="0.3">
      <c r="A2437" s="5">
        <v>38623</v>
      </c>
      <c r="B2437" s="10">
        <v>25563</v>
      </c>
    </row>
    <row r="2438" spans="1:2" x14ac:dyDescent="0.3">
      <c r="A2438" s="5">
        <v>38624</v>
      </c>
      <c r="B2438" s="10">
        <v>25506</v>
      </c>
    </row>
    <row r="2439" spans="1:2" x14ac:dyDescent="0.3">
      <c r="A2439" s="5">
        <v>38625</v>
      </c>
      <c r="B2439" s="10">
        <v>25614</v>
      </c>
    </row>
    <row r="2440" spans="1:2" x14ac:dyDescent="0.3">
      <c r="A2440" s="5">
        <v>38628</v>
      </c>
      <c r="B2440" s="10">
        <v>25821</v>
      </c>
    </row>
    <row r="2441" spans="1:2" x14ac:dyDescent="0.3">
      <c r="A2441" s="5">
        <v>38629</v>
      </c>
      <c r="B2441" s="10">
        <v>25878</v>
      </c>
    </row>
    <row r="2442" spans="1:2" x14ac:dyDescent="0.3">
      <c r="A2442" s="5">
        <v>38630</v>
      </c>
      <c r="B2442" s="10">
        <v>25927</v>
      </c>
    </row>
    <row r="2443" spans="1:2" x14ac:dyDescent="0.3">
      <c r="A2443" s="5">
        <v>38631</v>
      </c>
      <c r="B2443" s="10">
        <v>26043</v>
      </c>
    </row>
    <row r="2444" spans="1:2" x14ac:dyDescent="0.3">
      <c r="A2444" s="5">
        <v>38632</v>
      </c>
      <c r="B2444" s="10">
        <v>26105</v>
      </c>
    </row>
    <row r="2445" spans="1:2" x14ac:dyDescent="0.3">
      <c r="A2445" s="5">
        <v>38636</v>
      </c>
      <c r="B2445" s="10">
        <v>26088</v>
      </c>
    </row>
    <row r="2446" spans="1:2" x14ac:dyDescent="0.3">
      <c r="A2446" s="5">
        <v>38637</v>
      </c>
      <c r="B2446" s="10">
        <v>26094</v>
      </c>
    </row>
    <row r="2447" spans="1:2" x14ac:dyDescent="0.3">
      <c r="A2447" s="5">
        <v>38638</v>
      </c>
      <c r="B2447" s="10">
        <v>26106</v>
      </c>
    </row>
    <row r="2448" spans="1:2" x14ac:dyDescent="0.3">
      <c r="A2448" s="5">
        <v>38639</v>
      </c>
      <c r="B2448" s="10">
        <v>26168</v>
      </c>
    </row>
    <row r="2449" spans="1:2" x14ac:dyDescent="0.3">
      <c r="A2449" s="5">
        <v>38642</v>
      </c>
      <c r="B2449" s="10">
        <v>25924</v>
      </c>
    </row>
    <row r="2450" spans="1:2" x14ac:dyDescent="0.3">
      <c r="A2450" s="5">
        <v>38643</v>
      </c>
      <c r="B2450" s="10">
        <v>26002</v>
      </c>
    </row>
    <row r="2451" spans="1:2" x14ac:dyDescent="0.3">
      <c r="A2451" s="5">
        <v>38644</v>
      </c>
      <c r="B2451" s="10">
        <v>25979</v>
      </c>
    </row>
    <row r="2452" spans="1:2" x14ac:dyDescent="0.3">
      <c r="A2452" s="5">
        <v>38645</v>
      </c>
      <c r="B2452" s="10">
        <v>26003</v>
      </c>
    </row>
    <row r="2453" spans="1:2" x14ac:dyDescent="0.3">
      <c r="A2453" s="5">
        <v>38646</v>
      </c>
      <c r="B2453" s="10">
        <v>26041</v>
      </c>
    </row>
    <row r="2454" spans="1:2" x14ac:dyDescent="0.3">
      <c r="A2454" s="5">
        <v>38649</v>
      </c>
      <c r="B2454" s="10">
        <v>26003</v>
      </c>
    </row>
    <row r="2455" spans="1:2" x14ac:dyDescent="0.3">
      <c r="A2455" s="5">
        <v>38650</v>
      </c>
      <c r="B2455" s="10">
        <v>26077</v>
      </c>
    </row>
    <row r="2456" spans="1:2" x14ac:dyDescent="0.3">
      <c r="A2456" s="5">
        <v>38651</v>
      </c>
      <c r="B2456" s="10">
        <v>26119</v>
      </c>
    </row>
    <row r="2457" spans="1:2" x14ac:dyDescent="0.3">
      <c r="A2457" s="5">
        <v>38652</v>
      </c>
      <c r="B2457" s="10">
        <v>26133</v>
      </c>
    </row>
    <row r="2458" spans="1:2" x14ac:dyDescent="0.3">
      <c r="A2458" s="5">
        <v>38653</v>
      </c>
      <c r="B2458" s="10">
        <v>26143</v>
      </c>
    </row>
    <row r="2459" spans="1:2" x14ac:dyDescent="0.3">
      <c r="A2459" s="5">
        <v>38656</v>
      </c>
      <c r="B2459" s="10">
        <v>26548</v>
      </c>
    </row>
    <row r="2460" spans="1:2" x14ac:dyDescent="0.3">
      <c r="A2460" s="5">
        <v>38657</v>
      </c>
      <c r="B2460" s="10">
        <v>26511</v>
      </c>
    </row>
    <row r="2461" spans="1:2" x14ac:dyDescent="0.3">
      <c r="A2461" s="5">
        <v>38658</v>
      </c>
      <c r="B2461" s="10">
        <v>26536</v>
      </c>
    </row>
    <row r="2462" spans="1:2" x14ac:dyDescent="0.3">
      <c r="A2462" s="5">
        <v>38659</v>
      </c>
      <c r="B2462" s="10">
        <v>26525</v>
      </c>
    </row>
    <row r="2463" spans="1:2" x14ac:dyDescent="0.3">
      <c r="A2463" s="5">
        <v>38660</v>
      </c>
      <c r="B2463" s="10">
        <v>26322</v>
      </c>
    </row>
    <row r="2464" spans="1:2" x14ac:dyDescent="0.3">
      <c r="A2464" s="5">
        <v>38663</v>
      </c>
      <c r="B2464" s="10">
        <v>26320</v>
      </c>
    </row>
    <row r="2465" spans="1:2" x14ac:dyDescent="0.3">
      <c r="A2465" s="5">
        <v>38664</v>
      </c>
      <c r="B2465" s="10">
        <v>26429</v>
      </c>
    </row>
    <row r="2466" spans="1:2" x14ac:dyDescent="0.3">
      <c r="A2466" s="5">
        <v>38665</v>
      </c>
      <c r="B2466" s="10">
        <v>26472</v>
      </c>
    </row>
    <row r="2467" spans="1:2" x14ac:dyDescent="0.3">
      <c r="A2467" s="5">
        <v>38666</v>
      </c>
      <c r="B2467" s="10">
        <v>26508</v>
      </c>
    </row>
    <row r="2468" spans="1:2" x14ac:dyDescent="0.3">
      <c r="A2468" s="5">
        <v>38667</v>
      </c>
      <c r="B2468" s="10">
        <v>26491</v>
      </c>
    </row>
    <row r="2469" spans="1:2" x14ac:dyDescent="0.3">
      <c r="A2469" s="5">
        <v>38670</v>
      </c>
      <c r="B2469" s="10">
        <v>26493</v>
      </c>
    </row>
    <row r="2470" spans="1:2" x14ac:dyDescent="0.3">
      <c r="A2470" s="5">
        <v>38671</v>
      </c>
      <c r="B2470" s="10">
        <v>26473</v>
      </c>
    </row>
    <row r="2471" spans="1:2" x14ac:dyDescent="0.3">
      <c r="A2471" s="5">
        <v>38672</v>
      </c>
      <c r="B2471" s="10">
        <v>26579</v>
      </c>
    </row>
    <row r="2472" spans="1:2" x14ac:dyDescent="0.3">
      <c r="A2472" s="5">
        <v>38673</v>
      </c>
      <c r="B2472" s="10">
        <v>26570</v>
      </c>
    </row>
    <row r="2473" spans="1:2" x14ac:dyDescent="0.3">
      <c r="A2473" s="5">
        <v>38674</v>
      </c>
      <c r="B2473" s="10">
        <v>26566</v>
      </c>
    </row>
    <row r="2474" spans="1:2" x14ac:dyDescent="0.3">
      <c r="A2474" s="5">
        <v>38677</v>
      </c>
      <c r="B2474" s="10">
        <v>26638</v>
      </c>
    </row>
    <row r="2475" spans="1:2" x14ac:dyDescent="0.3">
      <c r="A2475" s="5">
        <v>38678</v>
      </c>
      <c r="B2475" s="10">
        <v>26543</v>
      </c>
    </row>
    <row r="2476" spans="1:2" x14ac:dyDescent="0.3">
      <c r="A2476" s="5">
        <v>38679</v>
      </c>
      <c r="B2476" s="10">
        <v>26546</v>
      </c>
    </row>
    <row r="2477" spans="1:2" x14ac:dyDescent="0.3">
      <c r="A2477" s="5">
        <v>38680</v>
      </c>
      <c r="B2477" s="10">
        <v>26549</v>
      </c>
    </row>
    <row r="2478" spans="1:2" x14ac:dyDescent="0.3">
      <c r="A2478" s="5">
        <v>38681</v>
      </c>
      <c r="B2478" s="10">
        <v>26549</v>
      </c>
    </row>
    <row r="2479" spans="1:2" x14ac:dyDescent="0.3">
      <c r="A2479" s="5">
        <v>38684</v>
      </c>
      <c r="B2479" s="10">
        <v>26494</v>
      </c>
    </row>
    <row r="2480" spans="1:2" x14ac:dyDescent="0.3">
      <c r="A2480" s="5">
        <v>38685</v>
      </c>
      <c r="B2480" s="10">
        <v>26531</v>
      </c>
    </row>
    <row r="2481" spans="1:2" x14ac:dyDescent="0.3">
      <c r="A2481" s="5">
        <v>38686</v>
      </c>
      <c r="B2481" s="10">
        <v>26525</v>
      </c>
    </row>
    <row r="2482" spans="1:2" x14ac:dyDescent="0.3">
      <c r="A2482" s="5">
        <v>38687</v>
      </c>
      <c r="B2482" s="10">
        <v>26584</v>
      </c>
    </row>
    <row r="2483" spans="1:2" x14ac:dyDescent="0.3">
      <c r="A2483" s="5">
        <v>38688</v>
      </c>
      <c r="B2483" s="10">
        <v>26577</v>
      </c>
    </row>
    <row r="2484" spans="1:2" x14ac:dyDescent="0.3">
      <c r="A2484" s="5">
        <v>38691</v>
      </c>
      <c r="B2484" s="10">
        <v>26652</v>
      </c>
    </row>
    <row r="2485" spans="1:2" x14ac:dyDescent="0.3">
      <c r="A2485" s="5">
        <v>38692</v>
      </c>
      <c r="B2485" s="10">
        <v>26673</v>
      </c>
    </row>
    <row r="2486" spans="1:2" x14ac:dyDescent="0.3">
      <c r="A2486" s="5">
        <v>38693</v>
      </c>
      <c r="B2486" s="10">
        <v>26705</v>
      </c>
    </row>
    <row r="2487" spans="1:2" x14ac:dyDescent="0.3">
      <c r="A2487" s="5">
        <v>38695</v>
      </c>
      <c r="B2487" s="10">
        <v>26700</v>
      </c>
    </row>
    <row r="2488" spans="1:2" x14ac:dyDescent="0.3">
      <c r="A2488" s="5">
        <v>38698</v>
      </c>
      <c r="B2488" s="10">
        <v>26709</v>
      </c>
    </row>
    <row r="2489" spans="1:2" x14ac:dyDescent="0.3">
      <c r="A2489" s="5">
        <v>38699</v>
      </c>
      <c r="B2489" s="10">
        <v>26704</v>
      </c>
    </row>
    <row r="2490" spans="1:2" x14ac:dyDescent="0.3">
      <c r="A2490" s="5">
        <v>38700</v>
      </c>
      <c r="B2490" s="10">
        <v>26830</v>
      </c>
    </row>
    <row r="2491" spans="1:2" x14ac:dyDescent="0.3">
      <c r="A2491" s="5">
        <v>38701</v>
      </c>
      <c r="B2491" s="10">
        <v>26896</v>
      </c>
    </row>
    <row r="2492" spans="1:2" x14ac:dyDescent="0.3">
      <c r="A2492" s="5">
        <v>38702</v>
      </c>
      <c r="B2492" s="10">
        <v>27438</v>
      </c>
    </row>
    <row r="2493" spans="1:2" x14ac:dyDescent="0.3">
      <c r="A2493" s="5">
        <v>38705</v>
      </c>
      <c r="B2493" s="10">
        <v>27523</v>
      </c>
    </row>
    <row r="2494" spans="1:2" x14ac:dyDescent="0.3">
      <c r="A2494" s="5">
        <v>38706</v>
      </c>
      <c r="B2494" s="10">
        <v>27352</v>
      </c>
    </row>
    <row r="2495" spans="1:2" x14ac:dyDescent="0.3">
      <c r="A2495" s="5">
        <v>38707</v>
      </c>
      <c r="B2495" s="10">
        <v>27640</v>
      </c>
    </row>
    <row r="2496" spans="1:2" x14ac:dyDescent="0.3">
      <c r="A2496" s="5">
        <v>38708</v>
      </c>
      <c r="B2496" s="10">
        <v>27759</v>
      </c>
    </row>
    <row r="2497" spans="1:2" x14ac:dyDescent="0.3">
      <c r="A2497" s="5">
        <v>38709</v>
      </c>
      <c r="B2497" s="10">
        <v>27947</v>
      </c>
    </row>
    <row r="2498" spans="1:2" x14ac:dyDescent="0.3">
      <c r="A2498" s="5">
        <v>38712</v>
      </c>
      <c r="B2498" s="10">
        <v>27952</v>
      </c>
    </row>
    <row r="2499" spans="1:2" x14ac:dyDescent="0.3">
      <c r="A2499" s="5">
        <v>38713</v>
      </c>
      <c r="B2499" s="10">
        <v>28089</v>
      </c>
    </row>
    <row r="2500" spans="1:2" x14ac:dyDescent="0.3">
      <c r="A2500" s="5">
        <v>38714</v>
      </c>
      <c r="B2500" s="10">
        <v>28104</v>
      </c>
    </row>
    <row r="2501" spans="1:2" x14ac:dyDescent="0.3">
      <c r="A2501" s="5">
        <v>38715</v>
      </c>
      <c r="B2501" s="10">
        <v>28120</v>
      </c>
    </row>
    <row r="2502" spans="1:2" x14ac:dyDescent="0.3">
      <c r="A2502" s="5">
        <v>38716</v>
      </c>
      <c r="B2502" s="10">
        <v>28077</v>
      </c>
    </row>
    <row r="2503" spans="1:2" x14ac:dyDescent="0.3">
      <c r="A2503" s="5">
        <v>38717</v>
      </c>
      <c r="B2503" s="10">
        <v>28077</v>
      </c>
    </row>
    <row r="2504" spans="1:2" x14ac:dyDescent="0.3">
      <c r="A2504" s="5">
        <v>38719</v>
      </c>
      <c r="B2504" s="10">
        <v>28078</v>
      </c>
    </row>
    <row r="2505" spans="1:2" x14ac:dyDescent="0.3">
      <c r="A2505" s="5">
        <v>38720</v>
      </c>
      <c r="B2505" s="10">
        <v>18580</v>
      </c>
    </row>
    <row r="2506" spans="1:2" x14ac:dyDescent="0.3">
      <c r="A2506" s="5">
        <v>38721</v>
      </c>
      <c r="B2506" s="10">
        <v>18578</v>
      </c>
    </row>
    <row r="2507" spans="1:2" x14ac:dyDescent="0.3">
      <c r="A2507" s="5">
        <v>38722</v>
      </c>
      <c r="B2507" s="10">
        <v>18625</v>
      </c>
    </row>
    <row r="2508" spans="1:2" x14ac:dyDescent="0.3">
      <c r="A2508" s="5">
        <v>38723</v>
      </c>
      <c r="B2508" s="10">
        <v>18735</v>
      </c>
    </row>
    <row r="2509" spans="1:2" x14ac:dyDescent="0.3">
      <c r="A2509" s="5">
        <v>38726</v>
      </c>
      <c r="B2509" s="10">
        <v>18753</v>
      </c>
    </row>
    <row r="2510" spans="1:2" x14ac:dyDescent="0.3">
      <c r="A2510" s="5">
        <v>38727</v>
      </c>
      <c r="B2510" s="10">
        <v>18788</v>
      </c>
    </row>
    <row r="2511" spans="1:2" x14ac:dyDescent="0.3">
      <c r="A2511" s="5">
        <v>38728</v>
      </c>
      <c r="B2511" s="10">
        <v>18812</v>
      </c>
    </row>
    <row r="2512" spans="1:2" x14ac:dyDescent="0.3">
      <c r="A2512" s="5">
        <v>38729</v>
      </c>
      <c r="B2512" s="10">
        <v>18824</v>
      </c>
    </row>
    <row r="2513" spans="1:2" x14ac:dyDescent="0.3">
      <c r="A2513" s="5">
        <v>38730</v>
      </c>
      <c r="B2513" s="10">
        <v>18860</v>
      </c>
    </row>
    <row r="2514" spans="1:2" x14ac:dyDescent="0.3">
      <c r="A2514" s="5">
        <v>38733</v>
      </c>
      <c r="B2514" s="10">
        <v>18876</v>
      </c>
    </row>
    <row r="2515" spans="1:2" x14ac:dyDescent="0.3">
      <c r="A2515" s="5">
        <v>38734</v>
      </c>
      <c r="B2515" s="10">
        <v>18847</v>
      </c>
    </row>
    <row r="2516" spans="1:2" x14ac:dyDescent="0.3">
      <c r="A2516" s="5">
        <v>38735</v>
      </c>
      <c r="B2516" s="10">
        <v>18893</v>
      </c>
    </row>
    <row r="2517" spans="1:2" x14ac:dyDescent="0.3">
      <c r="A2517" s="5">
        <v>38736</v>
      </c>
      <c r="B2517" s="10">
        <v>18977</v>
      </c>
    </row>
    <row r="2518" spans="1:2" x14ac:dyDescent="0.3">
      <c r="A2518" s="5">
        <v>38737</v>
      </c>
      <c r="B2518" s="10">
        <v>18992</v>
      </c>
    </row>
    <row r="2519" spans="1:2" x14ac:dyDescent="0.3">
      <c r="A2519" s="5">
        <v>38740</v>
      </c>
      <c r="B2519" s="10">
        <v>19085</v>
      </c>
    </row>
    <row r="2520" spans="1:2" x14ac:dyDescent="0.3">
      <c r="A2520" s="5">
        <v>38741</v>
      </c>
      <c r="B2520" s="10">
        <v>19418</v>
      </c>
    </row>
    <row r="2521" spans="1:2" x14ac:dyDescent="0.3">
      <c r="A2521" s="5">
        <v>38742</v>
      </c>
      <c r="B2521" s="10">
        <v>19428</v>
      </c>
    </row>
    <row r="2522" spans="1:2" x14ac:dyDescent="0.3">
      <c r="A2522" s="5">
        <v>38743</v>
      </c>
      <c r="B2522" s="10">
        <v>19494</v>
      </c>
    </row>
    <row r="2523" spans="1:2" x14ac:dyDescent="0.3">
      <c r="A2523" s="5">
        <v>38744</v>
      </c>
      <c r="B2523" s="10">
        <v>19548</v>
      </c>
    </row>
    <row r="2524" spans="1:2" x14ac:dyDescent="0.3">
      <c r="A2524" s="5">
        <v>38747</v>
      </c>
      <c r="B2524" s="10">
        <v>19610</v>
      </c>
    </row>
    <row r="2525" spans="1:2" x14ac:dyDescent="0.3">
      <c r="A2525" s="5">
        <v>38748</v>
      </c>
      <c r="B2525" s="10">
        <v>19689</v>
      </c>
    </row>
    <row r="2526" spans="1:2" x14ac:dyDescent="0.3">
      <c r="A2526" s="5">
        <v>38749</v>
      </c>
      <c r="B2526" s="10">
        <v>19968</v>
      </c>
    </row>
    <row r="2527" spans="1:2" x14ac:dyDescent="0.3">
      <c r="A2527" s="5">
        <v>38750</v>
      </c>
      <c r="B2527" s="10">
        <v>19994</v>
      </c>
    </row>
    <row r="2528" spans="1:2" x14ac:dyDescent="0.3">
      <c r="A2528" s="5">
        <v>38751</v>
      </c>
      <c r="B2528" s="10">
        <v>19886</v>
      </c>
    </row>
    <row r="2529" spans="1:2" x14ac:dyDescent="0.3">
      <c r="A2529" s="5">
        <v>38754</v>
      </c>
      <c r="B2529" s="10">
        <v>19838</v>
      </c>
    </row>
    <row r="2530" spans="1:2" x14ac:dyDescent="0.3">
      <c r="A2530" s="5">
        <v>38755</v>
      </c>
      <c r="B2530" s="10">
        <v>19879</v>
      </c>
    </row>
    <row r="2531" spans="1:2" x14ac:dyDescent="0.3">
      <c r="A2531" s="5">
        <v>38756</v>
      </c>
      <c r="B2531" s="10">
        <v>19884</v>
      </c>
    </row>
    <row r="2532" spans="1:2" x14ac:dyDescent="0.3">
      <c r="A2532" s="5">
        <v>38757</v>
      </c>
      <c r="B2532" s="10">
        <v>19910</v>
      </c>
    </row>
    <row r="2533" spans="1:2" x14ac:dyDescent="0.3">
      <c r="A2533" s="5">
        <v>38758</v>
      </c>
      <c r="B2533" s="10">
        <v>19917</v>
      </c>
    </row>
    <row r="2534" spans="1:2" x14ac:dyDescent="0.3">
      <c r="A2534" s="5">
        <v>38761</v>
      </c>
      <c r="B2534" s="10">
        <v>19959</v>
      </c>
    </row>
    <row r="2535" spans="1:2" x14ac:dyDescent="0.3">
      <c r="A2535" s="5">
        <v>38762</v>
      </c>
      <c r="B2535" s="10">
        <v>20049</v>
      </c>
    </row>
    <row r="2536" spans="1:2" x14ac:dyDescent="0.3">
      <c r="A2536" s="5">
        <v>38763</v>
      </c>
      <c r="B2536" s="10">
        <v>19608</v>
      </c>
    </row>
    <row r="2537" spans="1:2" x14ac:dyDescent="0.3">
      <c r="A2537" s="5">
        <v>38764</v>
      </c>
      <c r="B2537" s="10">
        <v>19706</v>
      </c>
    </row>
    <row r="2538" spans="1:2" x14ac:dyDescent="0.3">
      <c r="A2538" s="5">
        <v>38765</v>
      </c>
      <c r="B2538" s="10">
        <v>20059</v>
      </c>
    </row>
    <row r="2539" spans="1:2" x14ac:dyDescent="0.3">
      <c r="A2539" s="5">
        <v>38768</v>
      </c>
      <c r="B2539" s="10">
        <v>20068</v>
      </c>
    </row>
    <row r="2540" spans="1:2" x14ac:dyDescent="0.3">
      <c r="A2540" s="5">
        <v>38769</v>
      </c>
      <c r="B2540" s="10">
        <v>20134</v>
      </c>
    </row>
    <row r="2541" spans="1:2" x14ac:dyDescent="0.3">
      <c r="A2541" s="5">
        <v>38770</v>
      </c>
      <c r="B2541" s="10">
        <v>20238</v>
      </c>
    </row>
    <row r="2542" spans="1:2" x14ac:dyDescent="0.3">
      <c r="A2542" s="5">
        <v>38771</v>
      </c>
      <c r="B2542" s="10">
        <v>20283</v>
      </c>
    </row>
    <row r="2543" spans="1:2" x14ac:dyDescent="0.3">
      <c r="A2543" s="5">
        <v>38772</v>
      </c>
      <c r="B2543" s="10">
        <v>20505</v>
      </c>
    </row>
    <row r="2544" spans="1:2" x14ac:dyDescent="0.3">
      <c r="A2544" s="5">
        <v>38775</v>
      </c>
      <c r="B2544" s="10">
        <v>20495</v>
      </c>
    </row>
    <row r="2545" spans="1:2" x14ac:dyDescent="0.3">
      <c r="A2545" s="5">
        <v>38776</v>
      </c>
      <c r="B2545" s="10">
        <v>20532</v>
      </c>
    </row>
    <row r="2546" spans="1:2" x14ac:dyDescent="0.3">
      <c r="A2546" s="5">
        <v>38777</v>
      </c>
      <c r="B2546" s="10">
        <v>20570</v>
      </c>
    </row>
    <row r="2547" spans="1:2" x14ac:dyDescent="0.3">
      <c r="A2547" s="5">
        <v>38778</v>
      </c>
      <c r="B2547" s="10">
        <v>20643</v>
      </c>
    </row>
    <row r="2548" spans="1:2" x14ac:dyDescent="0.3">
      <c r="A2548" s="5">
        <v>38779</v>
      </c>
      <c r="B2548" s="10">
        <v>20586</v>
      </c>
    </row>
    <row r="2549" spans="1:2" x14ac:dyDescent="0.3">
      <c r="A2549" s="5">
        <v>38782</v>
      </c>
      <c r="B2549" s="10">
        <v>20627</v>
      </c>
    </row>
    <row r="2550" spans="1:2" x14ac:dyDescent="0.3">
      <c r="A2550" s="5">
        <v>38783</v>
      </c>
      <c r="B2550" s="10">
        <v>20709</v>
      </c>
    </row>
    <row r="2551" spans="1:2" x14ac:dyDescent="0.3">
      <c r="A2551" s="5">
        <v>38784</v>
      </c>
      <c r="B2551" s="10">
        <v>20701</v>
      </c>
    </row>
    <row r="2552" spans="1:2" x14ac:dyDescent="0.3">
      <c r="A2552" s="5">
        <v>38785</v>
      </c>
      <c r="B2552" s="10">
        <v>20756</v>
      </c>
    </row>
    <row r="2553" spans="1:2" x14ac:dyDescent="0.3">
      <c r="A2553" s="5">
        <v>38786</v>
      </c>
      <c r="B2553" s="10">
        <v>20711</v>
      </c>
    </row>
    <row r="2554" spans="1:2" x14ac:dyDescent="0.3">
      <c r="A2554" s="5">
        <v>38789</v>
      </c>
      <c r="B2554" s="10">
        <v>20717</v>
      </c>
    </row>
    <row r="2555" spans="1:2" x14ac:dyDescent="0.3">
      <c r="A2555" s="5">
        <v>38790</v>
      </c>
      <c r="B2555" s="10">
        <v>20712</v>
      </c>
    </row>
    <row r="2556" spans="1:2" x14ac:dyDescent="0.3">
      <c r="A2556" s="5">
        <v>38791</v>
      </c>
      <c r="B2556" s="10">
        <v>20730</v>
      </c>
    </row>
    <row r="2557" spans="1:2" x14ac:dyDescent="0.3">
      <c r="A2557" s="5">
        <v>38792</v>
      </c>
      <c r="B2557" s="10">
        <v>20715</v>
      </c>
    </row>
    <row r="2558" spans="1:2" x14ac:dyDescent="0.3">
      <c r="A2558" s="5">
        <v>38793</v>
      </c>
      <c r="B2558" s="10">
        <v>20817</v>
      </c>
    </row>
    <row r="2559" spans="1:2" x14ac:dyDescent="0.3">
      <c r="A2559" s="5">
        <v>38796</v>
      </c>
      <c r="B2559" s="10">
        <v>20882</v>
      </c>
    </row>
    <row r="2560" spans="1:2" x14ac:dyDescent="0.3">
      <c r="A2560" s="5">
        <v>38797</v>
      </c>
      <c r="B2560" s="10">
        <v>20917</v>
      </c>
    </row>
    <row r="2561" spans="1:2" x14ac:dyDescent="0.3">
      <c r="A2561" s="5">
        <v>38798</v>
      </c>
      <c r="B2561" s="10">
        <v>20947</v>
      </c>
    </row>
    <row r="2562" spans="1:2" x14ac:dyDescent="0.3">
      <c r="A2562" s="5">
        <v>38799</v>
      </c>
      <c r="B2562" s="10">
        <v>20956</v>
      </c>
    </row>
    <row r="2563" spans="1:2" x14ac:dyDescent="0.3">
      <c r="A2563" s="5">
        <v>38803</v>
      </c>
      <c r="B2563" s="10">
        <v>21233</v>
      </c>
    </row>
    <row r="2564" spans="1:2" x14ac:dyDescent="0.3">
      <c r="A2564" s="5">
        <v>38804</v>
      </c>
      <c r="B2564" s="10">
        <v>21423</v>
      </c>
    </row>
    <row r="2565" spans="1:2" x14ac:dyDescent="0.3">
      <c r="A2565" s="5">
        <v>38805</v>
      </c>
      <c r="B2565" s="10">
        <v>21523</v>
      </c>
    </row>
    <row r="2566" spans="1:2" x14ac:dyDescent="0.3">
      <c r="A2566" s="5">
        <v>38806</v>
      </c>
      <c r="B2566" s="10">
        <v>21533</v>
      </c>
    </row>
    <row r="2567" spans="1:2" x14ac:dyDescent="0.3">
      <c r="A2567" s="5">
        <v>38807</v>
      </c>
      <c r="B2567" s="10">
        <v>21549</v>
      </c>
    </row>
    <row r="2568" spans="1:2" x14ac:dyDescent="0.3">
      <c r="A2568" s="5">
        <v>38810</v>
      </c>
      <c r="B2568" s="10">
        <v>21562</v>
      </c>
    </row>
    <row r="2569" spans="1:2" x14ac:dyDescent="0.3">
      <c r="A2569" s="5">
        <v>38811</v>
      </c>
      <c r="B2569" s="10">
        <v>21602</v>
      </c>
    </row>
    <row r="2570" spans="1:2" x14ac:dyDescent="0.3">
      <c r="A2570" s="5">
        <v>38812</v>
      </c>
      <c r="B2570" s="10">
        <v>21665</v>
      </c>
    </row>
    <row r="2571" spans="1:2" x14ac:dyDescent="0.3">
      <c r="A2571" s="5">
        <v>38813</v>
      </c>
      <c r="B2571" s="10">
        <v>21728</v>
      </c>
    </row>
    <row r="2572" spans="1:2" x14ac:dyDescent="0.3">
      <c r="A2572" s="5">
        <v>38814</v>
      </c>
      <c r="B2572" s="10">
        <v>21708</v>
      </c>
    </row>
    <row r="2573" spans="1:2" x14ac:dyDescent="0.3">
      <c r="A2573" s="5">
        <v>38817</v>
      </c>
      <c r="B2573" s="10">
        <v>21769</v>
      </c>
    </row>
    <row r="2574" spans="1:2" x14ac:dyDescent="0.3">
      <c r="A2574" s="5">
        <v>38818</v>
      </c>
      <c r="B2574" s="10">
        <v>21835</v>
      </c>
    </row>
    <row r="2575" spans="1:2" x14ac:dyDescent="0.3">
      <c r="A2575" s="5">
        <v>38819</v>
      </c>
      <c r="B2575" s="10">
        <v>21651</v>
      </c>
    </row>
    <row r="2576" spans="1:2" x14ac:dyDescent="0.3">
      <c r="A2576" s="5">
        <v>38824</v>
      </c>
      <c r="B2576" s="10">
        <v>21622</v>
      </c>
    </row>
    <row r="2577" spans="1:2" x14ac:dyDescent="0.3">
      <c r="A2577" s="5">
        <v>38825</v>
      </c>
      <c r="B2577" s="10">
        <v>21792</v>
      </c>
    </row>
    <row r="2578" spans="1:2" x14ac:dyDescent="0.3">
      <c r="A2578" s="5">
        <v>38826</v>
      </c>
      <c r="B2578" s="10">
        <v>21889</v>
      </c>
    </row>
    <row r="2579" spans="1:2" x14ac:dyDescent="0.3">
      <c r="A2579" s="5">
        <v>38827</v>
      </c>
      <c r="B2579" s="10">
        <v>21894</v>
      </c>
    </row>
    <row r="2580" spans="1:2" x14ac:dyDescent="0.3">
      <c r="A2580" s="5">
        <v>38828</v>
      </c>
      <c r="B2580" s="10">
        <v>22007</v>
      </c>
    </row>
    <row r="2581" spans="1:2" x14ac:dyDescent="0.3">
      <c r="A2581" s="5">
        <v>38831</v>
      </c>
      <c r="B2581" s="10">
        <v>22074</v>
      </c>
    </row>
    <row r="2582" spans="1:2" x14ac:dyDescent="0.3">
      <c r="A2582" s="5">
        <v>38832</v>
      </c>
      <c r="B2582" s="10">
        <v>22200</v>
      </c>
    </row>
    <row r="2583" spans="1:2" x14ac:dyDescent="0.3">
      <c r="A2583" s="5">
        <v>38833</v>
      </c>
      <c r="B2583" s="10">
        <v>22307</v>
      </c>
    </row>
    <row r="2584" spans="1:2" x14ac:dyDescent="0.3">
      <c r="A2584" s="5">
        <v>38834</v>
      </c>
      <c r="B2584" s="10">
        <v>22333</v>
      </c>
    </row>
    <row r="2585" spans="1:2" x14ac:dyDescent="0.3">
      <c r="A2585" s="5">
        <v>38835</v>
      </c>
      <c r="B2585" s="10">
        <v>22400</v>
      </c>
    </row>
    <row r="2586" spans="1:2" x14ac:dyDescent="0.3">
      <c r="A2586" s="5">
        <v>38839</v>
      </c>
      <c r="B2586" s="10">
        <v>22515</v>
      </c>
    </row>
    <row r="2587" spans="1:2" x14ac:dyDescent="0.3">
      <c r="A2587" s="5">
        <v>38840</v>
      </c>
      <c r="B2587" s="10">
        <v>22565</v>
      </c>
    </row>
    <row r="2588" spans="1:2" x14ac:dyDescent="0.3">
      <c r="A2588" s="5">
        <v>38841</v>
      </c>
      <c r="B2588" s="10">
        <v>22667</v>
      </c>
    </row>
    <row r="2589" spans="1:2" x14ac:dyDescent="0.3">
      <c r="A2589" s="5">
        <v>38842</v>
      </c>
      <c r="B2589" s="10">
        <v>23159</v>
      </c>
    </row>
    <row r="2590" spans="1:2" x14ac:dyDescent="0.3">
      <c r="A2590" s="5">
        <v>38845</v>
      </c>
      <c r="B2590" s="10">
        <v>23328</v>
      </c>
    </row>
    <row r="2591" spans="1:2" x14ac:dyDescent="0.3">
      <c r="A2591" s="5">
        <v>38846</v>
      </c>
      <c r="B2591" s="10">
        <v>23472</v>
      </c>
    </row>
    <row r="2592" spans="1:2" x14ac:dyDescent="0.3">
      <c r="A2592" s="5">
        <v>38847</v>
      </c>
      <c r="B2592" s="10">
        <v>23553</v>
      </c>
    </row>
    <row r="2593" spans="1:2" x14ac:dyDescent="0.3">
      <c r="A2593" s="5">
        <v>38848</v>
      </c>
      <c r="B2593" s="10">
        <v>23677</v>
      </c>
    </row>
    <row r="2594" spans="1:2" x14ac:dyDescent="0.3">
      <c r="A2594" s="5">
        <v>38849</v>
      </c>
      <c r="B2594" s="10">
        <v>23904</v>
      </c>
    </row>
    <row r="2595" spans="1:2" x14ac:dyDescent="0.3">
      <c r="A2595" s="5">
        <v>38852</v>
      </c>
      <c r="B2595" s="10">
        <v>23854</v>
      </c>
    </row>
    <row r="2596" spans="1:2" x14ac:dyDescent="0.3">
      <c r="A2596" s="5">
        <v>38853</v>
      </c>
      <c r="B2596" s="10">
        <v>23937</v>
      </c>
    </row>
    <row r="2597" spans="1:2" x14ac:dyDescent="0.3">
      <c r="A2597" s="5">
        <v>38854</v>
      </c>
      <c r="B2597" s="10">
        <v>23937</v>
      </c>
    </row>
    <row r="2598" spans="1:2" x14ac:dyDescent="0.3">
      <c r="A2598" s="5">
        <v>38855</v>
      </c>
      <c r="B2598" s="10">
        <v>23994</v>
      </c>
    </row>
    <row r="2599" spans="1:2" x14ac:dyDescent="0.3">
      <c r="A2599" s="5">
        <v>38856</v>
      </c>
      <c r="B2599" s="10">
        <v>23987</v>
      </c>
    </row>
    <row r="2600" spans="1:2" x14ac:dyDescent="0.3">
      <c r="A2600" s="5">
        <v>38859</v>
      </c>
      <c r="B2600" s="10">
        <v>24015</v>
      </c>
    </row>
    <row r="2601" spans="1:2" x14ac:dyDescent="0.3">
      <c r="A2601" s="5">
        <v>38860</v>
      </c>
      <c r="B2601" s="10">
        <v>24183</v>
      </c>
    </row>
    <row r="2602" spans="1:2" x14ac:dyDescent="0.3">
      <c r="A2602" s="5">
        <v>38861</v>
      </c>
      <c r="B2602" s="10">
        <v>24089</v>
      </c>
    </row>
    <row r="2603" spans="1:2" x14ac:dyDescent="0.3">
      <c r="A2603" s="5">
        <v>38863</v>
      </c>
      <c r="B2603" s="10">
        <v>24163</v>
      </c>
    </row>
    <row r="2604" spans="1:2" x14ac:dyDescent="0.3">
      <c r="A2604" s="5">
        <v>38866</v>
      </c>
      <c r="B2604" s="10">
        <v>24165</v>
      </c>
    </row>
    <row r="2605" spans="1:2" x14ac:dyDescent="0.3">
      <c r="A2605" s="5">
        <v>38867</v>
      </c>
      <c r="B2605" s="10">
        <v>24194</v>
      </c>
    </row>
    <row r="2606" spans="1:2" x14ac:dyDescent="0.3">
      <c r="A2606" s="5">
        <v>38868</v>
      </c>
      <c r="B2606" s="10">
        <v>24162</v>
      </c>
    </row>
    <row r="2607" spans="1:2" x14ac:dyDescent="0.3">
      <c r="A2607" s="5">
        <v>38869</v>
      </c>
      <c r="B2607" s="10">
        <v>24110</v>
      </c>
    </row>
    <row r="2608" spans="1:2" x14ac:dyDescent="0.3">
      <c r="A2608" s="5">
        <v>38870</v>
      </c>
      <c r="B2608" s="10">
        <v>24258</v>
      </c>
    </row>
    <row r="2609" spans="1:2" x14ac:dyDescent="0.3">
      <c r="A2609" s="5">
        <v>38873</v>
      </c>
      <c r="B2609" s="10">
        <v>24320</v>
      </c>
    </row>
    <row r="2610" spans="1:2" x14ac:dyDescent="0.3">
      <c r="A2610" s="5">
        <v>38874</v>
      </c>
      <c r="B2610" s="10">
        <v>24277</v>
      </c>
    </row>
    <row r="2611" spans="1:2" x14ac:dyDescent="0.3">
      <c r="A2611" s="5">
        <v>38875</v>
      </c>
      <c r="B2611" s="10">
        <v>24552</v>
      </c>
    </row>
    <row r="2612" spans="1:2" x14ac:dyDescent="0.3">
      <c r="A2612" s="5">
        <v>38876</v>
      </c>
      <c r="B2612" s="10">
        <v>24508</v>
      </c>
    </row>
    <row r="2613" spans="1:2" x14ac:dyDescent="0.3">
      <c r="A2613" s="5">
        <v>38877</v>
      </c>
      <c r="B2613" s="10">
        <v>24574</v>
      </c>
    </row>
    <row r="2614" spans="1:2" x14ac:dyDescent="0.3">
      <c r="A2614" s="5">
        <v>38880</v>
      </c>
      <c r="B2614" s="10">
        <v>24803</v>
      </c>
    </row>
    <row r="2615" spans="1:2" x14ac:dyDescent="0.3">
      <c r="A2615" s="5">
        <v>38881</v>
      </c>
      <c r="B2615" s="10">
        <v>24763</v>
      </c>
    </row>
    <row r="2616" spans="1:2" x14ac:dyDescent="0.3">
      <c r="A2616" s="5">
        <v>38882</v>
      </c>
      <c r="B2616" s="10">
        <v>24772</v>
      </c>
    </row>
    <row r="2617" spans="1:2" x14ac:dyDescent="0.3">
      <c r="A2617" s="5">
        <v>38883</v>
      </c>
      <c r="B2617" s="10">
        <v>24898</v>
      </c>
    </row>
    <row r="2618" spans="1:2" x14ac:dyDescent="0.3">
      <c r="A2618" s="5">
        <v>38884</v>
      </c>
      <c r="B2618" s="10">
        <v>24988</v>
      </c>
    </row>
    <row r="2619" spans="1:2" x14ac:dyDescent="0.3">
      <c r="A2619" s="5">
        <v>38888</v>
      </c>
      <c r="B2619" s="10">
        <v>25044</v>
      </c>
    </row>
    <row r="2620" spans="1:2" x14ac:dyDescent="0.3">
      <c r="A2620" s="5">
        <v>38889</v>
      </c>
      <c r="B2620" s="10">
        <v>25144</v>
      </c>
    </row>
    <row r="2621" spans="1:2" x14ac:dyDescent="0.3">
      <c r="A2621" s="5">
        <v>38890</v>
      </c>
      <c r="B2621" s="10">
        <v>25174</v>
      </c>
    </row>
    <row r="2622" spans="1:2" x14ac:dyDescent="0.3">
      <c r="A2622" s="5">
        <v>38891</v>
      </c>
      <c r="B2622" s="10">
        <v>25238</v>
      </c>
    </row>
    <row r="2623" spans="1:2" x14ac:dyDescent="0.3">
      <c r="A2623" s="5">
        <v>38894</v>
      </c>
      <c r="B2623" s="10">
        <v>25309</v>
      </c>
    </row>
    <row r="2624" spans="1:2" x14ac:dyDescent="0.3">
      <c r="A2624" s="5">
        <v>38895</v>
      </c>
      <c r="B2624" s="10">
        <v>25326</v>
      </c>
    </row>
    <row r="2625" spans="1:2" x14ac:dyDescent="0.3">
      <c r="A2625" s="5">
        <v>38896</v>
      </c>
      <c r="B2625" s="10">
        <v>25281</v>
      </c>
    </row>
    <row r="2626" spans="1:2" x14ac:dyDescent="0.3">
      <c r="A2626" s="5">
        <v>38897</v>
      </c>
      <c r="B2626" s="10">
        <v>25184</v>
      </c>
    </row>
    <row r="2627" spans="1:2" x14ac:dyDescent="0.3">
      <c r="A2627" s="5">
        <v>38898</v>
      </c>
      <c r="B2627" s="10">
        <v>25490</v>
      </c>
    </row>
    <row r="2628" spans="1:2" x14ac:dyDescent="0.3">
      <c r="A2628" s="5">
        <v>38901</v>
      </c>
      <c r="B2628" s="10">
        <v>25681</v>
      </c>
    </row>
    <row r="2629" spans="1:2" x14ac:dyDescent="0.3">
      <c r="A2629" s="5">
        <v>38902</v>
      </c>
      <c r="B2629" s="10">
        <v>25687</v>
      </c>
    </row>
    <row r="2630" spans="1:2" x14ac:dyDescent="0.3">
      <c r="A2630" s="5">
        <v>38903</v>
      </c>
      <c r="B2630" s="10">
        <v>25799</v>
      </c>
    </row>
    <row r="2631" spans="1:2" x14ac:dyDescent="0.3">
      <c r="A2631" s="5">
        <v>38904</v>
      </c>
      <c r="B2631" s="10">
        <v>25894</v>
      </c>
    </row>
    <row r="2632" spans="1:2" x14ac:dyDescent="0.3">
      <c r="A2632" s="5">
        <v>38905</v>
      </c>
      <c r="B2632" s="10">
        <v>25999</v>
      </c>
    </row>
    <row r="2633" spans="1:2" x14ac:dyDescent="0.3">
      <c r="A2633" s="5">
        <v>38908</v>
      </c>
      <c r="B2633" s="10">
        <v>26003</v>
      </c>
    </row>
    <row r="2634" spans="1:2" x14ac:dyDescent="0.3">
      <c r="A2634" s="5">
        <v>38909</v>
      </c>
      <c r="B2634" s="10">
        <v>26112</v>
      </c>
    </row>
    <row r="2635" spans="1:2" x14ac:dyDescent="0.3">
      <c r="A2635" s="5">
        <v>38910</v>
      </c>
      <c r="B2635" s="10">
        <v>26075</v>
      </c>
    </row>
    <row r="2636" spans="1:2" x14ac:dyDescent="0.3">
      <c r="A2636" s="5">
        <v>38911</v>
      </c>
      <c r="B2636" s="10">
        <v>26076</v>
      </c>
    </row>
    <row r="2637" spans="1:2" x14ac:dyDescent="0.3">
      <c r="A2637" s="5">
        <v>38912</v>
      </c>
      <c r="B2637" s="10">
        <v>26077</v>
      </c>
    </row>
    <row r="2638" spans="1:2" x14ac:dyDescent="0.3">
      <c r="A2638" s="5">
        <v>38915</v>
      </c>
      <c r="B2638" s="10">
        <v>26056</v>
      </c>
    </row>
    <row r="2639" spans="1:2" x14ac:dyDescent="0.3">
      <c r="A2639" s="5">
        <v>38916</v>
      </c>
      <c r="B2639" s="10">
        <v>26088</v>
      </c>
    </row>
    <row r="2640" spans="1:2" x14ac:dyDescent="0.3">
      <c r="A2640" s="5">
        <v>38917</v>
      </c>
      <c r="B2640" s="10">
        <v>26124</v>
      </c>
    </row>
    <row r="2641" spans="1:2" x14ac:dyDescent="0.3">
      <c r="A2641" s="5">
        <v>38918</v>
      </c>
      <c r="B2641" s="10">
        <v>26179</v>
      </c>
    </row>
    <row r="2642" spans="1:2" x14ac:dyDescent="0.3">
      <c r="A2642" s="5">
        <v>38919</v>
      </c>
      <c r="B2642" s="10">
        <v>26203</v>
      </c>
    </row>
    <row r="2643" spans="1:2" x14ac:dyDescent="0.3">
      <c r="A2643" s="5">
        <v>38922</v>
      </c>
      <c r="B2643" s="10">
        <v>26160</v>
      </c>
    </row>
    <row r="2644" spans="1:2" x14ac:dyDescent="0.3">
      <c r="A2644" s="5">
        <v>38923</v>
      </c>
      <c r="B2644" s="10">
        <v>26203</v>
      </c>
    </row>
    <row r="2645" spans="1:2" x14ac:dyDescent="0.3">
      <c r="A2645" s="5">
        <v>38924</v>
      </c>
      <c r="B2645" s="10">
        <v>26238</v>
      </c>
    </row>
    <row r="2646" spans="1:2" x14ac:dyDescent="0.3">
      <c r="A2646" s="5">
        <v>38925</v>
      </c>
      <c r="B2646" s="10">
        <v>26233</v>
      </c>
    </row>
    <row r="2647" spans="1:2" x14ac:dyDescent="0.3">
      <c r="A2647" s="5">
        <v>38926</v>
      </c>
      <c r="B2647" s="10">
        <v>26214</v>
      </c>
    </row>
    <row r="2648" spans="1:2" x14ac:dyDescent="0.3">
      <c r="A2648" s="5">
        <v>38929</v>
      </c>
      <c r="B2648" s="10">
        <v>26223</v>
      </c>
    </row>
    <row r="2649" spans="1:2" x14ac:dyDescent="0.3">
      <c r="A2649" s="5">
        <v>38930</v>
      </c>
      <c r="B2649" s="10">
        <v>26248</v>
      </c>
    </row>
    <row r="2650" spans="1:2" x14ac:dyDescent="0.3">
      <c r="A2650" s="5">
        <v>38931</v>
      </c>
      <c r="B2650" s="10">
        <v>26129</v>
      </c>
    </row>
    <row r="2651" spans="1:2" x14ac:dyDescent="0.3">
      <c r="A2651" s="5">
        <v>38932</v>
      </c>
      <c r="B2651" s="10">
        <v>27020</v>
      </c>
    </row>
    <row r="2652" spans="1:2" x14ac:dyDescent="0.3">
      <c r="A2652" s="5">
        <v>38933</v>
      </c>
      <c r="B2652" s="10">
        <v>26861</v>
      </c>
    </row>
    <row r="2653" spans="1:2" x14ac:dyDescent="0.3">
      <c r="A2653" s="5">
        <v>38936</v>
      </c>
      <c r="B2653" s="10">
        <v>26943</v>
      </c>
    </row>
    <row r="2654" spans="1:2" x14ac:dyDescent="0.3">
      <c r="A2654" s="5">
        <v>38937</v>
      </c>
      <c r="B2654" s="10">
        <v>26970</v>
      </c>
    </row>
    <row r="2655" spans="1:2" x14ac:dyDescent="0.3">
      <c r="A2655" s="5">
        <v>38938</v>
      </c>
      <c r="B2655" s="10">
        <v>27075</v>
      </c>
    </row>
    <row r="2656" spans="1:2" x14ac:dyDescent="0.3">
      <c r="A2656" s="5">
        <v>38939</v>
      </c>
      <c r="B2656" s="10">
        <v>26910</v>
      </c>
    </row>
    <row r="2657" spans="1:2" x14ac:dyDescent="0.3">
      <c r="A2657" s="5">
        <v>38940</v>
      </c>
      <c r="B2657" s="10">
        <v>27010</v>
      </c>
    </row>
    <row r="2658" spans="1:2" x14ac:dyDescent="0.3">
      <c r="A2658" s="5">
        <v>38943</v>
      </c>
      <c r="B2658" s="10">
        <v>26983</v>
      </c>
    </row>
    <row r="2659" spans="1:2" x14ac:dyDescent="0.3">
      <c r="A2659" s="5">
        <v>38944</v>
      </c>
      <c r="B2659" s="10">
        <v>26838</v>
      </c>
    </row>
    <row r="2660" spans="1:2" x14ac:dyDescent="0.3">
      <c r="A2660" s="5">
        <v>38945</v>
      </c>
      <c r="B2660" s="10">
        <v>27028</v>
      </c>
    </row>
    <row r="2661" spans="1:2" x14ac:dyDescent="0.3">
      <c r="A2661" s="5">
        <v>38946</v>
      </c>
      <c r="B2661" s="10">
        <v>27052</v>
      </c>
    </row>
    <row r="2662" spans="1:2" x14ac:dyDescent="0.3">
      <c r="A2662" s="5">
        <v>38947</v>
      </c>
      <c r="B2662" s="10">
        <v>26976</v>
      </c>
    </row>
    <row r="2663" spans="1:2" x14ac:dyDescent="0.3">
      <c r="A2663" s="5">
        <v>38951</v>
      </c>
      <c r="B2663" s="10">
        <v>27188</v>
      </c>
    </row>
    <row r="2664" spans="1:2" x14ac:dyDescent="0.3">
      <c r="A2664" s="5">
        <v>38952</v>
      </c>
      <c r="B2664" s="10">
        <v>27259</v>
      </c>
    </row>
    <row r="2665" spans="1:2" x14ac:dyDescent="0.3">
      <c r="A2665" s="5">
        <v>38953</v>
      </c>
      <c r="B2665" s="10">
        <v>27300</v>
      </c>
    </row>
    <row r="2666" spans="1:2" x14ac:dyDescent="0.3">
      <c r="A2666" s="5">
        <v>38954</v>
      </c>
      <c r="B2666" s="10">
        <v>27347</v>
      </c>
    </row>
    <row r="2667" spans="1:2" x14ac:dyDescent="0.3">
      <c r="A2667" s="5">
        <v>38957</v>
      </c>
      <c r="B2667" s="10">
        <v>27222</v>
      </c>
    </row>
    <row r="2668" spans="1:2" x14ac:dyDescent="0.3">
      <c r="A2668" s="5">
        <v>38958</v>
      </c>
      <c r="B2668" s="10">
        <v>27245</v>
      </c>
    </row>
    <row r="2669" spans="1:2" x14ac:dyDescent="0.3">
      <c r="A2669" s="5">
        <v>38959</v>
      </c>
      <c r="B2669" s="10">
        <v>27367</v>
      </c>
    </row>
    <row r="2670" spans="1:2" x14ac:dyDescent="0.3">
      <c r="A2670" s="5">
        <v>38960</v>
      </c>
      <c r="B2670" s="10">
        <v>27397</v>
      </c>
    </row>
    <row r="2671" spans="1:2" x14ac:dyDescent="0.3">
      <c r="A2671" s="5">
        <v>38961</v>
      </c>
      <c r="B2671" s="10">
        <v>27410</v>
      </c>
    </row>
    <row r="2672" spans="1:2" x14ac:dyDescent="0.3">
      <c r="A2672" s="5">
        <v>38964</v>
      </c>
      <c r="B2672" s="10">
        <v>27414</v>
      </c>
    </row>
    <row r="2673" spans="1:2" x14ac:dyDescent="0.3">
      <c r="A2673" s="5">
        <v>38965</v>
      </c>
      <c r="B2673" s="10">
        <v>27459</v>
      </c>
    </row>
    <row r="2674" spans="1:2" x14ac:dyDescent="0.3">
      <c r="A2674" s="5">
        <v>38966</v>
      </c>
      <c r="B2674" s="10">
        <v>27493</v>
      </c>
    </row>
    <row r="2675" spans="1:2" x14ac:dyDescent="0.3">
      <c r="A2675" s="5">
        <v>38967</v>
      </c>
      <c r="B2675" s="10">
        <v>27472</v>
      </c>
    </row>
    <row r="2676" spans="1:2" x14ac:dyDescent="0.3">
      <c r="A2676" s="5">
        <v>38968</v>
      </c>
      <c r="B2676" s="10">
        <v>27539</v>
      </c>
    </row>
    <row r="2677" spans="1:2" x14ac:dyDescent="0.3">
      <c r="A2677" s="5">
        <v>38971</v>
      </c>
      <c r="B2677" s="10">
        <v>27553</v>
      </c>
    </row>
    <row r="2678" spans="1:2" x14ac:dyDescent="0.3">
      <c r="A2678" s="5">
        <v>38972</v>
      </c>
      <c r="B2678" s="10">
        <v>27593</v>
      </c>
    </row>
    <row r="2679" spans="1:2" x14ac:dyDescent="0.3">
      <c r="A2679" s="5">
        <v>38973</v>
      </c>
      <c r="B2679" s="10">
        <v>27607</v>
      </c>
    </row>
    <row r="2680" spans="1:2" x14ac:dyDescent="0.3">
      <c r="A2680" s="5">
        <v>38974</v>
      </c>
      <c r="B2680" s="10">
        <v>27723</v>
      </c>
    </row>
    <row r="2681" spans="1:2" x14ac:dyDescent="0.3">
      <c r="A2681" s="5">
        <v>38975</v>
      </c>
      <c r="B2681" s="10">
        <v>27774</v>
      </c>
    </row>
    <row r="2682" spans="1:2" x14ac:dyDescent="0.3">
      <c r="A2682" s="5">
        <v>38978</v>
      </c>
      <c r="B2682" s="10">
        <v>27835</v>
      </c>
    </row>
    <row r="2683" spans="1:2" x14ac:dyDescent="0.3">
      <c r="A2683" s="5">
        <v>38979</v>
      </c>
      <c r="B2683" s="10">
        <v>27860</v>
      </c>
    </row>
    <row r="2684" spans="1:2" x14ac:dyDescent="0.3">
      <c r="A2684" s="5">
        <v>38980</v>
      </c>
      <c r="B2684" s="10">
        <v>27922</v>
      </c>
    </row>
    <row r="2685" spans="1:2" x14ac:dyDescent="0.3">
      <c r="A2685" s="5">
        <v>38981</v>
      </c>
      <c r="B2685" s="10">
        <v>27905</v>
      </c>
    </row>
    <row r="2686" spans="1:2" x14ac:dyDescent="0.3">
      <c r="A2686" s="5">
        <v>38982</v>
      </c>
      <c r="B2686" s="10">
        <v>27933</v>
      </c>
    </row>
    <row r="2687" spans="1:2" x14ac:dyDescent="0.3">
      <c r="A2687" s="5">
        <v>38985</v>
      </c>
      <c r="B2687" s="10">
        <v>27984</v>
      </c>
    </row>
    <row r="2688" spans="1:2" x14ac:dyDescent="0.3">
      <c r="A2688" s="5">
        <v>38986</v>
      </c>
      <c r="B2688" s="10">
        <v>28026</v>
      </c>
    </row>
    <row r="2689" spans="1:2" x14ac:dyDescent="0.3">
      <c r="A2689" s="5">
        <v>38987</v>
      </c>
      <c r="B2689" s="10">
        <v>28132</v>
      </c>
    </row>
    <row r="2690" spans="1:2" x14ac:dyDescent="0.3">
      <c r="A2690" s="5">
        <v>38988</v>
      </c>
      <c r="B2690" s="10">
        <v>28146</v>
      </c>
    </row>
    <row r="2691" spans="1:2" x14ac:dyDescent="0.3">
      <c r="A2691" s="5">
        <v>38989</v>
      </c>
      <c r="B2691" s="10">
        <v>28048</v>
      </c>
    </row>
    <row r="2692" spans="1:2" x14ac:dyDescent="0.3">
      <c r="A2692" s="5">
        <v>38992</v>
      </c>
      <c r="B2692" s="10">
        <v>28084</v>
      </c>
    </row>
    <row r="2693" spans="1:2" x14ac:dyDescent="0.3">
      <c r="A2693" s="5">
        <v>38993</v>
      </c>
      <c r="B2693" s="10">
        <v>28099</v>
      </c>
    </row>
    <row r="2694" spans="1:2" x14ac:dyDescent="0.3">
      <c r="A2694" s="5">
        <v>38994</v>
      </c>
      <c r="B2694" s="10">
        <v>28136</v>
      </c>
    </row>
    <row r="2695" spans="1:2" x14ac:dyDescent="0.3">
      <c r="A2695" s="5">
        <v>38995</v>
      </c>
      <c r="B2695" s="10">
        <v>28169</v>
      </c>
    </row>
    <row r="2696" spans="1:2" x14ac:dyDescent="0.3">
      <c r="A2696" s="5">
        <v>38996</v>
      </c>
      <c r="B2696" s="10">
        <v>28204</v>
      </c>
    </row>
    <row r="2697" spans="1:2" x14ac:dyDescent="0.3">
      <c r="A2697" s="5">
        <v>38999</v>
      </c>
      <c r="B2697" s="10">
        <v>28191</v>
      </c>
    </row>
    <row r="2698" spans="1:2" x14ac:dyDescent="0.3">
      <c r="A2698" s="5">
        <v>39000</v>
      </c>
      <c r="B2698" s="10">
        <v>28231</v>
      </c>
    </row>
    <row r="2699" spans="1:2" x14ac:dyDescent="0.3">
      <c r="A2699" s="5">
        <v>39001</v>
      </c>
      <c r="B2699" s="10">
        <v>28233</v>
      </c>
    </row>
    <row r="2700" spans="1:2" x14ac:dyDescent="0.3">
      <c r="A2700" s="5">
        <v>39002</v>
      </c>
      <c r="B2700" s="10">
        <v>28323</v>
      </c>
    </row>
    <row r="2701" spans="1:2" x14ac:dyDescent="0.3">
      <c r="A2701" s="5">
        <v>39003</v>
      </c>
      <c r="B2701" s="10">
        <v>28226</v>
      </c>
    </row>
    <row r="2702" spans="1:2" x14ac:dyDescent="0.3">
      <c r="A2702" s="5">
        <v>39007</v>
      </c>
      <c r="B2702" s="10">
        <v>28241</v>
      </c>
    </row>
    <row r="2703" spans="1:2" x14ac:dyDescent="0.3">
      <c r="A2703" s="5">
        <v>39008</v>
      </c>
      <c r="B2703" s="10">
        <v>28213</v>
      </c>
    </row>
    <row r="2704" spans="1:2" x14ac:dyDescent="0.3">
      <c r="A2704" s="5">
        <v>39009</v>
      </c>
      <c r="B2704" s="10">
        <v>28409</v>
      </c>
    </row>
    <row r="2705" spans="1:2" x14ac:dyDescent="0.3">
      <c r="A2705" s="5">
        <v>39010</v>
      </c>
      <c r="B2705" s="10">
        <v>28434</v>
      </c>
    </row>
    <row r="2706" spans="1:2" x14ac:dyDescent="0.3">
      <c r="A2706" s="5">
        <v>39013</v>
      </c>
      <c r="B2706" s="10">
        <v>28503</v>
      </c>
    </row>
    <row r="2707" spans="1:2" x14ac:dyDescent="0.3">
      <c r="A2707" s="5">
        <v>39014</v>
      </c>
      <c r="B2707" s="10">
        <v>28665</v>
      </c>
    </row>
    <row r="2708" spans="1:2" x14ac:dyDescent="0.3">
      <c r="A2708" s="5">
        <v>39015</v>
      </c>
      <c r="B2708" s="10">
        <v>28636</v>
      </c>
    </row>
    <row r="2709" spans="1:2" x14ac:dyDescent="0.3">
      <c r="A2709" s="5">
        <v>39016</v>
      </c>
      <c r="B2709" s="10">
        <v>28720</v>
      </c>
    </row>
    <row r="2710" spans="1:2" x14ac:dyDescent="0.3">
      <c r="A2710" s="5">
        <v>39017</v>
      </c>
      <c r="B2710" s="10">
        <v>28761</v>
      </c>
    </row>
    <row r="2711" spans="1:2" x14ac:dyDescent="0.3">
      <c r="A2711" s="5">
        <v>39020</v>
      </c>
      <c r="B2711" s="10">
        <v>28994</v>
      </c>
    </row>
    <row r="2712" spans="1:2" x14ac:dyDescent="0.3">
      <c r="A2712" s="5">
        <v>39021</v>
      </c>
      <c r="B2712" s="10">
        <v>29082</v>
      </c>
    </row>
    <row r="2713" spans="1:2" x14ac:dyDescent="0.3">
      <c r="A2713" s="5">
        <v>39022</v>
      </c>
      <c r="B2713" s="10">
        <v>29097</v>
      </c>
    </row>
    <row r="2714" spans="1:2" x14ac:dyDescent="0.3">
      <c r="A2714" s="5">
        <v>39023</v>
      </c>
      <c r="B2714" s="10">
        <v>29226</v>
      </c>
    </row>
    <row r="2715" spans="1:2" x14ac:dyDescent="0.3">
      <c r="A2715" s="5">
        <v>39024</v>
      </c>
      <c r="B2715" s="10">
        <v>29237</v>
      </c>
    </row>
    <row r="2716" spans="1:2" x14ac:dyDescent="0.3">
      <c r="A2716" s="5">
        <v>39028</v>
      </c>
      <c r="B2716" s="10">
        <v>29396</v>
      </c>
    </row>
    <row r="2717" spans="1:2" x14ac:dyDescent="0.3">
      <c r="A2717" s="5">
        <v>39029</v>
      </c>
      <c r="B2717" s="10">
        <v>29505</v>
      </c>
    </row>
    <row r="2718" spans="1:2" x14ac:dyDescent="0.3">
      <c r="A2718" s="5">
        <v>39030</v>
      </c>
      <c r="B2718" s="10">
        <v>29594</v>
      </c>
    </row>
    <row r="2719" spans="1:2" x14ac:dyDescent="0.3">
      <c r="A2719" s="5">
        <v>39031</v>
      </c>
      <c r="B2719" s="10">
        <v>29626</v>
      </c>
    </row>
    <row r="2720" spans="1:2" x14ac:dyDescent="0.3">
      <c r="A2720" s="5">
        <v>39034</v>
      </c>
      <c r="B2720" s="10">
        <v>29685</v>
      </c>
    </row>
    <row r="2721" spans="1:2" x14ac:dyDescent="0.3">
      <c r="A2721" s="5">
        <v>39035</v>
      </c>
      <c r="B2721" s="10">
        <v>29748</v>
      </c>
    </row>
    <row r="2722" spans="1:2" x14ac:dyDescent="0.3">
      <c r="A2722" s="5">
        <v>39036</v>
      </c>
      <c r="B2722" s="10">
        <v>29806</v>
      </c>
    </row>
    <row r="2723" spans="1:2" x14ac:dyDescent="0.3">
      <c r="A2723" s="5">
        <v>39037</v>
      </c>
      <c r="B2723" s="10">
        <v>29813</v>
      </c>
    </row>
    <row r="2724" spans="1:2" x14ac:dyDescent="0.3">
      <c r="A2724" s="5">
        <v>39038</v>
      </c>
      <c r="B2724" s="10">
        <v>29852</v>
      </c>
    </row>
    <row r="2725" spans="1:2" x14ac:dyDescent="0.3">
      <c r="A2725" s="5">
        <v>39041</v>
      </c>
      <c r="B2725" s="10">
        <v>29946</v>
      </c>
    </row>
    <row r="2726" spans="1:2" x14ac:dyDescent="0.3">
      <c r="A2726" s="5">
        <v>39042</v>
      </c>
      <c r="B2726" s="10">
        <v>30004</v>
      </c>
    </row>
    <row r="2727" spans="1:2" x14ac:dyDescent="0.3">
      <c r="A2727" s="5">
        <v>39043</v>
      </c>
      <c r="B2727" s="10">
        <v>30083</v>
      </c>
    </row>
    <row r="2728" spans="1:2" x14ac:dyDescent="0.3">
      <c r="A2728" s="5">
        <v>39044</v>
      </c>
      <c r="B2728" s="10">
        <v>30079</v>
      </c>
    </row>
    <row r="2729" spans="1:2" x14ac:dyDescent="0.3">
      <c r="A2729" s="5">
        <v>39045</v>
      </c>
      <c r="B2729" s="10">
        <v>30141</v>
      </c>
    </row>
    <row r="2730" spans="1:2" x14ac:dyDescent="0.3">
      <c r="A2730" s="5">
        <v>39048</v>
      </c>
      <c r="B2730" s="10">
        <v>30185</v>
      </c>
    </row>
    <row r="2731" spans="1:2" x14ac:dyDescent="0.3">
      <c r="A2731" s="5">
        <v>39049</v>
      </c>
      <c r="B2731" s="10">
        <v>30252</v>
      </c>
    </row>
    <row r="2732" spans="1:2" x14ac:dyDescent="0.3">
      <c r="A2732" s="5">
        <v>39050</v>
      </c>
      <c r="B2732" s="10">
        <v>30247</v>
      </c>
    </row>
    <row r="2733" spans="1:2" x14ac:dyDescent="0.3">
      <c r="A2733" s="5">
        <v>39051</v>
      </c>
      <c r="B2733" s="10">
        <v>30328</v>
      </c>
    </row>
    <row r="2734" spans="1:2" x14ac:dyDescent="0.3">
      <c r="A2734" s="5">
        <v>39052</v>
      </c>
      <c r="B2734" s="10">
        <v>30391</v>
      </c>
    </row>
    <row r="2735" spans="1:2" x14ac:dyDescent="0.3">
      <c r="A2735" s="5">
        <v>39055</v>
      </c>
      <c r="B2735" s="10">
        <v>30421</v>
      </c>
    </row>
    <row r="2736" spans="1:2" x14ac:dyDescent="0.3">
      <c r="A2736" s="5">
        <v>39056</v>
      </c>
      <c r="B2736" s="10">
        <v>30555</v>
      </c>
    </row>
    <row r="2737" spans="1:2" x14ac:dyDescent="0.3">
      <c r="A2737" s="5">
        <v>39057</v>
      </c>
      <c r="B2737" s="10">
        <v>30624</v>
      </c>
    </row>
    <row r="2738" spans="1:2" x14ac:dyDescent="0.3">
      <c r="A2738" s="5">
        <v>39058</v>
      </c>
      <c r="B2738" s="10">
        <v>30918</v>
      </c>
    </row>
    <row r="2739" spans="1:2" x14ac:dyDescent="0.3">
      <c r="A2739" s="5">
        <v>39062</v>
      </c>
      <c r="B2739" s="10">
        <v>30959</v>
      </c>
    </row>
    <row r="2740" spans="1:2" x14ac:dyDescent="0.3">
      <c r="A2740" s="5">
        <v>39063</v>
      </c>
      <c r="B2740" s="10">
        <v>31031</v>
      </c>
    </row>
    <row r="2741" spans="1:2" x14ac:dyDescent="0.3">
      <c r="A2741" s="5">
        <v>39064</v>
      </c>
      <c r="B2741" s="10">
        <v>31039</v>
      </c>
    </row>
    <row r="2742" spans="1:2" x14ac:dyDescent="0.3">
      <c r="A2742" s="5">
        <v>39065</v>
      </c>
      <c r="B2742" s="10">
        <v>31094</v>
      </c>
    </row>
    <row r="2743" spans="1:2" x14ac:dyDescent="0.3">
      <c r="A2743" s="5">
        <v>39066</v>
      </c>
      <c r="B2743" s="10">
        <v>31065</v>
      </c>
    </row>
    <row r="2744" spans="1:2" x14ac:dyDescent="0.3">
      <c r="A2744" s="5">
        <v>39069</v>
      </c>
      <c r="B2744" s="10">
        <v>31156</v>
      </c>
    </row>
    <row r="2745" spans="1:2" x14ac:dyDescent="0.3">
      <c r="A2745" s="5">
        <v>39070</v>
      </c>
      <c r="B2745" s="10">
        <v>31196</v>
      </c>
    </row>
    <row r="2746" spans="1:2" x14ac:dyDescent="0.3">
      <c r="A2746" s="5">
        <v>39071</v>
      </c>
      <c r="B2746" s="10">
        <v>31331</v>
      </c>
    </row>
    <row r="2747" spans="1:2" x14ac:dyDescent="0.3">
      <c r="A2747" s="5">
        <v>39072</v>
      </c>
      <c r="B2747" s="10">
        <v>31424</v>
      </c>
    </row>
    <row r="2748" spans="1:2" x14ac:dyDescent="0.3">
      <c r="A2748" s="5">
        <v>39073</v>
      </c>
      <c r="B2748" s="10">
        <v>31511</v>
      </c>
    </row>
    <row r="2749" spans="1:2" x14ac:dyDescent="0.3">
      <c r="A2749" s="5">
        <v>39077</v>
      </c>
      <c r="B2749" s="10">
        <v>31580</v>
      </c>
    </row>
    <row r="2750" spans="1:2" x14ac:dyDescent="0.3">
      <c r="A2750" s="5">
        <v>39078</v>
      </c>
      <c r="B2750" s="10">
        <v>31714</v>
      </c>
    </row>
    <row r="2751" spans="1:2" x14ac:dyDescent="0.3">
      <c r="A2751" s="5">
        <v>39079</v>
      </c>
      <c r="B2751" s="10">
        <v>31863</v>
      </c>
    </row>
    <row r="2752" spans="1:2" x14ac:dyDescent="0.3">
      <c r="A2752" s="5">
        <v>39080</v>
      </c>
      <c r="B2752" s="10">
        <v>32037</v>
      </c>
    </row>
    <row r="2753" spans="1:2" x14ac:dyDescent="0.3">
      <c r="A2753" s="5">
        <v>39084</v>
      </c>
      <c r="B2753" s="10">
        <v>32124</v>
      </c>
    </row>
    <row r="2754" spans="1:2" x14ac:dyDescent="0.3">
      <c r="A2754" s="5">
        <v>39085</v>
      </c>
      <c r="B2754" s="10">
        <v>32208</v>
      </c>
    </row>
    <row r="2755" spans="1:2" x14ac:dyDescent="0.3">
      <c r="A2755" s="5">
        <v>39086</v>
      </c>
      <c r="B2755" s="10">
        <v>32256</v>
      </c>
    </row>
    <row r="2756" spans="1:2" x14ac:dyDescent="0.3">
      <c r="A2756" s="5">
        <v>39087</v>
      </c>
      <c r="B2756" s="10">
        <v>32299</v>
      </c>
    </row>
    <row r="2757" spans="1:2" x14ac:dyDescent="0.3">
      <c r="A2757" s="5">
        <v>39090</v>
      </c>
      <c r="B2757" s="10">
        <v>32350</v>
      </c>
    </row>
    <row r="2758" spans="1:2" x14ac:dyDescent="0.3">
      <c r="A2758" s="5">
        <v>39091</v>
      </c>
      <c r="B2758" s="10">
        <v>32408</v>
      </c>
    </row>
    <row r="2759" spans="1:2" x14ac:dyDescent="0.3">
      <c r="A2759" s="5">
        <v>39092</v>
      </c>
      <c r="B2759" s="10">
        <v>32478</v>
      </c>
    </row>
    <row r="2760" spans="1:2" x14ac:dyDescent="0.3">
      <c r="A2760" s="5">
        <v>39093</v>
      </c>
      <c r="B2760" s="10">
        <v>32565</v>
      </c>
    </row>
    <row r="2761" spans="1:2" x14ac:dyDescent="0.3">
      <c r="A2761" s="5">
        <v>39094</v>
      </c>
      <c r="B2761" s="10">
        <v>32697</v>
      </c>
    </row>
    <row r="2762" spans="1:2" x14ac:dyDescent="0.3">
      <c r="A2762" s="5">
        <v>39097</v>
      </c>
      <c r="B2762" s="10">
        <v>32720</v>
      </c>
    </row>
    <row r="2763" spans="1:2" x14ac:dyDescent="0.3">
      <c r="A2763" s="5">
        <v>39098</v>
      </c>
      <c r="B2763" s="10">
        <v>32790</v>
      </c>
    </row>
    <row r="2764" spans="1:2" x14ac:dyDescent="0.3">
      <c r="A2764" s="5">
        <v>39099</v>
      </c>
      <c r="B2764" s="10">
        <v>32867</v>
      </c>
    </row>
    <row r="2765" spans="1:2" x14ac:dyDescent="0.3">
      <c r="A2765" s="5">
        <v>39100</v>
      </c>
      <c r="B2765" s="10">
        <v>32901</v>
      </c>
    </row>
    <row r="2766" spans="1:2" x14ac:dyDescent="0.3">
      <c r="A2766" s="5">
        <v>39101</v>
      </c>
      <c r="B2766" s="10">
        <v>33007</v>
      </c>
    </row>
    <row r="2767" spans="1:2" x14ac:dyDescent="0.3">
      <c r="A2767" s="5">
        <v>39104</v>
      </c>
      <c r="B2767" s="10">
        <v>33064</v>
      </c>
    </row>
    <row r="2768" spans="1:2" x14ac:dyDescent="0.3">
      <c r="A2768" s="5">
        <v>39105</v>
      </c>
      <c r="B2768" s="10">
        <v>33169</v>
      </c>
    </row>
    <row r="2769" spans="1:2" x14ac:dyDescent="0.3">
      <c r="A2769" s="5">
        <v>39106</v>
      </c>
      <c r="B2769" s="10">
        <v>33253</v>
      </c>
    </row>
    <row r="2770" spans="1:2" x14ac:dyDescent="0.3">
      <c r="A2770" s="5">
        <v>39107</v>
      </c>
      <c r="B2770" s="10">
        <v>33375</v>
      </c>
    </row>
    <row r="2771" spans="1:2" x14ac:dyDescent="0.3">
      <c r="A2771" s="5">
        <v>39108</v>
      </c>
      <c r="B2771" s="10">
        <v>33414</v>
      </c>
    </row>
    <row r="2772" spans="1:2" x14ac:dyDescent="0.3">
      <c r="A2772" s="5">
        <v>39111</v>
      </c>
      <c r="B2772" s="10">
        <v>33502</v>
      </c>
    </row>
    <row r="2773" spans="1:2" x14ac:dyDescent="0.3">
      <c r="A2773" s="5">
        <v>39112</v>
      </c>
      <c r="B2773" s="10">
        <v>33592</v>
      </c>
    </row>
    <row r="2774" spans="1:2" x14ac:dyDescent="0.3">
      <c r="A2774" s="5">
        <v>39113</v>
      </c>
      <c r="B2774" s="10">
        <v>33739</v>
      </c>
    </row>
    <row r="2775" spans="1:2" x14ac:dyDescent="0.3">
      <c r="A2775" s="5">
        <v>39114</v>
      </c>
      <c r="B2775" s="10">
        <v>33781</v>
      </c>
    </row>
    <row r="2776" spans="1:2" x14ac:dyDescent="0.3">
      <c r="A2776" s="5">
        <v>39115</v>
      </c>
      <c r="B2776" s="10">
        <v>33848</v>
      </c>
    </row>
    <row r="2777" spans="1:2" x14ac:dyDescent="0.3">
      <c r="A2777" s="5">
        <v>39118</v>
      </c>
      <c r="B2777" s="10">
        <v>34100</v>
      </c>
    </row>
    <row r="2778" spans="1:2" x14ac:dyDescent="0.3">
      <c r="A2778" s="5">
        <v>39119</v>
      </c>
      <c r="B2778" s="10">
        <v>33910</v>
      </c>
    </row>
    <row r="2779" spans="1:2" x14ac:dyDescent="0.3">
      <c r="A2779" s="5">
        <v>39120</v>
      </c>
      <c r="B2779" s="10">
        <v>33958</v>
      </c>
    </row>
    <row r="2780" spans="1:2" x14ac:dyDescent="0.3">
      <c r="A2780" s="5">
        <v>39121</v>
      </c>
      <c r="B2780" s="10">
        <v>34041</v>
      </c>
    </row>
    <row r="2781" spans="1:2" x14ac:dyDescent="0.3">
      <c r="A2781" s="5">
        <v>39122</v>
      </c>
      <c r="B2781" s="10">
        <v>34035</v>
      </c>
    </row>
    <row r="2782" spans="1:2" x14ac:dyDescent="0.3">
      <c r="A2782" s="5">
        <v>39125</v>
      </c>
      <c r="B2782" s="10">
        <v>34045</v>
      </c>
    </row>
    <row r="2783" spans="1:2" x14ac:dyDescent="0.3">
      <c r="A2783" s="5">
        <v>39126</v>
      </c>
      <c r="B2783" s="10">
        <v>34043</v>
      </c>
    </row>
    <row r="2784" spans="1:2" x14ac:dyDescent="0.3">
      <c r="A2784" s="5">
        <v>39127</v>
      </c>
      <c r="B2784" s="10">
        <v>34107</v>
      </c>
    </row>
    <row r="2785" spans="1:2" x14ac:dyDescent="0.3">
      <c r="A2785" s="5">
        <v>39128</v>
      </c>
      <c r="B2785" s="10">
        <v>34129</v>
      </c>
    </row>
    <row r="2786" spans="1:2" x14ac:dyDescent="0.3">
      <c r="A2786" s="5">
        <v>39129</v>
      </c>
      <c r="B2786" s="10">
        <v>34232</v>
      </c>
    </row>
    <row r="2787" spans="1:2" x14ac:dyDescent="0.3">
      <c r="A2787" s="5">
        <v>39132</v>
      </c>
      <c r="B2787" s="10">
        <v>34239</v>
      </c>
    </row>
    <row r="2788" spans="1:2" x14ac:dyDescent="0.3">
      <c r="A2788" s="5">
        <v>39133</v>
      </c>
      <c r="B2788" s="10">
        <v>34303</v>
      </c>
    </row>
    <row r="2789" spans="1:2" x14ac:dyDescent="0.3">
      <c r="A2789" s="5">
        <v>39134</v>
      </c>
      <c r="B2789" s="10">
        <v>34401</v>
      </c>
    </row>
    <row r="2790" spans="1:2" x14ac:dyDescent="0.3">
      <c r="A2790" s="5">
        <v>39135</v>
      </c>
      <c r="B2790" s="10">
        <v>34519</v>
      </c>
    </row>
    <row r="2791" spans="1:2" x14ac:dyDescent="0.3">
      <c r="A2791" s="5">
        <v>39136</v>
      </c>
      <c r="B2791" s="10">
        <v>34637</v>
      </c>
    </row>
    <row r="2792" spans="1:2" x14ac:dyDescent="0.3">
      <c r="A2792" s="5">
        <v>39139</v>
      </c>
      <c r="B2792" s="10">
        <v>34734</v>
      </c>
    </row>
    <row r="2793" spans="1:2" x14ac:dyDescent="0.3">
      <c r="A2793" s="5">
        <v>39140</v>
      </c>
      <c r="B2793" s="10">
        <v>34813</v>
      </c>
    </row>
    <row r="2794" spans="1:2" x14ac:dyDescent="0.3">
      <c r="A2794" s="5">
        <v>39141</v>
      </c>
      <c r="B2794" s="10">
        <v>34936</v>
      </c>
    </row>
    <row r="2795" spans="1:2" x14ac:dyDescent="0.3">
      <c r="A2795" s="5">
        <v>39142</v>
      </c>
      <c r="B2795" s="10">
        <v>34998</v>
      </c>
    </row>
    <row r="2796" spans="1:2" x14ac:dyDescent="0.3">
      <c r="A2796" s="5">
        <v>39143</v>
      </c>
      <c r="B2796" s="10">
        <v>35070</v>
      </c>
    </row>
    <row r="2797" spans="1:2" x14ac:dyDescent="0.3">
      <c r="A2797" s="5">
        <v>39146</v>
      </c>
      <c r="B2797" s="10">
        <v>35107</v>
      </c>
    </row>
    <row r="2798" spans="1:2" x14ac:dyDescent="0.3">
      <c r="A2798" s="5">
        <v>39147</v>
      </c>
      <c r="B2798" s="10">
        <v>35201</v>
      </c>
    </row>
    <row r="2799" spans="1:2" x14ac:dyDescent="0.3">
      <c r="A2799" s="5">
        <v>39148</v>
      </c>
      <c r="B2799" s="10">
        <v>35260</v>
      </c>
    </row>
    <row r="2800" spans="1:2" x14ac:dyDescent="0.3">
      <c r="A2800" s="5">
        <v>39149</v>
      </c>
      <c r="B2800" s="10">
        <v>35361</v>
      </c>
    </row>
    <row r="2801" spans="1:2" x14ac:dyDescent="0.3">
      <c r="A2801" s="5">
        <v>39150</v>
      </c>
      <c r="B2801" s="10">
        <v>35463</v>
      </c>
    </row>
    <row r="2802" spans="1:2" x14ac:dyDescent="0.3">
      <c r="A2802" s="5">
        <v>39153</v>
      </c>
      <c r="B2802" s="10">
        <v>35544</v>
      </c>
    </row>
    <row r="2803" spans="1:2" x14ac:dyDescent="0.3">
      <c r="A2803" s="5">
        <v>39154</v>
      </c>
      <c r="B2803" s="10">
        <v>35604</v>
      </c>
    </row>
    <row r="2804" spans="1:2" x14ac:dyDescent="0.3">
      <c r="A2804" s="5">
        <v>39155</v>
      </c>
      <c r="B2804" s="10">
        <v>35699</v>
      </c>
    </row>
    <row r="2805" spans="1:2" x14ac:dyDescent="0.3">
      <c r="A2805" s="5">
        <v>39156</v>
      </c>
      <c r="B2805" s="10">
        <v>35840</v>
      </c>
    </row>
    <row r="2806" spans="1:2" x14ac:dyDescent="0.3">
      <c r="A2806" s="5">
        <v>39157</v>
      </c>
      <c r="B2806" s="10">
        <v>36009</v>
      </c>
    </row>
    <row r="2807" spans="1:2" x14ac:dyDescent="0.3">
      <c r="A2807" s="5">
        <v>39160</v>
      </c>
      <c r="B2807" s="10">
        <v>36041</v>
      </c>
    </row>
    <row r="2808" spans="1:2" x14ac:dyDescent="0.3">
      <c r="A2808" s="5">
        <v>39161</v>
      </c>
      <c r="B2808" s="10">
        <v>36127</v>
      </c>
    </row>
    <row r="2809" spans="1:2" x14ac:dyDescent="0.3">
      <c r="A2809" s="5">
        <v>39162</v>
      </c>
      <c r="B2809" s="10">
        <v>36190</v>
      </c>
    </row>
    <row r="2810" spans="1:2" x14ac:dyDescent="0.3">
      <c r="A2810" s="5">
        <v>39163</v>
      </c>
      <c r="B2810" s="10">
        <v>36272</v>
      </c>
    </row>
    <row r="2811" spans="1:2" x14ac:dyDescent="0.3">
      <c r="A2811" s="5">
        <v>39164</v>
      </c>
      <c r="B2811" s="10">
        <v>36382</v>
      </c>
    </row>
    <row r="2812" spans="1:2" x14ac:dyDescent="0.3">
      <c r="A2812" s="5">
        <v>39167</v>
      </c>
      <c r="B2812" s="10">
        <v>36486</v>
      </c>
    </row>
    <row r="2813" spans="1:2" x14ac:dyDescent="0.3">
      <c r="A2813" s="5">
        <v>39168</v>
      </c>
      <c r="B2813" s="10">
        <v>36570</v>
      </c>
    </row>
    <row r="2814" spans="1:2" x14ac:dyDescent="0.3">
      <c r="A2814" s="5">
        <v>39169</v>
      </c>
      <c r="B2814" s="10">
        <v>36644</v>
      </c>
    </row>
    <row r="2815" spans="1:2" x14ac:dyDescent="0.3">
      <c r="A2815" s="5">
        <v>39170</v>
      </c>
      <c r="B2815" s="10">
        <v>36739</v>
      </c>
    </row>
    <row r="2816" spans="1:2" x14ac:dyDescent="0.3">
      <c r="A2816" s="5">
        <v>39171</v>
      </c>
      <c r="B2816" s="10">
        <v>36849</v>
      </c>
    </row>
    <row r="2817" spans="1:2" x14ac:dyDescent="0.3">
      <c r="A2817" s="5">
        <v>39175</v>
      </c>
      <c r="B2817" s="10">
        <v>36894</v>
      </c>
    </row>
    <row r="2818" spans="1:2" x14ac:dyDescent="0.3">
      <c r="A2818" s="5">
        <v>39176</v>
      </c>
      <c r="B2818" s="10">
        <v>37002</v>
      </c>
    </row>
    <row r="2819" spans="1:2" x14ac:dyDescent="0.3">
      <c r="A2819" s="5">
        <v>39181</v>
      </c>
      <c r="B2819" s="10">
        <v>37104</v>
      </c>
    </row>
    <row r="2820" spans="1:2" x14ac:dyDescent="0.3">
      <c r="A2820" s="5">
        <v>39182</v>
      </c>
      <c r="B2820" s="10">
        <v>37204</v>
      </c>
    </row>
    <row r="2821" spans="1:2" x14ac:dyDescent="0.3">
      <c r="A2821" s="5">
        <v>39183</v>
      </c>
      <c r="B2821" s="10">
        <v>37292</v>
      </c>
    </row>
    <row r="2822" spans="1:2" x14ac:dyDescent="0.3">
      <c r="A2822" s="5">
        <v>39184</v>
      </c>
      <c r="B2822" s="10">
        <v>37429</v>
      </c>
    </row>
    <row r="2823" spans="1:2" x14ac:dyDescent="0.3">
      <c r="A2823" s="5">
        <v>39185</v>
      </c>
      <c r="B2823" s="10">
        <v>37509</v>
      </c>
    </row>
    <row r="2824" spans="1:2" x14ac:dyDescent="0.3">
      <c r="A2824" s="5">
        <v>39188</v>
      </c>
      <c r="B2824" s="10">
        <v>37601</v>
      </c>
    </row>
    <row r="2825" spans="1:2" x14ac:dyDescent="0.3">
      <c r="A2825" s="5">
        <v>39189</v>
      </c>
      <c r="B2825" s="10">
        <v>37744</v>
      </c>
    </row>
    <row r="2826" spans="1:2" x14ac:dyDescent="0.3">
      <c r="A2826" s="5">
        <v>39190</v>
      </c>
      <c r="B2826" s="10">
        <v>37862</v>
      </c>
    </row>
    <row r="2827" spans="1:2" x14ac:dyDescent="0.3">
      <c r="A2827" s="5">
        <v>39191</v>
      </c>
      <c r="B2827" s="10">
        <v>37921</v>
      </c>
    </row>
    <row r="2828" spans="1:2" x14ac:dyDescent="0.3">
      <c r="A2828" s="5">
        <v>39192</v>
      </c>
      <c r="B2828" s="10">
        <v>38000</v>
      </c>
    </row>
    <row r="2829" spans="1:2" x14ac:dyDescent="0.3">
      <c r="A2829" s="5">
        <v>39195</v>
      </c>
      <c r="B2829" s="10">
        <v>38110</v>
      </c>
    </row>
    <row r="2830" spans="1:2" x14ac:dyDescent="0.3">
      <c r="A2830" s="5">
        <v>39196</v>
      </c>
      <c r="B2830" s="10">
        <v>38234</v>
      </c>
    </row>
    <row r="2831" spans="1:2" x14ac:dyDescent="0.3">
      <c r="A2831" s="5">
        <v>39197</v>
      </c>
      <c r="B2831" s="10">
        <v>38333</v>
      </c>
    </row>
    <row r="2832" spans="1:2" x14ac:dyDescent="0.3">
      <c r="A2832" s="5">
        <v>39198</v>
      </c>
      <c r="B2832" s="10">
        <v>38383</v>
      </c>
    </row>
    <row r="2833" spans="1:2" x14ac:dyDescent="0.3">
      <c r="A2833" s="5">
        <v>39199</v>
      </c>
      <c r="B2833" s="10">
        <v>38483</v>
      </c>
    </row>
    <row r="2834" spans="1:2" x14ac:dyDescent="0.3">
      <c r="A2834" s="5">
        <v>39202</v>
      </c>
      <c r="B2834" s="10">
        <v>38606</v>
      </c>
    </row>
    <row r="2835" spans="1:2" x14ac:dyDescent="0.3">
      <c r="A2835" s="5">
        <v>39204</v>
      </c>
      <c r="B2835" s="10">
        <v>38733</v>
      </c>
    </row>
    <row r="2836" spans="1:2" x14ac:dyDescent="0.3">
      <c r="A2836" s="5">
        <v>39205</v>
      </c>
      <c r="B2836" s="10">
        <v>38760</v>
      </c>
    </row>
    <row r="2837" spans="1:2" x14ac:dyDescent="0.3">
      <c r="A2837" s="5">
        <v>39206</v>
      </c>
      <c r="B2837" s="10">
        <v>38844</v>
      </c>
    </row>
    <row r="2838" spans="1:2" x14ac:dyDescent="0.3">
      <c r="A2838" s="5">
        <v>39209</v>
      </c>
      <c r="B2838" s="10">
        <v>38989</v>
      </c>
    </row>
    <row r="2839" spans="1:2" x14ac:dyDescent="0.3">
      <c r="A2839" s="5">
        <v>39210</v>
      </c>
      <c r="B2839" s="10">
        <v>39115</v>
      </c>
    </row>
    <row r="2840" spans="1:2" x14ac:dyDescent="0.3">
      <c r="A2840" s="5">
        <v>39211</v>
      </c>
      <c r="B2840" s="10">
        <v>39224</v>
      </c>
    </row>
    <row r="2841" spans="1:2" x14ac:dyDescent="0.3">
      <c r="A2841" s="5">
        <v>39212</v>
      </c>
      <c r="B2841" s="10">
        <v>39290</v>
      </c>
    </row>
    <row r="2842" spans="1:2" x14ac:dyDescent="0.3">
      <c r="A2842" s="5">
        <v>39213</v>
      </c>
      <c r="B2842" s="10">
        <v>39369</v>
      </c>
    </row>
    <row r="2843" spans="1:2" x14ac:dyDescent="0.3">
      <c r="A2843" s="5">
        <v>39216</v>
      </c>
      <c r="B2843" s="10">
        <v>39478</v>
      </c>
    </row>
    <row r="2844" spans="1:2" x14ac:dyDescent="0.3">
      <c r="A2844" s="5">
        <v>39217</v>
      </c>
      <c r="B2844" s="10">
        <v>39612</v>
      </c>
    </row>
    <row r="2845" spans="1:2" x14ac:dyDescent="0.3">
      <c r="A2845" s="5">
        <v>39218</v>
      </c>
      <c r="B2845" s="10">
        <v>39700</v>
      </c>
    </row>
    <row r="2846" spans="1:2" x14ac:dyDescent="0.3">
      <c r="A2846" s="5">
        <v>39219</v>
      </c>
      <c r="B2846" s="10">
        <v>39825</v>
      </c>
    </row>
    <row r="2847" spans="1:2" x14ac:dyDescent="0.3">
      <c r="A2847" s="5">
        <v>39220</v>
      </c>
      <c r="B2847" s="10">
        <v>39896</v>
      </c>
    </row>
    <row r="2848" spans="1:2" x14ac:dyDescent="0.3">
      <c r="A2848" s="5">
        <v>39223</v>
      </c>
      <c r="B2848" s="10">
        <v>39967</v>
      </c>
    </row>
    <row r="2849" spans="1:2" x14ac:dyDescent="0.3">
      <c r="A2849" s="5">
        <v>39224</v>
      </c>
      <c r="B2849" s="10">
        <v>40069</v>
      </c>
    </row>
    <row r="2850" spans="1:2" x14ac:dyDescent="0.3">
      <c r="A2850" s="5">
        <v>39225</v>
      </c>
      <c r="B2850" s="10">
        <v>40181</v>
      </c>
    </row>
    <row r="2851" spans="1:2" x14ac:dyDescent="0.3">
      <c r="A2851" s="5">
        <v>39226</v>
      </c>
      <c r="B2851" s="10">
        <v>40263</v>
      </c>
    </row>
    <row r="2852" spans="1:2" x14ac:dyDescent="0.3">
      <c r="A2852" s="5">
        <v>39230</v>
      </c>
      <c r="B2852" s="10">
        <v>40279</v>
      </c>
    </row>
    <row r="2853" spans="1:2" x14ac:dyDescent="0.3">
      <c r="A2853" s="5">
        <v>39231</v>
      </c>
      <c r="B2853" s="10">
        <v>40372</v>
      </c>
    </row>
    <row r="2854" spans="1:2" x14ac:dyDescent="0.3">
      <c r="A2854" s="5">
        <v>39232</v>
      </c>
      <c r="B2854" s="10">
        <v>40448</v>
      </c>
    </row>
    <row r="2855" spans="1:2" x14ac:dyDescent="0.3">
      <c r="A2855" s="5">
        <v>39233</v>
      </c>
      <c r="B2855" s="10">
        <v>40581</v>
      </c>
    </row>
    <row r="2856" spans="1:2" x14ac:dyDescent="0.3">
      <c r="A2856" s="5">
        <v>39234</v>
      </c>
      <c r="B2856" s="10">
        <v>40694</v>
      </c>
    </row>
    <row r="2857" spans="1:2" x14ac:dyDescent="0.3">
      <c r="A2857" s="5">
        <v>39237</v>
      </c>
      <c r="B2857" s="10">
        <v>40805</v>
      </c>
    </row>
    <row r="2858" spans="1:2" x14ac:dyDescent="0.3">
      <c r="A2858" s="5">
        <v>39238</v>
      </c>
      <c r="B2858" s="10">
        <v>41005</v>
      </c>
    </row>
    <row r="2859" spans="1:2" x14ac:dyDescent="0.3">
      <c r="A2859" s="5">
        <v>39239</v>
      </c>
      <c r="B2859" s="10">
        <v>41086</v>
      </c>
    </row>
    <row r="2860" spans="1:2" x14ac:dyDescent="0.3">
      <c r="A2860" s="5">
        <v>39240</v>
      </c>
      <c r="B2860" s="10">
        <v>41146</v>
      </c>
    </row>
    <row r="2861" spans="1:2" x14ac:dyDescent="0.3">
      <c r="A2861" s="5">
        <v>39241</v>
      </c>
      <c r="B2861" s="10">
        <v>41206</v>
      </c>
    </row>
    <row r="2862" spans="1:2" x14ac:dyDescent="0.3">
      <c r="A2862" s="5">
        <v>39244</v>
      </c>
      <c r="B2862" s="10">
        <v>41356</v>
      </c>
    </row>
    <row r="2863" spans="1:2" x14ac:dyDescent="0.3">
      <c r="A2863" s="5">
        <v>39245</v>
      </c>
      <c r="B2863" s="10">
        <v>41609</v>
      </c>
    </row>
    <row r="2864" spans="1:2" x14ac:dyDescent="0.3">
      <c r="A2864" s="5">
        <v>39246</v>
      </c>
      <c r="B2864" s="10">
        <v>41724</v>
      </c>
    </row>
    <row r="2865" spans="1:2" x14ac:dyDescent="0.3">
      <c r="A2865" s="5">
        <v>39247</v>
      </c>
      <c r="B2865" s="10">
        <v>41889</v>
      </c>
    </row>
    <row r="2866" spans="1:2" x14ac:dyDescent="0.3">
      <c r="A2866" s="5">
        <v>39248</v>
      </c>
      <c r="B2866" s="10">
        <v>42079</v>
      </c>
    </row>
    <row r="2867" spans="1:2" x14ac:dyDescent="0.3">
      <c r="A2867" s="5">
        <v>39252</v>
      </c>
      <c r="B2867" s="10">
        <v>42230</v>
      </c>
    </row>
    <row r="2868" spans="1:2" x14ac:dyDescent="0.3">
      <c r="A2868" s="5">
        <v>39253</v>
      </c>
      <c r="B2868" s="10">
        <v>42471</v>
      </c>
    </row>
    <row r="2869" spans="1:2" x14ac:dyDescent="0.3">
      <c r="A2869" s="5">
        <v>39254</v>
      </c>
      <c r="B2869" s="10">
        <v>42605</v>
      </c>
    </row>
    <row r="2870" spans="1:2" x14ac:dyDescent="0.3">
      <c r="A2870" s="5">
        <v>39255</v>
      </c>
      <c r="B2870" s="10">
        <v>42731</v>
      </c>
    </row>
    <row r="2871" spans="1:2" x14ac:dyDescent="0.3">
      <c r="A2871" s="5">
        <v>39258</v>
      </c>
      <c r="B2871" s="10">
        <v>42809</v>
      </c>
    </row>
    <row r="2872" spans="1:2" x14ac:dyDescent="0.3">
      <c r="A2872" s="5">
        <v>39259</v>
      </c>
      <c r="B2872" s="10">
        <v>42873</v>
      </c>
    </row>
    <row r="2873" spans="1:2" x14ac:dyDescent="0.3">
      <c r="A2873" s="5">
        <v>39260</v>
      </c>
      <c r="B2873" s="10">
        <v>42958</v>
      </c>
    </row>
    <row r="2874" spans="1:2" x14ac:dyDescent="0.3">
      <c r="A2874" s="5">
        <v>39261</v>
      </c>
      <c r="B2874" s="10">
        <v>43040</v>
      </c>
    </row>
    <row r="2875" spans="1:2" x14ac:dyDescent="0.3">
      <c r="A2875" s="5">
        <v>39262</v>
      </c>
      <c r="B2875" s="10">
        <v>43157</v>
      </c>
    </row>
    <row r="2876" spans="1:2" x14ac:dyDescent="0.3">
      <c r="A2876" s="5">
        <v>39265</v>
      </c>
      <c r="B2876" s="10">
        <v>43313</v>
      </c>
    </row>
    <row r="2877" spans="1:2" x14ac:dyDescent="0.3">
      <c r="A2877" s="5">
        <v>39266</v>
      </c>
      <c r="B2877" s="10">
        <v>43390</v>
      </c>
    </row>
    <row r="2878" spans="1:2" x14ac:dyDescent="0.3">
      <c r="A2878" s="5">
        <v>39267</v>
      </c>
      <c r="B2878" s="10">
        <v>43390</v>
      </c>
    </row>
    <row r="2879" spans="1:2" x14ac:dyDescent="0.3">
      <c r="A2879" s="5">
        <v>39268</v>
      </c>
      <c r="B2879" s="10">
        <v>43437</v>
      </c>
    </row>
    <row r="2880" spans="1:2" x14ac:dyDescent="0.3">
      <c r="A2880" s="5">
        <v>39269</v>
      </c>
      <c r="B2880" s="10">
        <v>43513</v>
      </c>
    </row>
    <row r="2881" spans="1:2" x14ac:dyDescent="0.3">
      <c r="A2881" s="5">
        <v>39273</v>
      </c>
      <c r="B2881" s="10">
        <v>43597</v>
      </c>
    </row>
    <row r="2882" spans="1:2" x14ac:dyDescent="0.3">
      <c r="A2882" s="5">
        <v>39274</v>
      </c>
      <c r="B2882" s="10">
        <v>43696</v>
      </c>
    </row>
    <row r="2883" spans="1:2" x14ac:dyDescent="0.3">
      <c r="A2883" s="5">
        <v>39275</v>
      </c>
      <c r="B2883" s="10">
        <v>43800</v>
      </c>
    </row>
    <row r="2884" spans="1:2" x14ac:dyDescent="0.3">
      <c r="A2884" s="5">
        <v>39276</v>
      </c>
      <c r="B2884" s="10">
        <v>43891</v>
      </c>
    </row>
    <row r="2885" spans="1:2" x14ac:dyDescent="0.3">
      <c r="A2885" s="5">
        <v>39279</v>
      </c>
      <c r="B2885" s="10">
        <v>43936</v>
      </c>
    </row>
    <row r="2886" spans="1:2" x14ac:dyDescent="0.3">
      <c r="A2886" s="5">
        <v>39280</v>
      </c>
      <c r="B2886" s="10">
        <v>44004</v>
      </c>
    </row>
    <row r="2887" spans="1:2" x14ac:dyDescent="0.3">
      <c r="A2887" s="5">
        <v>39281</v>
      </c>
      <c r="B2887" s="10">
        <v>44058</v>
      </c>
    </row>
    <row r="2888" spans="1:2" x14ac:dyDescent="0.3">
      <c r="A2888" s="5">
        <v>39282</v>
      </c>
      <c r="B2888" s="10">
        <v>44104</v>
      </c>
    </row>
    <row r="2889" spans="1:2" x14ac:dyDescent="0.3">
      <c r="A2889" s="5">
        <v>39283</v>
      </c>
      <c r="B2889" s="10">
        <v>44181</v>
      </c>
    </row>
    <row r="2890" spans="1:2" x14ac:dyDescent="0.3">
      <c r="A2890" s="5">
        <v>39286</v>
      </c>
      <c r="B2890" s="10">
        <v>44234</v>
      </c>
    </row>
    <row r="2891" spans="1:2" x14ac:dyDescent="0.3">
      <c r="A2891" s="5">
        <v>39287</v>
      </c>
      <c r="B2891" s="10">
        <v>44234</v>
      </c>
    </row>
    <row r="2892" spans="1:2" x14ac:dyDescent="0.3">
      <c r="A2892" s="5">
        <v>39288</v>
      </c>
      <c r="B2892" s="10">
        <v>44190</v>
      </c>
    </row>
    <row r="2893" spans="1:2" x14ac:dyDescent="0.3">
      <c r="A2893" s="5">
        <v>39289</v>
      </c>
      <c r="B2893" s="10">
        <v>44186</v>
      </c>
    </row>
    <row r="2894" spans="1:2" x14ac:dyDescent="0.3">
      <c r="A2894" s="5">
        <v>39290</v>
      </c>
      <c r="B2894" s="10">
        <v>44186</v>
      </c>
    </row>
    <row r="2895" spans="1:2" x14ac:dyDescent="0.3">
      <c r="A2895" s="5">
        <v>39293</v>
      </c>
      <c r="B2895" s="10">
        <v>44189</v>
      </c>
    </row>
    <row r="2896" spans="1:2" x14ac:dyDescent="0.3">
      <c r="A2896" s="5">
        <v>39294</v>
      </c>
      <c r="B2896" s="10">
        <v>44202</v>
      </c>
    </row>
    <row r="2897" spans="1:2" x14ac:dyDescent="0.3">
      <c r="A2897" s="5">
        <v>39295</v>
      </c>
      <c r="B2897" s="10">
        <v>44153</v>
      </c>
    </row>
    <row r="2898" spans="1:2" x14ac:dyDescent="0.3">
      <c r="A2898" s="5">
        <v>39296</v>
      </c>
      <c r="B2898" s="10">
        <v>44159</v>
      </c>
    </row>
    <row r="2899" spans="1:2" x14ac:dyDescent="0.3">
      <c r="A2899" s="5">
        <v>39297</v>
      </c>
      <c r="B2899" s="10">
        <v>44002</v>
      </c>
    </row>
    <row r="2900" spans="1:2" x14ac:dyDescent="0.3">
      <c r="A2900" s="5">
        <v>39300</v>
      </c>
      <c r="B2900" s="10">
        <v>43871</v>
      </c>
    </row>
    <row r="2901" spans="1:2" x14ac:dyDescent="0.3">
      <c r="A2901" s="5">
        <v>39301</v>
      </c>
      <c r="B2901" s="10">
        <v>43901</v>
      </c>
    </row>
    <row r="2902" spans="1:2" x14ac:dyDescent="0.3">
      <c r="A2902" s="5">
        <v>39302</v>
      </c>
      <c r="B2902" s="10">
        <v>43901</v>
      </c>
    </row>
    <row r="2903" spans="1:2" x14ac:dyDescent="0.3">
      <c r="A2903" s="5">
        <v>39303</v>
      </c>
      <c r="B2903" s="10">
        <v>43885</v>
      </c>
    </row>
    <row r="2904" spans="1:2" x14ac:dyDescent="0.3">
      <c r="A2904" s="5">
        <v>39304</v>
      </c>
      <c r="B2904" s="10">
        <v>43918</v>
      </c>
    </row>
    <row r="2905" spans="1:2" x14ac:dyDescent="0.3">
      <c r="A2905" s="5">
        <v>39307</v>
      </c>
      <c r="B2905" s="10">
        <v>43904</v>
      </c>
    </row>
    <row r="2906" spans="1:2" x14ac:dyDescent="0.3">
      <c r="A2906" s="5">
        <v>39308</v>
      </c>
      <c r="B2906" s="10">
        <v>43907</v>
      </c>
    </row>
    <row r="2907" spans="1:2" x14ac:dyDescent="0.3">
      <c r="A2907" s="5">
        <v>39309</v>
      </c>
      <c r="B2907" s="10">
        <v>43759</v>
      </c>
    </row>
    <row r="2908" spans="1:2" x14ac:dyDescent="0.3">
      <c r="A2908" s="5">
        <v>39310</v>
      </c>
      <c r="B2908" s="10">
        <v>43675</v>
      </c>
    </row>
    <row r="2909" spans="1:2" x14ac:dyDescent="0.3">
      <c r="A2909" s="5">
        <v>39311</v>
      </c>
      <c r="B2909" s="10">
        <v>43722</v>
      </c>
    </row>
    <row r="2910" spans="1:2" x14ac:dyDescent="0.3">
      <c r="A2910" s="5">
        <v>39315</v>
      </c>
      <c r="B2910" s="10">
        <v>43687</v>
      </c>
    </row>
    <row r="2911" spans="1:2" x14ac:dyDescent="0.3">
      <c r="A2911" s="5">
        <v>39316</v>
      </c>
      <c r="B2911" s="10">
        <v>43714</v>
      </c>
    </row>
    <row r="2912" spans="1:2" x14ac:dyDescent="0.3">
      <c r="A2912" s="5">
        <v>39317</v>
      </c>
      <c r="B2912" s="10">
        <v>43692</v>
      </c>
    </row>
    <row r="2913" spans="1:2" x14ac:dyDescent="0.3">
      <c r="A2913" s="5">
        <v>39318</v>
      </c>
      <c r="B2913" s="10">
        <v>43539</v>
      </c>
    </row>
    <row r="2914" spans="1:2" x14ac:dyDescent="0.3">
      <c r="A2914" s="5">
        <v>39321</v>
      </c>
      <c r="B2914" s="10">
        <v>43402</v>
      </c>
    </row>
    <row r="2915" spans="1:2" x14ac:dyDescent="0.3">
      <c r="A2915" s="5">
        <v>39322</v>
      </c>
      <c r="B2915" s="10">
        <v>43265</v>
      </c>
    </row>
    <row r="2916" spans="1:2" x14ac:dyDescent="0.3">
      <c r="A2916" s="5">
        <v>39323</v>
      </c>
      <c r="B2916" s="10">
        <v>43232</v>
      </c>
    </row>
    <row r="2917" spans="1:2" x14ac:dyDescent="0.3">
      <c r="A2917" s="5">
        <v>39324</v>
      </c>
      <c r="B2917" s="10">
        <v>43123</v>
      </c>
    </row>
    <row r="2918" spans="1:2" x14ac:dyDescent="0.3">
      <c r="A2918" s="5">
        <v>39325</v>
      </c>
      <c r="B2918" s="10">
        <v>43160</v>
      </c>
    </row>
    <row r="2919" spans="1:2" x14ac:dyDescent="0.3">
      <c r="A2919" s="5">
        <v>39328</v>
      </c>
      <c r="B2919" s="10">
        <v>43170</v>
      </c>
    </row>
    <row r="2920" spans="1:2" x14ac:dyDescent="0.3">
      <c r="A2920" s="5">
        <v>39329</v>
      </c>
      <c r="B2920" s="10">
        <v>43100</v>
      </c>
    </row>
    <row r="2921" spans="1:2" x14ac:dyDescent="0.3">
      <c r="A2921" s="5">
        <v>39330</v>
      </c>
      <c r="B2921" s="10">
        <v>43022</v>
      </c>
    </row>
    <row r="2922" spans="1:2" x14ac:dyDescent="0.3">
      <c r="A2922" s="5">
        <v>39331</v>
      </c>
      <c r="B2922" s="10">
        <v>43008</v>
      </c>
    </row>
    <row r="2923" spans="1:2" x14ac:dyDescent="0.3">
      <c r="A2923" s="5">
        <v>39332</v>
      </c>
      <c r="B2923" s="10">
        <v>42997</v>
      </c>
    </row>
    <row r="2924" spans="1:2" x14ac:dyDescent="0.3">
      <c r="A2924" s="5">
        <v>39335</v>
      </c>
      <c r="B2924" s="10">
        <v>42981</v>
      </c>
    </row>
    <row r="2925" spans="1:2" x14ac:dyDescent="0.3">
      <c r="A2925" s="5">
        <v>39336</v>
      </c>
      <c r="B2925" s="10">
        <v>43020</v>
      </c>
    </row>
    <row r="2926" spans="1:2" x14ac:dyDescent="0.3">
      <c r="A2926" s="5">
        <v>39337</v>
      </c>
      <c r="B2926" s="10">
        <v>43061</v>
      </c>
    </row>
    <row r="2927" spans="1:2" x14ac:dyDescent="0.3">
      <c r="A2927" s="5">
        <v>39338</v>
      </c>
      <c r="B2927" s="10">
        <v>43060</v>
      </c>
    </row>
    <row r="2928" spans="1:2" x14ac:dyDescent="0.3">
      <c r="A2928" s="5">
        <v>39339</v>
      </c>
      <c r="B2928" s="10">
        <v>43020</v>
      </c>
    </row>
    <row r="2929" spans="1:2" x14ac:dyDescent="0.3">
      <c r="A2929" s="5">
        <v>39342</v>
      </c>
      <c r="B2929" s="10">
        <v>42789</v>
      </c>
    </row>
    <row r="2930" spans="1:2" x14ac:dyDescent="0.3">
      <c r="A2930" s="5">
        <v>39343</v>
      </c>
      <c r="B2930" s="10">
        <v>42835</v>
      </c>
    </row>
    <row r="2931" spans="1:2" x14ac:dyDescent="0.3">
      <c r="A2931" s="5">
        <v>39344</v>
      </c>
      <c r="B2931" s="10">
        <v>42826</v>
      </c>
    </row>
    <row r="2932" spans="1:2" x14ac:dyDescent="0.3">
      <c r="A2932" s="5">
        <v>39345</v>
      </c>
      <c r="B2932" s="10">
        <v>42868</v>
      </c>
    </row>
    <row r="2933" spans="1:2" x14ac:dyDescent="0.3">
      <c r="A2933" s="5">
        <v>39346</v>
      </c>
      <c r="B2933" s="10">
        <v>42769</v>
      </c>
    </row>
    <row r="2934" spans="1:2" x14ac:dyDescent="0.3">
      <c r="A2934" s="5">
        <v>39349</v>
      </c>
      <c r="B2934" s="10">
        <v>42696</v>
      </c>
    </row>
    <row r="2935" spans="1:2" x14ac:dyDescent="0.3">
      <c r="A2935" s="5">
        <v>39350</v>
      </c>
      <c r="B2935" s="10">
        <v>42739</v>
      </c>
    </row>
    <row r="2936" spans="1:2" x14ac:dyDescent="0.3">
      <c r="A2936" s="5">
        <v>39351</v>
      </c>
      <c r="B2936" s="10">
        <v>42669</v>
      </c>
    </row>
    <row r="2937" spans="1:2" x14ac:dyDescent="0.3">
      <c r="A2937" s="5">
        <v>39352</v>
      </c>
      <c r="B2937" s="10">
        <v>42749</v>
      </c>
    </row>
    <row r="2938" spans="1:2" x14ac:dyDescent="0.3">
      <c r="A2938" s="5">
        <v>39353</v>
      </c>
      <c r="B2938" s="10">
        <v>42891</v>
      </c>
    </row>
    <row r="2939" spans="1:2" x14ac:dyDescent="0.3">
      <c r="A2939" s="5">
        <v>39356</v>
      </c>
      <c r="B2939" s="10">
        <v>42774</v>
      </c>
    </row>
    <row r="2940" spans="1:2" x14ac:dyDescent="0.3">
      <c r="A2940" s="5">
        <v>39357</v>
      </c>
      <c r="B2940" s="10">
        <v>42691</v>
      </c>
    </row>
    <row r="2941" spans="1:2" x14ac:dyDescent="0.3">
      <c r="A2941" s="5">
        <v>39358</v>
      </c>
      <c r="B2941" s="10">
        <v>42618</v>
      </c>
    </row>
    <row r="2942" spans="1:2" x14ac:dyDescent="0.3">
      <c r="A2942" s="5">
        <v>39359</v>
      </c>
      <c r="B2942" s="10">
        <v>42501</v>
      </c>
    </row>
    <row r="2943" spans="1:2" x14ac:dyDescent="0.3">
      <c r="A2943" s="5">
        <v>39360</v>
      </c>
      <c r="B2943" s="10">
        <v>42700</v>
      </c>
    </row>
    <row r="2944" spans="1:2" x14ac:dyDescent="0.3">
      <c r="A2944" s="5">
        <v>39363</v>
      </c>
      <c r="B2944" s="10">
        <v>42682</v>
      </c>
    </row>
    <row r="2945" spans="1:2" x14ac:dyDescent="0.3">
      <c r="A2945" s="5">
        <v>39364</v>
      </c>
      <c r="B2945" s="10">
        <v>42609</v>
      </c>
    </row>
    <row r="2946" spans="1:2" x14ac:dyDescent="0.3">
      <c r="A2946" s="5">
        <v>39365</v>
      </c>
      <c r="B2946" s="10">
        <v>42621</v>
      </c>
    </row>
    <row r="2947" spans="1:2" x14ac:dyDescent="0.3">
      <c r="A2947" s="5">
        <v>39366</v>
      </c>
      <c r="B2947" s="10">
        <v>42620</v>
      </c>
    </row>
    <row r="2948" spans="1:2" x14ac:dyDescent="0.3">
      <c r="A2948" s="5">
        <v>39367</v>
      </c>
      <c r="B2948" s="10">
        <v>42518</v>
      </c>
    </row>
    <row r="2949" spans="1:2" x14ac:dyDescent="0.3">
      <c r="A2949" s="5">
        <v>39371</v>
      </c>
      <c r="B2949" s="10">
        <v>42550</v>
      </c>
    </row>
    <row r="2950" spans="1:2" x14ac:dyDescent="0.3">
      <c r="A2950" s="5">
        <v>39372</v>
      </c>
      <c r="B2950" s="10">
        <v>42532</v>
      </c>
    </row>
    <row r="2951" spans="1:2" x14ac:dyDescent="0.3">
      <c r="A2951" s="5">
        <v>39373</v>
      </c>
      <c r="B2951" s="10">
        <v>42611</v>
      </c>
    </row>
    <row r="2952" spans="1:2" x14ac:dyDescent="0.3">
      <c r="A2952" s="5">
        <v>39374</v>
      </c>
      <c r="B2952" s="10">
        <v>42624</v>
      </c>
    </row>
    <row r="2953" spans="1:2" x14ac:dyDescent="0.3">
      <c r="A2953" s="5">
        <v>39377</v>
      </c>
      <c r="B2953" s="10">
        <v>42588</v>
      </c>
    </row>
    <row r="2954" spans="1:2" x14ac:dyDescent="0.3">
      <c r="A2954" s="5">
        <v>39378</v>
      </c>
      <c r="B2954" s="10">
        <v>42976</v>
      </c>
    </row>
    <row r="2955" spans="1:2" x14ac:dyDescent="0.3">
      <c r="A2955" s="5">
        <v>39379</v>
      </c>
      <c r="B2955" s="10">
        <v>42932</v>
      </c>
    </row>
    <row r="2956" spans="1:2" x14ac:dyDescent="0.3">
      <c r="A2956" s="5">
        <v>39380</v>
      </c>
      <c r="B2956" s="10">
        <v>42972</v>
      </c>
    </row>
    <row r="2957" spans="1:2" x14ac:dyDescent="0.3">
      <c r="A2957" s="5">
        <v>39381</v>
      </c>
      <c r="B2957" s="10">
        <v>43032</v>
      </c>
    </row>
    <row r="2958" spans="1:2" x14ac:dyDescent="0.3">
      <c r="A2958" s="5">
        <v>39384</v>
      </c>
      <c r="B2958" s="10">
        <v>42984</v>
      </c>
    </row>
    <row r="2959" spans="1:2" x14ac:dyDescent="0.3">
      <c r="A2959" s="5">
        <v>39385</v>
      </c>
      <c r="B2959" s="10">
        <v>43025</v>
      </c>
    </row>
    <row r="2960" spans="1:2" x14ac:dyDescent="0.3">
      <c r="A2960" s="5">
        <v>39386</v>
      </c>
      <c r="B2960" s="10">
        <v>43000</v>
      </c>
    </row>
    <row r="2961" spans="1:2" x14ac:dyDescent="0.3">
      <c r="A2961" s="5">
        <v>39387</v>
      </c>
      <c r="B2961" s="10">
        <v>42987</v>
      </c>
    </row>
    <row r="2962" spans="1:2" x14ac:dyDescent="0.3">
      <c r="A2962" s="5">
        <v>39388</v>
      </c>
      <c r="B2962" s="10">
        <v>43129</v>
      </c>
    </row>
    <row r="2963" spans="1:2" x14ac:dyDescent="0.3">
      <c r="A2963" s="5">
        <v>39391</v>
      </c>
      <c r="B2963" s="10">
        <v>43131</v>
      </c>
    </row>
    <row r="2964" spans="1:2" x14ac:dyDescent="0.3">
      <c r="A2964" s="5">
        <v>39393</v>
      </c>
      <c r="B2964" s="10">
        <v>43268</v>
      </c>
    </row>
    <row r="2965" spans="1:2" x14ac:dyDescent="0.3">
      <c r="A2965" s="5">
        <v>39394</v>
      </c>
      <c r="B2965" s="10">
        <v>43304</v>
      </c>
    </row>
    <row r="2966" spans="1:2" x14ac:dyDescent="0.3">
      <c r="A2966" s="5">
        <v>39395</v>
      </c>
      <c r="B2966" s="10">
        <v>43401</v>
      </c>
    </row>
    <row r="2967" spans="1:2" x14ac:dyDescent="0.3">
      <c r="A2967" s="5">
        <v>39398</v>
      </c>
      <c r="B2967" s="10">
        <v>43416</v>
      </c>
    </row>
    <row r="2968" spans="1:2" x14ac:dyDescent="0.3">
      <c r="A2968" s="5">
        <v>39399</v>
      </c>
      <c r="B2968" s="10">
        <v>43436</v>
      </c>
    </row>
    <row r="2969" spans="1:2" x14ac:dyDescent="0.3">
      <c r="A2969" s="5">
        <v>39400</v>
      </c>
      <c r="B2969" s="10">
        <v>43515</v>
      </c>
    </row>
    <row r="2970" spans="1:2" x14ac:dyDescent="0.3">
      <c r="A2970" s="5">
        <v>39401</v>
      </c>
      <c r="B2970" s="10">
        <v>43481</v>
      </c>
    </row>
    <row r="2971" spans="1:2" x14ac:dyDescent="0.3">
      <c r="A2971" s="5">
        <v>39402</v>
      </c>
      <c r="B2971" s="10">
        <v>43615</v>
      </c>
    </row>
    <row r="2972" spans="1:2" x14ac:dyDescent="0.3">
      <c r="A2972" s="5">
        <v>39405</v>
      </c>
      <c r="B2972" s="10">
        <v>44020</v>
      </c>
    </row>
    <row r="2973" spans="1:2" x14ac:dyDescent="0.3">
      <c r="A2973" s="5">
        <v>39406</v>
      </c>
      <c r="B2973" s="10">
        <v>44180</v>
      </c>
    </row>
    <row r="2974" spans="1:2" x14ac:dyDescent="0.3">
      <c r="A2974" s="5">
        <v>39407</v>
      </c>
      <c r="B2974" s="10">
        <v>44388</v>
      </c>
    </row>
    <row r="2975" spans="1:2" x14ac:dyDescent="0.3">
      <c r="A2975" s="5">
        <v>39408</v>
      </c>
      <c r="B2975" s="10">
        <v>44407</v>
      </c>
    </row>
    <row r="2976" spans="1:2" x14ac:dyDescent="0.3">
      <c r="A2976" s="5">
        <v>39409</v>
      </c>
      <c r="B2976" s="10">
        <v>44440</v>
      </c>
    </row>
    <row r="2977" spans="1:2" x14ac:dyDescent="0.3">
      <c r="A2977" s="5">
        <v>39412</v>
      </c>
      <c r="B2977" s="10">
        <v>44535</v>
      </c>
    </row>
    <row r="2978" spans="1:2" x14ac:dyDescent="0.3">
      <c r="A2978" s="5">
        <v>39413</v>
      </c>
      <c r="B2978" s="10">
        <v>44585</v>
      </c>
    </row>
    <row r="2979" spans="1:2" x14ac:dyDescent="0.3">
      <c r="A2979" s="5">
        <v>39414</v>
      </c>
      <c r="B2979" s="10">
        <v>44618</v>
      </c>
    </row>
    <row r="2980" spans="1:2" x14ac:dyDescent="0.3">
      <c r="A2980" s="5">
        <v>39415</v>
      </c>
      <c r="B2980" s="10">
        <v>44752</v>
      </c>
    </row>
    <row r="2981" spans="1:2" x14ac:dyDescent="0.3">
      <c r="A2981" s="5">
        <v>39416</v>
      </c>
      <c r="B2981" s="10">
        <v>44860</v>
      </c>
    </row>
    <row r="2982" spans="1:2" x14ac:dyDescent="0.3">
      <c r="A2982" s="5">
        <v>39419</v>
      </c>
      <c r="B2982" s="10">
        <v>44985</v>
      </c>
    </row>
    <row r="2983" spans="1:2" x14ac:dyDescent="0.3">
      <c r="A2983" s="5">
        <v>39420</v>
      </c>
      <c r="B2983" s="10">
        <v>45121</v>
      </c>
    </row>
    <row r="2984" spans="1:2" x14ac:dyDescent="0.3">
      <c r="A2984" s="5">
        <v>39421</v>
      </c>
      <c r="B2984" s="10">
        <v>45192</v>
      </c>
    </row>
    <row r="2985" spans="1:2" x14ac:dyDescent="0.3">
      <c r="A2985" s="5">
        <v>39422</v>
      </c>
      <c r="B2985" s="10">
        <v>45321</v>
      </c>
    </row>
    <row r="2986" spans="1:2" x14ac:dyDescent="0.3">
      <c r="A2986" s="5">
        <v>39423</v>
      </c>
      <c r="B2986" s="10">
        <v>45511</v>
      </c>
    </row>
    <row r="2987" spans="1:2" x14ac:dyDescent="0.3">
      <c r="A2987" s="5">
        <v>39426</v>
      </c>
      <c r="B2987" s="10">
        <v>45566</v>
      </c>
    </row>
    <row r="2988" spans="1:2" x14ac:dyDescent="0.3">
      <c r="A2988" s="5">
        <v>39427</v>
      </c>
      <c r="B2988" s="10">
        <v>45646</v>
      </c>
    </row>
    <row r="2989" spans="1:2" x14ac:dyDescent="0.3">
      <c r="A2989" s="5">
        <v>39428</v>
      </c>
      <c r="B2989" s="10">
        <v>45721</v>
      </c>
    </row>
    <row r="2990" spans="1:2" x14ac:dyDescent="0.3">
      <c r="A2990" s="5">
        <v>39429</v>
      </c>
      <c r="B2990" s="10">
        <v>45744</v>
      </c>
    </row>
    <row r="2991" spans="1:2" x14ac:dyDescent="0.3">
      <c r="A2991" s="5">
        <v>39430</v>
      </c>
      <c r="B2991" s="10">
        <v>45722</v>
      </c>
    </row>
    <row r="2992" spans="1:2" x14ac:dyDescent="0.3">
      <c r="A2992" s="5">
        <v>39433</v>
      </c>
      <c r="B2992" s="10">
        <v>45727</v>
      </c>
    </row>
    <row r="2993" spans="1:2" x14ac:dyDescent="0.3">
      <c r="A2993" s="5">
        <v>39434</v>
      </c>
      <c r="B2993" s="10">
        <v>45834</v>
      </c>
    </row>
    <row r="2994" spans="1:2" x14ac:dyDescent="0.3">
      <c r="A2994" s="5">
        <v>39435</v>
      </c>
      <c r="B2994" s="10">
        <v>45862</v>
      </c>
    </row>
    <row r="2995" spans="1:2" x14ac:dyDescent="0.3">
      <c r="A2995" s="5">
        <v>39436</v>
      </c>
      <c r="B2995" s="10">
        <v>45905</v>
      </c>
    </row>
    <row r="2996" spans="1:2" x14ac:dyDescent="0.3">
      <c r="A2996" s="5">
        <v>39437</v>
      </c>
      <c r="B2996" s="10">
        <v>46025</v>
      </c>
    </row>
    <row r="2997" spans="1:2" x14ac:dyDescent="0.3">
      <c r="A2997" s="5">
        <v>39442</v>
      </c>
      <c r="B2997" s="10">
        <v>46068</v>
      </c>
    </row>
    <row r="2998" spans="1:2" x14ac:dyDescent="0.3">
      <c r="A2998" s="5">
        <v>39443</v>
      </c>
      <c r="B2998" s="10">
        <v>46095</v>
      </c>
    </row>
    <row r="2999" spans="1:2" x14ac:dyDescent="0.3">
      <c r="A2999" s="5">
        <v>39444</v>
      </c>
      <c r="B2999" s="10">
        <v>46166</v>
      </c>
    </row>
    <row r="3000" spans="1:2" x14ac:dyDescent="0.3">
      <c r="A3000" s="5">
        <v>39449</v>
      </c>
      <c r="B3000" s="10">
        <v>46292</v>
      </c>
    </row>
    <row r="3001" spans="1:2" x14ac:dyDescent="0.3">
      <c r="A3001" s="5">
        <v>39450</v>
      </c>
      <c r="B3001" s="10">
        <v>46357</v>
      </c>
    </row>
    <row r="3002" spans="1:2" x14ac:dyDescent="0.3">
      <c r="A3002" s="5">
        <v>39451</v>
      </c>
      <c r="B3002" s="10">
        <v>46362</v>
      </c>
    </row>
    <row r="3003" spans="1:2" x14ac:dyDescent="0.3">
      <c r="A3003" s="5">
        <v>39454</v>
      </c>
      <c r="B3003" s="10">
        <v>46520</v>
      </c>
    </row>
    <row r="3004" spans="1:2" x14ac:dyDescent="0.3">
      <c r="A3004" s="5">
        <v>39455</v>
      </c>
      <c r="B3004" s="10">
        <v>46594</v>
      </c>
    </row>
    <row r="3005" spans="1:2" x14ac:dyDescent="0.3">
      <c r="A3005" s="5">
        <v>39456</v>
      </c>
      <c r="B3005" s="10">
        <v>46564</v>
      </c>
    </row>
    <row r="3006" spans="1:2" x14ac:dyDescent="0.3">
      <c r="A3006" s="5">
        <v>39457</v>
      </c>
      <c r="B3006" s="10">
        <v>46686</v>
      </c>
    </row>
    <row r="3007" spans="1:2" x14ac:dyDescent="0.3">
      <c r="A3007" s="5">
        <v>39458</v>
      </c>
      <c r="B3007" s="10">
        <v>46748</v>
      </c>
    </row>
    <row r="3008" spans="1:2" x14ac:dyDescent="0.3">
      <c r="A3008" s="5">
        <v>39461</v>
      </c>
      <c r="B3008" s="10">
        <v>46934</v>
      </c>
    </row>
    <row r="3009" spans="1:2" x14ac:dyDescent="0.3">
      <c r="A3009" s="5">
        <v>39462</v>
      </c>
      <c r="B3009" s="10">
        <v>46929</v>
      </c>
    </row>
    <row r="3010" spans="1:2" x14ac:dyDescent="0.3">
      <c r="A3010" s="5">
        <v>39463</v>
      </c>
      <c r="B3010" s="10">
        <v>46987</v>
      </c>
    </row>
    <row r="3011" spans="1:2" x14ac:dyDescent="0.3">
      <c r="A3011" s="5">
        <v>39464</v>
      </c>
      <c r="B3011" s="10">
        <v>47042</v>
      </c>
    </row>
    <row r="3012" spans="1:2" x14ac:dyDescent="0.3">
      <c r="A3012" s="5">
        <v>39465</v>
      </c>
      <c r="B3012" s="10">
        <v>47009</v>
      </c>
    </row>
    <row r="3013" spans="1:2" x14ac:dyDescent="0.3">
      <c r="A3013" s="5">
        <v>39468</v>
      </c>
      <c r="B3013" s="10">
        <v>47029</v>
      </c>
    </row>
    <row r="3014" spans="1:2" x14ac:dyDescent="0.3">
      <c r="A3014" s="5">
        <v>39469</v>
      </c>
      <c r="B3014" s="10">
        <v>47076</v>
      </c>
    </row>
    <row r="3015" spans="1:2" x14ac:dyDescent="0.3">
      <c r="A3015" s="5">
        <v>39470</v>
      </c>
      <c r="B3015" s="10">
        <v>47158</v>
      </c>
    </row>
    <row r="3016" spans="1:2" x14ac:dyDescent="0.3">
      <c r="A3016" s="5">
        <v>39471</v>
      </c>
      <c r="B3016" s="10">
        <v>47313</v>
      </c>
    </row>
    <row r="3017" spans="1:2" x14ac:dyDescent="0.3">
      <c r="A3017" s="5">
        <v>39472</v>
      </c>
      <c r="B3017" s="10">
        <v>47341</v>
      </c>
    </row>
    <row r="3018" spans="1:2" x14ac:dyDescent="0.3">
      <c r="A3018" s="5">
        <v>39475</v>
      </c>
      <c r="B3018" s="10">
        <v>47483</v>
      </c>
    </row>
    <row r="3019" spans="1:2" x14ac:dyDescent="0.3">
      <c r="A3019" s="5">
        <v>39476</v>
      </c>
      <c r="B3019" s="10">
        <v>47491</v>
      </c>
    </row>
    <row r="3020" spans="1:2" x14ac:dyDescent="0.3">
      <c r="A3020" s="5">
        <v>39477</v>
      </c>
      <c r="B3020" s="10">
        <v>47540</v>
      </c>
    </row>
    <row r="3021" spans="1:2" x14ac:dyDescent="0.3">
      <c r="A3021" s="5">
        <v>39478</v>
      </c>
      <c r="B3021" s="10">
        <v>47660</v>
      </c>
    </row>
    <row r="3022" spans="1:2" x14ac:dyDescent="0.3">
      <c r="A3022" s="5">
        <v>39479</v>
      </c>
      <c r="B3022" s="10">
        <v>47755</v>
      </c>
    </row>
    <row r="3023" spans="1:2" x14ac:dyDescent="0.3">
      <c r="A3023" s="5">
        <v>39482</v>
      </c>
      <c r="B3023" s="10">
        <v>47918</v>
      </c>
    </row>
    <row r="3024" spans="1:2" x14ac:dyDescent="0.3">
      <c r="A3024" s="5">
        <v>39483</v>
      </c>
      <c r="B3024" s="10">
        <v>47903</v>
      </c>
    </row>
    <row r="3025" spans="1:2" x14ac:dyDescent="0.3">
      <c r="A3025" s="5">
        <v>39484</v>
      </c>
      <c r="B3025" s="10">
        <v>48004</v>
      </c>
    </row>
    <row r="3026" spans="1:2" x14ac:dyDescent="0.3">
      <c r="A3026" s="5">
        <v>39485</v>
      </c>
      <c r="B3026" s="10">
        <v>48037</v>
      </c>
    </row>
    <row r="3027" spans="1:2" x14ac:dyDescent="0.3">
      <c r="A3027" s="5">
        <v>39486</v>
      </c>
      <c r="B3027" s="10">
        <v>48090</v>
      </c>
    </row>
    <row r="3028" spans="1:2" x14ac:dyDescent="0.3">
      <c r="A3028" s="5">
        <v>39489</v>
      </c>
      <c r="B3028" s="10">
        <v>48159</v>
      </c>
    </row>
    <row r="3029" spans="1:2" x14ac:dyDescent="0.3">
      <c r="A3029" s="5">
        <v>39490</v>
      </c>
      <c r="B3029" s="10">
        <v>48217</v>
      </c>
    </row>
    <row r="3030" spans="1:2" x14ac:dyDescent="0.3">
      <c r="A3030" s="5">
        <v>39491</v>
      </c>
      <c r="B3030" s="10">
        <v>48261</v>
      </c>
    </row>
    <row r="3031" spans="1:2" x14ac:dyDescent="0.3">
      <c r="A3031" s="5">
        <v>39492</v>
      </c>
      <c r="B3031" s="10">
        <v>48342</v>
      </c>
    </row>
    <row r="3032" spans="1:2" x14ac:dyDescent="0.3">
      <c r="A3032" s="5">
        <v>39493</v>
      </c>
      <c r="B3032" s="10">
        <v>48403</v>
      </c>
    </row>
    <row r="3033" spans="1:2" x14ac:dyDescent="0.3">
      <c r="A3033" s="5">
        <v>39496</v>
      </c>
      <c r="B3033" s="10">
        <v>48407</v>
      </c>
    </row>
    <row r="3034" spans="1:2" x14ac:dyDescent="0.3">
      <c r="A3034" s="5">
        <v>39497</v>
      </c>
      <c r="B3034" s="10">
        <v>48524</v>
      </c>
    </row>
    <row r="3035" spans="1:2" x14ac:dyDescent="0.3">
      <c r="A3035" s="5">
        <v>39498</v>
      </c>
      <c r="B3035" s="10">
        <v>48544</v>
      </c>
    </row>
    <row r="3036" spans="1:2" x14ac:dyDescent="0.3">
      <c r="A3036" s="5">
        <v>39499</v>
      </c>
      <c r="B3036" s="10">
        <v>48688</v>
      </c>
    </row>
    <row r="3037" spans="1:2" x14ac:dyDescent="0.3">
      <c r="A3037" s="5">
        <v>39500</v>
      </c>
      <c r="B3037" s="10">
        <v>48857</v>
      </c>
    </row>
    <row r="3038" spans="1:2" x14ac:dyDescent="0.3">
      <c r="A3038" s="5">
        <v>39503</v>
      </c>
      <c r="B3038" s="10">
        <v>48935</v>
      </c>
    </row>
    <row r="3039" spans="1:2" x14ac:dyDescent="0.3">
      <c r="A3039" s="5">
        <v>39504</v>
      </c>
      <c r="B3039" s="10">
        <v>49034</v>
      </c>
    </row>
    <row r="3040" spans="1:2" x14ac:dyDescent="0.3">
      <c r="A3040" s="5">
        <v>39505</v>
      </c>
      <c r="B3040" s="10">
        <v>49104</v>
      </c>
    </row>
    <row r="3041" spans="1:2" x14ac:dyDescent="0.3">
      <c r="A3041" s="5">
        <v>39506</v>
      </c>
      <c r="B3041" s="10">
        <v>49161</v>
      </c>
    </row>
    <row r="3042" spans="1:2" x14ac:dyDescent="0.3">
      <c r="A3042" s="5">
        <v>39507</v>
      </c>
      <c r="B3042" s="10">
        <v>49261</v>
      </c>
    </row>
    <row r="3043" spans="1:2" x14ac:dyDescent="0.3">
      <c r="A3043" s="5">
        <v>39510</v>
      </c>
      <c r="B3043" s="10">
        <v>49338</v>
      </c>
    </row>
    <row r="3044" spans="1:2" x14ac:dyDescent="0.3">
      <c r="A3044" s="5">
        <v>39511</v>
      </c>
      <c r="B3044" s="10">
        <v>49369</v>
      </c>
    </row>
    <row r="3045" spans="1:2" x14ac:dyDescent="0.3">
      <c r="A3045" s="5">
        <v>39512</v>
      </c>
      <c r="B3045" s="10">
        <v>49479</v>
      </c>
    </row>
    <row r="3046" spans="1:2" x14ac:dyDescent="0.3">
      <c r="A3046" s="5">
        <v>39513</v>
      </c>
      <c r="B3046" s="10">
        <v>49506</v>
      </c>
    </row>
    <row r="3047" spans="1:2" x14ac:dyDescent="0.3">
      <c r="A3047" s="5">
        <v>39514</v>
      </c>
      <c r="B3047" s="10">
        <v>49599</v>
      </c>
    </row>
    <row r="3048" spans="1:2" x14ac:dyDescent="0.3">
      <c r="A3048" s="5">
        <v>39517</v>
      </c>
      <c r="B3048" s="10">
        <v>49714</v>
      </c>
    </row>
    <row r="3049" spans="1:2" x14ac:dyDescent="0.3">
      <c r="A3049" s="5">
        <v>39518</v>
      </c>
      <c r="B3049" s="10">
        <v>49814</v>
      </c>
    </row>
    <row r="3050" spans="1:2" x14ac:dyDescent="0.3">
      <c r="A3050" s="5">
        <v>39519</v>
      </c>
      <c r="B3050" s="10">
        <v>50037</v>
      </c>
    </row>
    <row r="3051" spans="1:2" x14ac:dyDescent="0.3">
      <c r="A3051" s="5">
        <v>39520</v>
      </c>
      <c r="B3051" s="10">
        <v>50038</v>
      </c>
    </row>
    <row r="3052" spans="1:2" x14ac:dyDescent="0.3">
      <c r="A3052" s="5">
        <v>39521</v>
      </c>
      <c r="B3052" s="10">
        <v>50067</v>
      </c>
    </row>
    <row r="3053" spans="1:2" x14ac:dyDescent="0.3">
      <c r="A3053" s="5">
        <v>39524</v>
      </c>
      <c r="B3053" s="10">
        <v>50239</v>
      </c>
    </row>
    <row r="3054" spans="1:2" x14ac:dyDescent="0.3">
      <c r="A3054" s="5">
        <v>39525</v>
      </c>
      <c r="B3054" s="10">
        <v>50412</v>
      </c>
    </row>
    <row r="3055" spans="1:2" x14ac:dyDescent="0.3">
      <c r="A3055" s="5">
        <v>39526</v>
      </c>
      <c r="B3055" s="10">
        <v>50391</v>
      </c>
    </row>
    <row r="3056" spans="1:2" x14ac:dyDescent="0.3">
      <c r="A3056" s="5">
        <v>39532</v>
      </c>
      <c r="B3056" s="10">
        <v>50475</v>
      </c>
    </row>
    <row r="3057" spans="1:2" x14ac:dyDescent="0.3">
      <c r="A3057" s="5">
        <v>39533</v>
      </c>
      <c r="B3057" s="10">
        <v>50502</v>
      </c>
    </row>
    <row r="3058" spans="1:2" x14ac:dyDescent="0.3">
      <c r="A3058" s="5">
        <v>39534</v>
      </c>
      <c r="B3058" s="10">
        <v>50517</v>
      </c>
    </row>
    <row r="3059" spans="1:2" x14ac:dyDescent="0.3">
      <c r="A3059" s="5">
        <v>39535</v>
      </c>
      <c r="B3059" s="10">
        <v>50481</v>
      </c>
    </row>
    <row r="3060" spans="1:2" x14ac:dyDescent="0.3">
      <c r="A3060" s="5">
        <v>39538</v>
      </c>
      <c r="B3060" s="10">
        <v>50464</v>
      </c>
    </row>
    <row r="3061" spans="1:2" x14ac:dyDescent="0.3">
      <c r="A3061" s="5">
        <v>39539</v>
      </c>
      <c r="B3061" s="10">
        <v>50426</v>
      </c>
    </row>
    <row r="3062" spans="1:2" x14ac:dyDescent="0.3">
      <c r="A3062" s="5">
        <v>39541</v>
      </c>
      <c r="B3062" s="10">
        <v>50456</v>
      </c>
    </row>
    <row r="3063" spans="1:2" x14ac:dyDescent="0.3">
      <c r="A3063" s="5">
        <v>39542</v>
      </c>
      <c r="B3063" s="10">
        <v>50396</v>
      </c>
    </row>
    <row r="3064" spans="1:2" x14ac:dyDescent="0.3">
      <c r="A3064" s="5">
        <v>39545</v>
      </c>
      <c r="B3064" s="10">
        <v>50473</v>
      </c>
    </row>
    <row r="3065" spans="1:2" x14ac:dyDescent="0.3">
      <c r="A3065" s="5">
        <v>39546</v>
      </c>
      <c r="B3065" s="10">
        <v>50388</v>
      </c>
    </row>
    <row r="3066" spans="1:2" x14ac:dyDescent="0.3">
      <c r="A3066" s="5">
        <v>39547</v>
      </c>
      <c r="B3066" s="10">
        <v>50395</v>
      </c>
    </row>
    <row r="3067" spans="1:2" x14ac:dyDescent="0.3">
      <c r="A3067" s="5">
        <v>39548</v>
      </c>
      <c r="B3067" s="10">
        <v>50358</v>
      </c>
    </row>
    <row r="3068" spans="1:2" x14ac:dyDescent="0.3">
      <c r="A3068" s="5">
        <v>39549</v>
      </c>
      <c r="B3068" s="10">
        <v>50391</v>
      </c>
    </row>
    <row r="3069" spans="1:2" x14ac:dyDescent="0.3">
      <c r="A3069" s="5">
        <v>39552</v>
      </c>
      <c r="B3069" s="10">
        <v>50476</v>
      </c>
    </row>
    <row r="3070" spans="1:2" x14ac:dyDescent="0.3">
      <c r="A3070" s="5">
        <v>39553</v>
      </c>
      <c r="B3070" s="10">
        <v>50386</v>
      </c>
    </row>
    <row r="3071" spans="1:2" x14ac:dyDescent="0.3">
      <c r="A3071" s="5">
        <v>39554</v>
      </c>
      <c r="B3071" s="10">
        <v>50415</v>
      </c>
    </row>
    <row r="3072" spans="1:2" x14ac:dyDescent="0.3">
      <c r="A3072" s="5">
        <v>39555</v>
      </c>
      <c r="B3072" s="10">
        <v>50399</v>
      </c>
    </row>
    <row r="3073" spans="1:2" x14ac:dyDescent="0.3">
      <c r="A3073" s="5">
        <v>39556</v>
      </c>
      <c r="B3073" s="10">
        <v>50260</v>
      </c>
    </row>
    <row r="3074" spans="1:2" x14ac:dyDescent="0.3">
      <c r="A3074" s="5">
        <v>39559</v>
      </c>
      <c r="B3074" s="10">
        <v>50262</v>
      </c>
    </row>
    <row r="3075" spans="1:2" x14ac:dyDescent="0.3">
      <c r="A3075" s="5">
        <v>39560</v>
      </c>
      <c r="B3075" s="10">
        <v>50263</v>
      </c>
    </row>
    <row r="3076" spans="1:2" x14ac:dyDescent="0.3">
      <c r="A3076" s="5">
        <v>39561</v>
      </c>
      <c r="B3076" s="10">
        <v>50280</v>
      </c>
    </row>
    <row r="3077" spans="1:2" x14ac:dyDescent="0.3">
      <c r="A3077" s="5">
        <v>39562</v>
      </c>
      <c r="B3077" s="10">
        <v>50275</v>
      </c>
    </row>
    <row r="3078" spans="1:2" x14ac:dyDescent="0.3">
      <c r="A3078" s="5">
        <v>39563</v>
      </c>
      <c r="B3078" s="10">
        <v>50169</v>
      </c>
    </row>
    <row r="3079" spans="1:2" x14ac:dyDescent="0.3">
      <c r="A3079" s="5">
        <v>39566</v>
      </c>
      <c r="B3079" s="10">
        <v>50169</v>
      </c>
    </row>
    <row r="3080" spans="1:2" x14ac:dyDescent="0.3">
      <c r="A3080" s="5">
        <v>39567</v>
      </c>
      <c r="B3080" s="10">
        <v>50152</v>
      </c>
    </row>
    <row r="3081" spans="1:2" x14ac:dyDescent="0.3">
      <c r="A3081" s="5">
        <v>39568</v>
      </c>
      <c r="B3081" s="10">
        <v>50247</v>
      </c>
    </row>
    <row r="3082" spans="1:2" x14ac:dyDescent="0.3">
      <c r="A3082" s="5">
        <v>39570</v>
      </c>
      <c r="B3082" s="10">
        <v>50201</v>
      </c>
    </row>
    <row r="3083" spans="1:2" x14ac:dyDescent="0.3">
      <c r="A3083" s="5">
        <v>39573</v>
      </c>
      <c r="B3083" s="10">
        <v>50213</v>
      </c>
    </row>
    <row r="3084" spans="1:2" x14ac:dyDescent="0.3">
      <c r="A3084" s="5">
        <v>39574</v>
      </c>
      <c r="B3084" s="10">
        <v>50202</v>
      </c>
    </row>
    <row r="3085" spans="1:2" x14ac:dyDescent="0.3">
      <c r="A3085" s="5">
        <v>39575</v>
      </c>
      <c r="B3085" s="10">
        <v>50199</v>
      </c>
    </row>
    <row r="3086" spans="1:2" x14ac:dyDescent="0.3">
      <c r="A3086" s="5">
        <v>39576</v>
      </c>
      <c r="B3086" s="10">
        <v>50223</v>
      </c>
    </row>
    <row r="3087" spans="1:2" x14ac:dyDescent="0.3">
      <c r="A3087" s="5">
        <v>39577</v>
      </c>
      <c r="B3087" s="10">
        <v>50175</v>
      </c>
    </row>
    <row r="3088" spans="1:2" x14ac:dyDescent="0.3">
      <c r="A3088" s="5">
        <v>39580</v>
      </c>
      <c r="B3088" s="10">
        <v>50051</v>
      </c>
    </row>
    <row r="3089" spans="1:2" x14ac:dyDescent="0.3">
      <c r="A3089" s="5">
        <v>39581</v>
      </c>
      <c r="B3089" s="10">
        <v>49705</v>
      </c>
    </row>
    <row r="3090" spans="1:2" x14ac:dyDescent="0.3">
      <c r="A3090" s="5">
        <v>39582</v>
      </c>
      <c r="B3090" s="10">
        <v>49400</v>
      </c>
    </row>
    <row r="3091" spans="1:2" x14ac:dyDescent="0.3">
      <c r="A3091" s="5">
        <v>39583</v>
      </c>
      <c r="B3091" s="10">
        <v>49181</v>
      </c>
    </row>
    <row r="3092" spans="1:2" x14ac:dyDescent="0.3">
      <c r="A3092" s="5">
        <v>39584</v>
      </c>
      <c r="B3092" s="10">
        <v>49096</v>
      </c>
    </row>
    <row r="3093" spans="1:2" x14ac:dyDescent="0.3">
      <c r="A3093" s="5">
        <v>39587</v>
      </c>
      <c r="B3093" s="10">
        <v>48958</v>
      </c>
    </row>
    <row r="3094" spans="1:2" x14ac:dyDescent="0.3">
      <c r="A3094" s="5">
        <v>39588</v>
      </c>
      <c r="B3094" s="10">
        <v>48840</v>
      </c>
    </row>
    <row r="3095" spans="1:2" x14ac:dyDescent="0.3">
      <c r="A3095" s="5">
        <v>39589</v>
      </c>
      <c r="B3095" s="10">
        <v>48844</v>
      </c>
    </row>
    <row r="3096" spans="1:2" x14ac:dyDescent="0.3">
      <c r="A3096" s="5">
        <v>39590</v>
      </c>
      <c r="B3096" s="10">
        <v>49021</v>
      </c>
    </row>
    <row r="3097" spans="1:2" x14ac:dyDescent="0.3">
      <c r="A3097" s="5">
        <v>39591</v>
      </c>
      <c r="B3097" s="10">
        <v>49005</v>
      </c>
    </row>
    <row r="3098" spans="1:2" x14ac:dyDescent="0.3">
      <c r="A3098" s="5">
        <v>39594</v>
      </c>
      <c r="B3098" s="10">
        <v>49038</v>
      </c>
    </row>
    <row r="3099" spans="1:2" x14ac:dyDescent="0.3">
      <c r="A3099" s="5">
        <v>39595</v>
      </c>
      <c r="B3099" s="10">
        <v>48822</v>
      </c>
    </row>
    <row r="3100" spans="1:2" x14ac:dyDescent="0.3">
      <c r="A3100" s="5">
        <v>39596</v>
      </c>
      <c r="B3100" s="10">
        <v>48737</v>
      </c>
    </row>
    <row r="3101" spans="1:2" x14ac:dyDescent="0.3">
      <c r="A3101" s="5">
        <v>39597</v>
      </c>
      <c r="B3101" s="10">
        <v>48626</v>
      </c>
    </row>
    <row r="3102" spans="1:2" x14ac:dyDescent="0.3">
      <c r="A3102" s="5">
        <v>39598</v>
      </c>
      <c r="B3102" s="10">
        <v>48588</v>
      </c>
    </row>
    <row r="3103" spans="1:2" x14ac:dyDescent="0.3">
      <c r="A3103" s="5">
        <v>39601</v>
      </c>
      <c r="B3103" s="10">
        <v>48514</v>
      </c>
    </row>
    <row r="3104" spans="1:2" x14ac:dyDescent="0.3">
      <c r="A3104" s="5">
        <v>39602</v>
      </c>
      <c r="B3104" s="10">
        <v>48485</v>
      </c>
    </row>
    <row r="3105" spans="1:2" x14ac:dyDescent="0.3">
      <c r="A3105" s="5">
        <v>39603</v>
      </c>
      <c r="B3105" s="10">
        <v>48411</v>
      </c>
    </row>
    <row r="3106" spans="1:2" x14ac:dyDescent="0.3">
      <c r="A3106" s="5">
        <v>39604</v>
      </c>
      <c r="B3106" s="10">
        <v>48369</v>
      </c>
    </row>
    <row r="3107" spans="1:2" x14ac:dyDescent="0.3">
      <c r="A3107" s="5">
        <v>39605</v>
      </c>
      <c r="B3107" s="10">
        <v>48317</v>
      </c>
    </row>
    <row r="3108" spans="1:2" x14ac:dyDescent="0.3">
      <c r="A3108" s="5">
        <v>39608</v>
      </c>
      <c r="B3108" s="10">
        <v>48178</v>
      </c>
    </row>
    <row r="3109" spans="1:2" x14ac:dyDescent="0.3">
      <c r="A3109" s="5">
        <v>39609</v>
      </c>
      <c r="B3109" s="10">
        <v>48068</v>
      </c>
    </row>
    <row r="3110" spans="1:2" x14ac:dyDescent="0.3">
      <c r="A3110" s="5">
        <v>39610</v>
      </c>
      <c r="B3110" s="10">
        <v>48003</v>
      </c>
    </row>
    <row r="3111" spans="1:2" x14ac:dyDescent="0.3">
      <c r="A3111" s="5">
        <v>39611</v>
      </c>
      <c r="B3111" s="10">
        <v>47929</v>
      </c>
    </row>
    <row r="3112" spans="1:2" x14ac:dyDescent="0.3">
      <c r="A3112" s="5">
        <v>39612</v>
      </c>
      <c r="B3112" s="10">
        <v>47709</v>
      </c>
    </row>
    <row r="3113" spans="1:2" x14ac:dyDescent="0.3">
      <c r="A3113" s="5">
        <v>39616</v>
      </c>
      <c r="B3113" s="10">
        <v>47696</v>
      </c>
    </row>
    <row r="3114" spans="1:2" x14ac:dyDescent="0.3">
      <c r="A3114" s="5">
        <v>39617</v>
      </c>
      <c r="B3114" s="10">
        <v>47632</v>
      </c>
    </row>
    <row r="3115" spans="1:2" x14ac:dyDescent="0.3">
      <c r="A3115" s="5">
        <v>39618</v>
      </c>
      <c r="B3115" s="10">
        <v>47644</v>
      </c>
    </row>
    <row r="3116" spans="1:2" x14ac:dyDescent="0.3">
      <c r="A3116" s="5">
        <v>39619</v>
      </c>
      <c r="B3116" s="10">
        <v>47701</v>
      </c>
    </row>
    <row r="3117" spans="1:2" x14ac:dyDescent="0.3">
      <c r="A3117" s="5">
        <v>39622</v>
      </c>
      <c r="B3117" s="10">
        <v>47668</v>
      </c>
    </row>
    <row r="3118" spans="1:2" x14ac:dyDescent="0.3">
      <c r="A3118" s="5">
        <v>39623</v>
      </c>
      <c r="B3118" s="10">
        <v>47680</v>
      </c>
    </row>
    <row r="3119" spans="1:2" x14ac:dyDescent="0.3">
      <c r="A3119" s="5">
        <v>39624</v>
      </c>
      <c r="B3119" s="10">
        <v>47754</v>
      </c>
    </row>
    <row r="3120" spans="1:2" x14ac:dyDescent="0.3">
      <c r="A3120" s="5">
        <v>39625</v>
      </c>
      <c r="B3120" s="10">
        <v>47731</v>
      </c>
    </row>
    <row r="3121" spans="1:2" x14ac:dyDescent="0.3">
      <c r="A3121" s="5">
        <v>39626</v>
      </c>
      <c r="B3121" s="10">
        <v>47598</v>
      </c>
    </row>
    <row r="3122" spans="1:2" x14ac:dyDescent="0.3">
      <c r="A3122" s="5">
        <v>39629</v>
      </c>
      <c r="B3122" s="10">
        <v>47516</v>
      </c>
    </row>
    <row r="3123" spans="1:2" x14ac:dyDescent="0.3">
      <c r="A3123" s="5">
        <v>39630</v>
      </c>
      <c r="B3123" s="10">
        <v>47524</v>
      </c>
    </row>
    <row r="3124" spans="1:2" x14ac:dyDescent="0.3">
      <c r="A3124" s="5">
        <v>39631</v>
      </c>
      <c r="B3124" s="10">
        <v>47549</v>
      </c>
    </row>
    <row r="3125" spans="1:2" x14ac:dyDescent="0.3">
      <c r="A3125" s="5">
        <v>39632</v>
      </c>
      <c r="B3125" s="10">
        <v>47518</v>
      </c>
    </row>
    <row r="3126" spans="1:2" x14ac:dyDescent="0.3">
      <c r="A3126" s="5">
        <v>39633</v>
      </c>
      <c r="B3126" s="10">
        <v>47497</v>
      </c>
    </row>
    <row r="3127" spans="1:2" x14ac:dyDescent="0.3">
      <c r="A3127" s="5">
        <v>39636</v>
      </c>
      <c r="B3127" s="10">
        <v>47544</v>
      </c>
    </row>
    <row r="3128" spans="1:2" x14ac:dyDescent="0.3">
      <c r="A3128" s="5">
        <v>39637</v>
      </c>
      <c r="B3128" s="10">
        <v>47531</v>
      </c>
    </row>
    <row r="3129" spans="1:2" x14ac:dyDescent="0.3">
      <c r="A3129" s="5">
        <v>39639</v>
      </c>
      <c r="B3129" s="10">
        <v>47572</v>
      </c>
    </row>
    <row r="3130" spans="1:2" x14ac:dyDescent="0.3">
      <c r="A3130" s="5">
        <v>39640</v>
      </c>
      <c r="B3130" s="10">
        <v>47603</v>
      </c>
    </row>
    <row r="3131" spans="1:2" x14ac:dyDescent="0.3">
      <c r="A3131" s="5">
        <v>39643</v>
      </c>
      <c r="B3131" s="10">
        <v>47633</v>
      </c>
    </row>
    <row r="3132" spans="1:2" x14ac:dyDescent="0.3">
      <c r="A3132" s="5">
        <v>39644</v>
      </c>
      <c r="B3132" s="10">
        <v>47637</v>
      </c>
    </row>
    <row r="3133" spans="1:2" x14ac:dyDescent="0.3">
      <c r="A3133" s="5">
        <v>39645</v>
      </c>
      <c r="B3133" s="10">
        <v>47683</v>
      </c>
    </row>
    <row r="3134" spans="1:2" x14ac:dyDescent="0.3">
      <c r="A3134" s="5">
        <v>39646</v>
      </c>
      <c r="B3134" s="10">
        <v>47676</v>
      </c>
    </row>
    <row r="3135" spans="1:2" x14ac:dyDescent="0.3">
      <c r="A3135" s="5">
        <v>39647</v>
      </c>
      <c r="B3135" s="10">
        <v>47650</v>
      </c>
    </row>
    <row r="3136" spans="1:2" x14ac:dyDescent="0.3">
      <c r="A3136" s="5">
        <v>39650</v>
      </c>
      <c r="B3136" s="10">
        <v>47649</v>
      </c>
    </row>
    <row r="3137" spans="1:2" x14ac:dyDescent="0.3">
      <c r="A3137" s="5">
        <v>39651</v>
      </c>
      <c r="B3137" s="10">
        <v>47627</v>
      </c>
    </row>
    <row r="3138" spans="1:2" x14ac:dyDescent="0.3">
      <c r="A3138" s="5">
        <v>39652</v>
      </c>
      <c r="B3138" s="10">
        <v>47616</v>
      </c>
    </row>
    <row r="3139" spans="1:2" x14ac:dyDescent="0.3">
      <c r="A3139" s="5">
        <v>39653</v>
      </c>
      <c r="B3139" s="10">
        <v>47676</v>
      </c>
    </row>
    <row r="3140" spans="1:2" x14ac:dyDescent="0.3">
      <c r="A3140" s="5">
        <v>39654</v>
      </c>
      <c r="B3140" s="10">
        <v>47650</v>
      </c>
    </row>
    <row r="3141" spans="1:2" x14ac:dyDescent="0.3">
      <c r="A3141" s="5">
        <v>39657</v>
      </c>
      <c r="B3141" s="10">
        <v>47644</v>
      </c>
    </row>
    <row r="3142" spans="1:2" x14ac:dyDescent="0.3">
      <c r="A3142" s="5">
        <v>39658</v>
      </c>
      <c r="B3142" s="10">
        <v>47670</v>
      </c>
    </row>
    <row r="3143" spans="1:2" x14ac:dyDescent="0.3">
      <c r="A3143" s="5">
        <v>39659</v>
      </c>
      <c r="B3143" s="10">
        <v>47588</v>
      </c>
    </row>
    <row r="3144" spans="1:2" x14ac:dyDescent="0.3">
      <c r="A3144" s="5">
        <v>39660</v>
      </c>
      <c r="B3144" s="10">
        <v>47545</v>
      </c>
    </row>
    <row r="3145" spans="1:2" x14ac:dyDescent="0.3">
      <c r="A3145" s="5">
        <v>39661</v>
      </c>
      <c r="B3145" s="10">
        <v>47692</v>
      </c>
    </row>
    <row r="3146" spans="1:2" x14ac:dyDescent="0.3">
      <c r="A3146" s="5">
        <v>39664</v>
      </c>
      <c r="B3146" s="10">
        <v>47651</v>
      </c>
    </row>
    <row r="3147" spans="1:2" x14ac:dyDescent="0.3">
      <c r="A3147" s="5">
        <v>39665</v>
      </c>
      <c r="B3147" s="10">
        <v>47615</v>
      </c>
    </row>
    <row r="3148" spans="1:2" x14ac:dyDescent="0.3">
      <c r="A3148" s="5">
        <v>39666</v>
      </c>
      <c r="B3148" s="10">
        <v>47595</v>
      </c>
    </row>
    <row r="3149" spans="1:2" x14ac:dyDescent="0.3">
      <c r="A3149" s="5">
        <v>39667</v>
      </c>
      <c r="B3149" s="10">
        <v>47535</v>
      </c>
    </row>
    <row r="3150" spans="1:2" x14ac:dyDescent="0.3">
      <c r="A3150" s="5">
        <v>39668</v>
      </c>
      <c r="B3150" s="10">
        <v>47461</v>
      </c>
    </row>
    <row r="3151" spans="1:2" x14ac:dyDescent="0.3">
      <c r="A3151" s="5">
        <v>39671</v>
      </c>
      <c r="B3151" s="10">
        <v>47415</v>
      </c>
    </row>
    <row r="3152" spans="1:2" x14ac:dyDescent="0.3">
      <c r="A3152" s="5">
        <v>39672</v>
      </c>
      <c r="B3152" s="10">
        <v>47423</v>
      </c>
    </row>
    <row r="3153" spans="1:2" x14ac:dyDescent="0.3">
      <c r="A3153" s="5">
        <v>39673</v>
      </c>
      <c r="B3153" s="10">
        <v>47452</v>
      </c>
    </row>
    <row r="3154" spans="1:2" x14ac:dyDescent="0.3">
      <c r="A3154" s="5">
        <v>39674</v>
      </c>
      <c r="B3154" s="10">
        <v>47364</v>
      </c>
    </row>
    <row r="3155" spans="1:2" x14ac:dyDescent="0.3">
      <c r="A3155" s="5">
        <v>39675</v>
      </c>
      <c r="B3155" s="10">
        <v>46978</v>
      </c>
    </row>
    <row r="3156" spans="1:2" x14ac:dyDescent="0.3">
      <c r="A3156" s="5">
        <v>39679</v>
      </c>
      <c r="B3156" s="10">
        <v>47079</v>
      </c>
    </row>
    <row r="3157" spans="1:2" x14ac:dyDescent="0.3">
      <c r="A3157" s="5">
        <v>39680</v>
      </c>
      <c r="B3157" s="10">
        <v>47165</v>
      </c>
    </row>
    <row r="3158" spans="1:2" x14ac:dyDescent="0.3">
      <c r="A3158" s="5">
        <v>39681</v>
      </c>
      <c r="B3158" s="10">
        <v>47252</v>
      </c>
    </row>
    <row r="3159" spans="1:2" x14ac:dyDescent="0.3">
      <c r="A3159" s="5">
        <v>39682</v>
      </c>
      <c r="B3159" s="10">
        <v>47204</v>
      </c>
    </row>
    <row r="3160" spans="1:2" x14ac:dyDescent="0.3">
      <c r="A3160" s="5">
        <v>39685</v>
      </c>
      <c r="B3160" s="10">
        <v>47180</v>
      </c>
    </row>
    <row r="3161" spans="1:2" x14ac:dyDescent="0.3">
      <c r="A3161" s="5">
        <v>39686</v>
      </c>
      <c r="B3161" s="10">
        <v>47114</v>
      </c>
    </row>
    <row r="3162" spans="1:2" x14ac:dyDescent="0.3">
      <c r="A3162" s="5">
        <v>39687</v>
      </c>
      <c r="B3162" s="10">
        <v>47097</v>
      </c>
    </row>
    <row r="3163" spans="1:2" x14ac:dyDescent="0.3">
      <c r="A3163" s="5">
        <v>39688</v>
      </c>
      <c r="B3163" s="10">
        <v>47122</v>
      </c>
    </row>
    <row r="3164" spans="1:2" x14ac:dyDescent="0.3">
      <c r="A3164" s="5">
        <v>39689</v>
      </c>
      <c r="B3164" s="10">
        <v>47090</v>
      </c>
    </row>
    <row r="3165" spans="1:2" x14ac:dyDescent="0.3">
      <c r="A3165" s="5">
        <v>39692</v>
      </c>
      <c r="B3165" s="10">
        <v>47081</v>
      </c>
    </row>
    <row r="3166" spans="1:2" x14ac:dyDescent="0.3">
      <c r="A3166" s="5">
        <v>39693</v>
      </c>
      <c r="B3166" s="10">
        <v>47088</v>
      </c>
    </row>
    <row r="3167" spans="1:2" x14ac:dyDescent="0.3">
      <c r="A3167" s="5">
        <v>39694</v>
      </c>
      <c r="B3167" s="10">
        <v>47035</v>
      </c>
    </row>
    <row r="3168" spans="1:2" x14ac:dyDescent="0.3">
      <c r="A3168" s="5">
        <v>39695</v>
      </c>
      <c r="B3168" s="10">
        <v>46974</v>
      </c>
    </row>
    <row r="3169" spans="1:2" x14ac:dyDescent="0.3">
      <c r="A3169" s="5">
        <v>39696</v>
      </c>
      <c r="B3169" s="10">
        <v>47068</v>
      </c>
    </row>
    <row r="3170" spans="1:2" x14ac:dyDescent="0.3">
      <c r="A3170" s="5">
        <v>39699</v>
      </c>
      <c r="B3170" s="10">
        <v>47001</v>
      </c>
    </row>
    <row r="3171" spans="1:2" x14ac:dyDescent="0.3">
      <c r="A3171" s="5">
        <v>39700</v>
      </c>
      <c r="B3171" s="10">
        <v>47096</v>
      </c>
    </row>
    <row r="3172" spans="1:2" x14ac:dyDescent="0.3">
      <c r="A3172" s="5">
        <v>39701</v>
      </c>
      <c r="B3172" s="10">
        <v>47062</v>
      </c>
    </row>
    <row r="3173" spans="1:2" x14ac:dyDescent="0.3">
      <c r="A3173" s="5">
        <v>39702</v>
      </c>
      <c r="B3173" s="10">
        <v>46963</v>
      </c>
    </row>
    <row r="3174" spans="1:2" x14ac:dyDescent="0.3">
      <c r="A3174" s="5">
        <v>39703</v>
      </c>
      <c r="B3174" s="10">
        <v>46964</v>
      </c>
    </row>
    <row r="3175" spans="1:2" x14ac:dyDescent="0.3">
      <c r="A3175" s="5">
        <v>39706</v>
      </c>
      <c r="B3175" s="10">
        <v>47053</v>
      </c>
    </row>
    <row r="3176" spans="1:2" x14ac:dyDescent="0.3">
      <c r="A3176" s="5">
        <v>39707</v>
      </c>
      <c r="B3176" s="10">
        <v>47001</v>
      </c>
    </row>
    <row r="3177" spans="1:2" x14ac:dyDescent="0.3">
      <c r="A3177" s="5">
        <v>39708</v>
      </c>
      <c r="B3177" s="10">
        <v>47085</v>
      </c>
    </row>
    <row r="3178" spans="1:2" x14ac:dyDescent="0.3">
      <c r="A3178" s="5">
        <v>39709</v>
      </c>
      <c r="B3178" s="10">
        <v>47070</v>
      </c>
    </row>
    <row r="3179" spans="1:2" x14ac:dyDescent="0.3">
      <c r="A3179" s="5">
        <v>39710</v>
      </c>
      <c r="B3179" s="10">
        <v>47106</v>
      </c>
    </row>
    <row r="3180" spans="1:2" x14ac:dyDescent="0.3">
      <c r="A3180" s="5">
        <v>39713</v>
      </c>
      <c r="B3180" s="10">
        <v>47099</v>
      </c>
    </row>
    <row r="3181" spans="1:2" x14ac:dyDescent="0.3">
      <c r="A3181" s="5">
        <v>39714</v>
      </c>
      <c r="B3181" s="10">
        <v>47157</v>
      </c>
    </row>
    <row r="3182" spans="1:2" x14ac:dyDescent="0.3">
      <c r="A3182" s="5">
        <v>39715</v>
      </c>
      <c r="B3182" s="10">
        <v>47040</v>
      </c>
    </row>
    <row r="3183" spans="1:2" x14ac:dyDescent="0.3">
      <c r="A3183" s="5">
        <v>39716</v>
      </c>
      <c r="B3183" s="10">
        <v>47199</v>
      </c>
    </row>
    <row r="3184" spans="1:2" x14ac:dyDescent="0.3">
      <c r="A3184" s="5">
        <v>39717</v>
      </c>
      <c r="B3184" s="10">
        <v>47171</v>
      </c>
    </row>
    <row r="3185" spans="1:2" x14ac:dyDescent="0.3">
      <c r="A3185" s="5">
        <v>39720</v>
      </c>
      <c r="B3185" s="10">
        <v>47115</v>
      </c>
    </row>
    <row r="3186" spans="1:2" x14ac:dyDescent="0.3">
      <c r="A3186" s="5">
        <v>39721</v>
      </c>
      <c r="B3186" s="10">
        <v>47121</v>
      </c>
    </row>
    <row r="3187" spans="1:2" x14ac:dyDescent="0.3">
      <c r="A3187" s="5">
        <v>39722</v>
      </c>
      <c r="B3187" s="10">
        <v>47152</v>
      </c>
    </row>
    <row r="3188" spans="1:2" x14ac:dyDescent="0.3">
      <c r="A3188" s="5">
        <v>39723</v>
      </c>
      <c r="B3188" s="10">
        <v>47126</v>
      </c>
    </row>
    <row r="3189" spans="1:2" x14ac:dyDescent="0.3">
      <c r="A3189" s="5">
        <v>39724</v>
      </c>
      <c r="B3189" s="10">
        <v>47064</v>
      </c>
    </row>
    <row r="3190" spans="1:2" x14ac:dyDescent="0.3">
      <c r="A3190" s="5">
        <v>39727</v>
      </c>
      <c r="B3190" s="10">
        <v>47019</v>
      </c>
    </row>
    <row r="3191" spans="1:2" x14ac:dyDescent="0.3">
      <c r="A3191" s="5">
        <v>39728</v>
      </c>
      <c r="B3191" s="10">
        <v>46994</v>
      </c>
    </row>
    <row r="3192" spans="1:2" x14ac:dyDescent="0.3">
      <c r="A3192" s="5">
        <v>39729</v>
      </c>
      <c r="B3192" s="10">
        <v>47035</v>
      </c>
    </row>
    <row r="3193" spans="1:2" x14ac:dyDescent="0.3">
      <c r="A3193" s="5">
        <v>39730</v>
      </c>
      <c r="B3193" s="10">
        <v>46973</v>
      </c>
    </row>
    <row r="3194" spans="1:2" x14ac:dyDescent="0.3">
      <c r="A3194" s="5">
        <v>39731</v>
      </c>
      <c r="B3194" s="10">
        <v>46528</v>
      </c>
    </row>
    <row r="3195" spans="1:2" x14ac:dyDescent="0.3">
      <c r="A3195" s="5">
        <v>39735</v>
      </c>
      <c r="B3195" s="10">
        <v>46765</v>
      </c>
    </row>
    <row r="3196" spans="1:2" x14ac:dyDescent="0.3">
      <c r="A3196" s="5">
        <v>39736</v>
      </c>
      <c r="B3196" s="10">
        <v>46980</v>
      </c>
    </row>
    <row r="3197" spans="1:2" x14ac:dyDescent="0.3">
      <c r="A3197" s="5">
        <v>39737</v>
      </c>
      <c r="B3197" s="10">
        <v>46922</v>
      </c>
    </row>
    <row r="3198" spans="1:2" x14ac:dyDescent="0.3">
      <c r="A3198" s="5">
        <v>39738</v>
      </c>
      <c r="B3198" s="10">
        <v>46859</v>
      </c>
    </row>
    <row r="3199" spans="1:2" x14ac:dyDescent="0.3">
      <c r="A3199" s="5">
        <v>39741</v>
      </c>
      <c r="B3199" s="10">
        <v>46787</v>
      </c>
    </row>
    <row r="3200" spans="1:2" x14ac:dyDescent="0.3">
      <c r="A3200" s="5">
        <v>39742</v>
      </c>
      <c r="B3200" s="10">
        <v>46773</v>
      </c>
    </row>
    <row r="3201" spans="1:2" x14ac:dyDescent="0.3">
      <c r="A3201" s="5">
        <v>39743</v>
      </c>
      <c r="B3201" s="10">
        <v>46708</v>
      </c>
    </row>
    <row r="3202" spans="1:2" x14ac:dyDescent="0.3">
      <c r="A3202" s="5">
        <v>39744</v>
      </c>
      <c r="B3202" s="10">
        <v>46708</v>
      </c>
    </row>
    <row r="3203" spans="1:2" x14ac:dyDescent="0.3">
      <c r="A3203" s="5">
        <v>39745</v>
      </c>
      <c r="B3203" s="10">
        <v>46383</v>
      </c>
    </row>
    <row r="3204" spans="1:2" x14ac:dyDescent="0.3">
      <c r="A3204" s="5">
        <v>39748</v>
      </c>
      <c r="B3204" s="10">
        <v>46136</v>
      </c>
    </row>
    <row r="3205" spans="1:2" x14ac:dyDescent="0.3">
      <c r="A3205" s="5">
        <v>39749</v>
      </c>
      <c r="B3205" s="10">
        <v>45815</v>
      </c>
    </row>
    <row r="3206" spans="1:2" x14ac:dyDescent="0.3">
      <c r="A3206" s="5">
        <v>39750</v>
      </c>
      <c r="B3206" s="10">
        <v>45554</v>
      </c>
    </row>
    <row r="3207" spans="1:2" x14ac:dyDescent="0.3">
      <c r="A3207" s="5">
        <v>39751</v>
      </c>
      <c r="B3207" s="10">
        <v>45436</v>
      </c>
    </row>
    <row r="3208" spans="1:2" x14ac:dyDescent="0.3">
      <c r="A3208" s="5">
        <v>39752</v>
      </c>
      <c r="B3208" s="10">
        <v>44941</v>
      </c>
    </row>
    <row r="3209" spans="1:2" x14ac:dyDescent="0.3">
      <c r="A3209" s="5">
        <v>39755</v>
      </c>
      <c r="B3209" s="10">
        <v>44973</v>
      </c>
    </row>
    <row r="3210" spans="1:2" x14ac:dyDescent="0.3">
      <c r="A3210" s="5">
        <v>39756</v>
      </c>
      <c r="B3210" s="10">
        <v>45031</v>
      </c>
    </row>
    <row r="3211" spans="1:2" x14ac:dyDescent="0.3">
      <c r="A3211" s="5">
        <v>39757</v>
      </c>
      <c r="B3211" s="10">
        <v>45183</v>
      </c>
    </row>
    <row r="3212" spans="1:2" x14ac:dyDescent="0.3">
      <c r="A3212" s="5">
        <v>39759</v>
      </c>
      <c r="B3212" s="10">
        <v>45189</v>
      </c>
    </row>
    <row r="3213" spans="1:2" x14ac:dyDescent="0.3">
      <c r="A3213" s="5">
        <v>39762</v>
      </c>
      <c r="B3213" s="10">
        <v>45443</v>
      </c>
    </row>
    <row r="3214" spans="1:2" x14ac:dyDescent="0.3">
      <c r="A3214" s="5">
        <v>39763</v>
      </c>
      <c r="B3214" s="10">
        <v>45483</v>
      </c>
    </row>
    <row r="3215" spans="1:2" x14ac:dyDescent="0.3">
      <c r="A3215" s="5">
        <v>39764</v>
      </c>
      <c r="B3215" s="10">
        <v>45526</v>
      </c>
    </row>
    <row r="3216" spans="1:2" x14ac:dyDescent="0.3">
      <c r="A3216" s="5">
        <v>39765</v>
      </c>
      <c r="B3216" s="10">
        <v>45587</v>
      </c>
    </row>
    <row r="3217" spans="1:2" x14ac:dyDescent="0.3">
      <c r="A3217" s="5">
        <v>39766</v>
      </c>
      <c r="B3217" s="10">
        <v>45807</v>
      </c>
    </row>
    <row r="3218" spans="1:2" x14ac:dyDescent="0.3">
      <c r="A3218" s="5">
        <v>39769</v>
      </c>
      <c r="B3218" s="10">
        <v>46000</v>
      </c>
    </row>
    <row r="3219" spans="1:2" x14ac:dyDescent="0.3">
      <c r="A3219" s="5">
        <v>39770</v>
      </c>
      <c r="B3219" s="10">
        <v>45991</v>
      </c>
    </row>
    <row r="3220" spans="1:2" x14ac:dyDescent="0.3">
      <c r="A3220" s="5">
        <v>39771</v>
      </c>
      <c r="B3220" s="10">
        <v>45922</v>
      </c>
    </row>
    <row r="3221" spans="1:2" x14ac:dyDescent="0.3">
      <c r="A3221" s="5">
        <v>39772</v>
      </c>
      <c r="B3221" s="10">
        <v>45970</v>
      </c>
    </row>
    <row r="3222" spans="1:2" x14ac:dyDescent="0.3">
      <c r="A3222" s="5">
        <v>39773</v>
      </c>
      <c r="B3222" s="10">
        <v>46059</v>
      </c>
    </row>
    <row r="3223" spans="1:2" x14ac:dyDescent="0.3">
      <c r="A3223" s="5">
        <v>39776</v>
      </c>
      <c r="B3223" s="10">
        <v>46102</v>
      </c>
    </row>
    <row r="3224" spans="1:2" x14ac:dyDescent="0.3">
      <c r="A3224" s="5">
        <v>39777</v>
      </c>
      <c r="B3224" s="10">
        <v>46115</v>
      </c>
    </row>
    <row r="3225" spans="1:2" x14ac:dyDescent="0.3">
      <c r="A3225" s="5">
        <v>39778</v>
      </c>
      <c r="B3225" s="10">
        <v>46059</v>
      </c>
    </row>
    <row r="3226" spans="1:2" x14ac:dyDescent="0.3">
      <c r="A3226" s="5">
        <v>39779</v>
      </c>
      <c r="B3226" s="10">
        <v>46075</v>
      </c>
    </row>
    <row r="3227" spans="1:2" x14ac:dyDescent="0.3">
      <c r="A3227" s="5">
        <v>39780</v>
      </c>
      <c r="B3227" s="10">
        <v>46072</v>
      </c>
    </row>
    <row r="3228" spans="1:2" x14ac:dyDescent="0.3">
      <c r="A3228" s="5">
        <v>39783</v>
      </c>
      <c r="B3228" s="10">
        <v>46066</v>
      </c>
    </row>
    <row r="3229" spans="1:2" x14ac:dyDescent="0.3">
      <c r="A3229" s="5">
        <v>39784</v>
      </c>
      <c r="B3229" s="10">
        <v>46109</v>
      </c>
    </row>
    <row r="3230" spans="1:2" x14ac:dyDescent="0.3">
      <c r="A3230" s="5">
        <v>39785</v>
      </c>
      <c r="B3230" s="10">
        <v>46084</v>
      </c>
    </row>
    <row r="3231" spans="1:2" x14ac:dyDescent="0.3">
      <c r="A3231" s="5">
        <v>39786</v>
      </c>
      <c r="B3231" s="10">
        <v>46090</v>
      </c>
    </row>
    <row r="3232" spans="1:2" x14ac:dyDescent="0.3">
      <c r="A3232" s="5">
        <v>39787</v>
      </c>
      <c r="B3232" s="10">
        <v>46054</v>
      </c>
    </row>
    <row r="3233" spans="1:2" x14ac:dyDescent="0.3">
      <c r="A3233" s="5">
        <v>39791</v>
      </c>
      <c r="B3233" s="10">
        <v>46270</v>
      </c>
    </row>
    <row r="3234" spans="1:2" x14ac:dyDescent="0.3">
      <c r="A3234" s="5">
        <v>39792</v>
      </c>
      <c r="B3234" s="10">
        <v>46239</v>
      </c>
    </row>
    <row r="3235" spans="1:2" x14ac:dyDescent="0.3">
      <c r="A3235" s="5">
        <v>39793</v>
      </c>
      <c r="B3235" s="10">
        <v>46131</v>
      </c>
    </row>
    <row r="3236" spans="1:2" x14ac:dyDescent="0.3">
      <c r="A3236" s="5">
        <v>39794</v>
      </c>
      <c r="B3236" s="10">
        <v>45876</v>
      </c>
    </row>
    <row r="3237" spans="1:2" x14ac:dyDescent="0.3">
      <c r="A3237" s="5">
        <v>39797</v>
      </c>
      <c r="B3237" s="10">
        <v>45906</v>
      </c>
    </row>
    <row r="3238" spans="1:2" x14ac:dyDescent="0.3">
      <c r="A3238" s="5">
        <v>39798</v>
      </c>
      <c r="B3238" s="10">
        <v>45997</v>
      </c>
    </row>
    <row r="3239" spans="1:2" x14ac:dyDescent="0.3">
      <c r="A3239" s="5">
        <v>39799</v>
      </c>
      <c r="B3239" s="10">
        <v>46235</v>
      </c>
    </row>
    <row r="3240" spans="1:2" x14ac:dyDescent="0.3">
      <c r="A3240" s="5">
        <v>39800</v>
      </c>
      <c r="B3240" s="10">
        <v>46242</v>
      </c>
    </row>
    <row r="3241" spans="1:2" x14ac:dyDescent="0.3">
      <c r="A3241" s="5">
        <v>39801</v>
      </c>
      <c r="B3241" s="10">
        <v>46297</v>
      </c>
    </row>
    <row r="3242" spans="1:2" x14ac:dyDescent="0.3">
      <c r="A3242" s="5">
        <v>39804</v>
      </c>
      <c r="B3242" s="10">
        <v>46363</v>
      </c>
    </row>
    <row r="3243" spans="1:2" x14ac:dyDescent="0.3">
      <c r="A3243" s="5">
        <v>39805</v>
      </c>
      <c r="B3243" s="10">
        <v>46389</v>
      </c>
    </row>
    <row r="3244" spans="1:2" x14ac:dyDescent="0.3">
      <c r="A3244" s="5">
        <v>39806</v>
      </c>
      <c r="B3244" s="10">
        <v>46374</v>
      </c>
    </row>
    <row r="3245" spans="1:2" x14ac:dyDescent="0.3">
      <c r="A3245" s="5">
        <v>39808</v>
      </c>
      <c r="B3245" s="10">
        <v>46407</v>
      </c>
    </row>
    <row r="3246" spans="1:2" x14ac:dyDescent="0.3">
      <c r="A3246" s="5">
        <v>39811</v>
      </c>
      <c r="B3246" s="10">
        <v>46577</v>
      </c>
    </row>
    <row r="3247" spans="1:2" x14ac:dyDescent="0.3">
      <c r="A3247" s="5">
        <v>39812</v>
      </c>
      <c r="B3247" s="10">
        <v>46362</v>
      </c>
    </row>
    <row r="3248" spans="1:2" x14ac:dyDescent="0.3">
      <c r="A3248" s="5">
        <v>39813</v>
      </c>
      <c r="B3248" s="10">
        <v>46386</v>
      </c>
    </row>
    <row r="3249" spans="1:2" x14ac:dyDescent="0.3">
      <c r="A3249" s="5">
        <v>39815</v>
      </c>
      <c r="B3249" s="10">
        <v>46408</v>
      </c>
    </row>
    <row r="3250" spans="1:2" x14ac:dyDescent="0.3">
      <c r="A3250" s="5">
        <v>39818</v>
      </c>
      <c r="B3250" s="10">
        <v>46273</v>
      </c>
    </row>
    <row r="3251" spans="1:2" x14ac:dyDescent="0.3">
      <c r="A3251" s="5">
        <v>39819</v>
      </c>
      <c r="B3251" s="10">
        <v>46331</v>
      </c>
    </row>
    <row r="3252" spans="1:2" x14ac:dyDescent="0.3">
      <c r="A3252" s="5">
        <v>39820</v>
      </c>
      <c r="B3252" s="10">
        <v>46456</v>
      </c>
    </row>
    <row r="3253" spans="1:2" x14ac:dyDescent="0.3">
      <c r="A3253" s="5">
        <v>39821</v>
      </c>
      <c r="B3253" s="10">
        <v>46567</v>
      </c>
    </row>
    <row r="3254" spans="1:2" x14ac:dyDescent="0.3">
      <c r="A3254" s="5">
        <v>39822</v>
      </c>
      <c r="B3254" s="10">
        <v>46669</v>
      </c>
    </row>
    <row r="3255" spans="1:2" x14ac:dyDescent="0.3">
      <c r="A3255" s="5">
        <v>39825</v>
      </c>
      <c r="B3255" s="10">
        <v>46660</v>
      </c>
    </row>
    <row r="3256" spans="1:2" x14ac:dyDescent="0.3">
      <c r="A3256" s="5">
        <v>39826</v>
      </c>
      <c r="B3256" s="10">
        <v>46755</v>
      </c>
    </row>
    <row r="3257" spans="1:2" x14ac:dyDescent="0.3">
      <c r="A3257" s="5">
        <v>39827</v>
      </c>
      <c r="B3257" s="10">
        <v>46803</v>
      </c>
    </row>
    <row r="3258" spans="1:2" x14ac:dyDescent="0.3">
      <c r="A3258" s="5">
        <v>39828</v>
      </c>
      <c r="B3258" s="10">
        <v>46824</v>
      </c>
    </row>
    <row r="3259" spans="1:2" x14ac:dyDescent="0.3">
      <c r="A3259" s="5">
        <v>39829</v>
      </c>
      <c r="B3259" s="10">
        <v>46967</v>
      </c>
    </row>
    <row r="3260" spans="1:2" x14ac:dyDescent="0.3">
      <c r="A3260" s="5">
        <v>39832</v>
      </c>
      <c r="B3260" s="10">
        <v>46964</v>
      </c>
    </row>
    <row r="3261" spans="1:2" x14ac:dyDescent="0.3">
      <c r="A3261" s="5">
        <v>39833</v>
      </c>
      <c r="B3261" s="10">
        <v>46993</v>
      </c>
    </row>
    <row r="3262" spans="1:2" x14ac:dyDescent="0.3">
      <c r="A3262" s="5">
        <v>39834</v>
      </c>
      <c r="B3262" s="10">
        <v>46951</v>
      </c>
    </row>
    <row r="3263" spans="1:2" x14ac:dyDescent="0.3">
      <c r="A3263" s="5">
        <v>39835</v>
      </c>
      <c r="B3263" s="10">
        <v>47006</v>
      </c>
    </row>
    <row r="3264" spans="1:2" x14ac:dyDescent="0.3">
      <c r="A3264" s="5">
        <v>39836</v>
      </c>
      <c r="B3264" s="10">
        <v>47026</v>
      </c>
    </row>
    <row r="3265" spans="1:2" x14ac:dyDescent="0.3">
      <c r="A3265" s="5">
        <v>39839</v>
      </c>
      <c r="B3265" s="10">
        <v>47048</v>
      </c>
    </row>
    <row r="3266" spans="1:2" x14ac:dyDescent="0.3">
      <c r="A3266" s="5">
        <v>39840</v>
      </c>
      <c r="B3266" s="10">
        <v>47058</v>
      </c>
    </row>
    <row r="3267" spans="1:2" x14ac:dyDescent="0.3">
      <c r="A3267" s="5">
        <v>39841</v>
      </c>
      <c r="B3267" s="10">
        <v>47062</v>
      </c>
    </row>
    <row r="3268" spans="1:2" x14ac:dyDescent="0.3">
      <c r="A3268" s="5">
        <v>39842</v>
      </c>
      <c r="B3268" s="10">
        <v>47105</v>
      </c>
    </row>
    <row r="3269" spans="1:2" x14ac:dyDescent="0.3">
      <c r="A3269" s="5">
        <v>39843</v>
      </c>
      <c r="B3269" s="10">
        <v>47009</v>
      </c>
    </row>
    <row r="3270" spans="1:2" x14ac:dyDescent="0.3">
      <c r="A3270" s="5">
        <v>39846</v>
      </c>
      <c r="B3270" s="10">
        <v>47044</v>
      </c>
    </row>
    <row r="3271" spans="1:2" x14ac:dyDescent="0.3">
      <c r="A3271" s="5">
        <v>39847</v>
      </c>
      <c r="B3271" s="10">
        <v>47034</v>
      </c>
    </row>
    <row r="3272" spans="1:2" x14ac:dyDescent="0.3">
      <c r="A3272" s="5">
        <v>39848</v>
      </c>
      <c r="B3272" s="10">
        <v>47029</v>
      </c>
    </row>
    <row r="3273" spans="1:2" x14ac:dyDescent="0.3">
      <c r="A3273" s="5">
        <v>39849</v>
      </c>
      <c r="B3273" s="10">
        <v>47035</v>
      </c>
    </row>
    <row r="3274" spans="1:2" x14ac:dyDescent="0.3">
      <c r="A3274" s="5">
        <v>39850</v>
      </c>
      <c r="B3274" s="10">
        <v>47027</v>
      </c>
    </row>
    <row r="3275" spans="1:2" x14ac:dyDescent="0.3">
      <c r="A3275" s="5">
        <v>39853</v>
      </c>
      <c r="B3275" s="10">
        <v>47041</v>
      </c>
    </row>
    <row r="3276" spans="1:2" x14ac:dyDescent="0.3">
      <c r="A3276" s="5">
        <v>39854</v>
      </c>
      <c r="B3276" s="10">
        <v>47051</v>
      </c>
    </row>
    <row r="3277" spans="1:2" x14ac:dyDescent="0.3">
      <c r="A3277" s="5">
        <v>39855</v>
      </c>
      <c r="B3277" s="10">
        <v>47067</v>
      </c>
    </row>
    <row r="3278" spans="1:2" x14ac:dyDescent="0.3">
      <c r="A3278" s="5">
        <v>39856</v>
      </c>
      <c r="B3278" s="10">
        <v>47122</v>
      </c>
    </row>
    <row r="3279" spans="1:2" x14ac:dyDescent="0.3">
      <c r="A3279" s="5">
        <v>39857</v>
      </c>
      <c r="B3279" s="10">
        <v>47169</v>
      </c>
    </row>
    <row r="3280" spans="1:2" x14ac:dyDescent="0.3">
      <c r="A3280" s="5">
        <v>39860</v>
      </c>
      <c r="B3280" s="10">
        <v>47157</v>
      </c>
    </row>
    <row r="3281" spans="1:2" x14ac:dyDescent="0.3">
      <c r="A3281" s="5">
        <v>39861</v>
      </c>
      <c r="B3281" s="10">
        <v>47036</v>
      </c>
    </row>
    <row r="3282" spans="1:2" x14ac:dyDescent="0.3">
      <c r="A3282" s="5">
        <v>39862</v>
      </c>
      <c r="B3282" s="10">
        <v>47025</v>
      </c>
    </row>
    <row r="3283" spans="1:2" x14ac:dyDescent="0.3">
      <c r="A3283" s="5">
        <v>39863</v>
      </c>
      <c r="B3283" s="10">
        <v>47034</v>
      </c>
    </row>
    <row r="3284" spans="1:2" x14ac:dyDescent="0.3">
      <c r="A3284" s="5">
        <v>39864</v>
      </c>
      <c r="B3284" s="10">
        <v>47047</v>
      </c>
    </row>
    <row r="3285" spans="1:2" x14ac:dyDescent="0.3">
      <c r="A3285" s="5">
        <v>39867</v>
      </c>
      <c r="B3285" s="10">
        <v>47065</v>
      </c>
    </row>
    <row r="3286" spans="1:2" x14ac:dyDescent="0.3">
      <c r="A3286" s="5">
        <v>39868</v>
      </c>
      <c r="B3286" s="10">
        <v>47053</v>
      </c>
    </row>
    <row r="3287" spans="1:2" x14ac:dyDescent="0.3">
      <c r="A3287" s="5">
        <v>39869</v>
      </c>
      <c r="B3287" s="10">
        <v>47049</v>
      </c>
    </row>
    <row r="3288" spans="1:2" x14ac:dyDescent="0.3">
      <c r="A3288" s="5">
        <v>39870</v>
      </c>
      <c r="B3288" s="10">
        <v>46995</v>
      </c>
    </row>
    <row r="3289" spans="1:2" x14ac:dyDescent="0.3">
      <c r="A3289" s="5">
        <v>39871</v>
      </c>
      <c r="B3289" s="10">
        <v>47025</v>
      </c>
    </row>
    <row r="3290" spans="1:2" x14ac:dyDescent="0.3">
      <c r="A3290" s="5">
        <v>39874</v>
      </c>
      <c r="B3290" s="10">
        <v>47040</v>
      </c>
    </row>
    <row r="3291" spans="1:2" x14ac:dyDescent="0.3">
      <c r="A3291" s="5">
        <v>39875</v>
      </c>
      <c r="B3291" s="10">
        <v>47024</v>
      </c>
    </row>
    <row r="3292" spans="1:2" x14ac:dyDescent="0.3">
      <c r="A3292" s="5">
        <v>39876</v>
      </c>
      <c r="B3292" s="10">
        <v>47009</v>
      </c>
    </row>
    <row r="3293" spans="1:2" x14ac:dyDescent="0.3">
      <c r="A3293" s="5">
        <v>39877</v>
      </c>
      <c r="B3293" s="10">
        <v>46983</v>
      </c>
    </row>
    <row r="3294" spans="1:2" x14ac:dyDescent="0.3">
      <c r="A3294" s="5">
        <v>39878</v>
      </c>
      <c r="B3294" s="10">
        <v>46964</v>
      </c>
    </row>
    <row r="3295" spans="1:2" x14ac:dyDescent="0.3">
      <c r="A3295" s="5">
        <v>39881</v>
      </c>
      <c r="B3295" s="10">
        <v>46796</v>
      </c>
    </row>
    <row r="3296" spans="1:2" x14ac:dyDescent="0.3">
      <c r="A3296" s="5">
        <v>39882</v>
      </c>
      <c r="B3296" s="10">
        <v>46988</v>
      </c>
    </row>
    <row r="3297" spans="1:2" x14ac:dyDescent="0.3">
      <c r="A3297" s="5">
        <v>39883</v>
      </c>
      <c r="B3297" s="10">
        <v>46960</v>
      </c>
    </row>
    <row r="3298" spans="1:2" x14ac:dyDescent="0.3">
      <c r="A3298" s="5">
        <v>39884</v>
      </c>
      <c r="B3298" s="10">
        <v>46943</v>
      </c>
    </row>
    <row r="3299" spans="1:2" x14ac:dyDescent="0.3">
      <c r="A3299" s="5">
        <v>39885</v>
      </c>
      <c r="B3299" s="10">
        <v>46972</v>
      </c>
    </row>
    <row r="3300" spans="1:2" x14ac:dyDescent="0.3">
      <c r="A3300" s="5">
        <v>39888</v>
      </c>
      <c r="B3300" s="10">
        <v>47004</v>
      </c>
    </row>
    <row r="3301" spans="1:2" x14ac:dyDescent="0.3">
      <c r="A3301" s="5">
        <v>39889</v>
      </c>
      <c r="B3301" s="10">
        <v>46972</v>
      </c>
    </row>
    <row r="3302" spans="1:2" x14ac:dyDescent="0.3">
      <c r="A3302" s="5">
        <v>39890</v>
      </c>
      <c r="B3302" s="10">
        <v>47002</v>
      </c>
    </row>
    <row r="3303" spans="1:2" x14ac:dyDescent="0.3">
      <c r="A3303" s="5">
        <v>39891</v>
      </c>
      <c r="B3303" s="10">
        <v>47055</v>
      </c>
    </row>
    <row r="3304" spans="1:2" x14ac:dyDescent="0.3">
      <c r="A3304" s="5">
        <v>39892</v>
      </c>
      <c r="B3304" s="10">
        <v>47025</v>
      </c>
    </row>
    <row r="3305" spans="1:2" x14ac:dyDescent="0.3">
      <c r="A3305" s="5">
        <v>39895</v>
      </c>
      <c r="B3305" s="10">
        <v>46943</v>
      </c>
    </row>
    <row r="3306" spans="1:2" x14ac:dyDescent="0.3">
      <c r="A3306" s="5">
        <v>39897</v>
      </c>
      <c r="B3306" s="10">
        <v>46952</v>
      </c>
    </row>
    <row r="3307" spans="1:2" x14ac:dyDescent="0.3">
      <c r="A3307" s="5">
        <v>39898</v>
      </c>
      <c r="B3307" s="10">
        <v>46926</v>
      </c>
    </row>
    <row r="3308" spans="1:2" x14ac:dyDescent="0.3">
      <c r="A3308" s="5">
        <v>39899</v>
      </c>
      <c r="B3308" s="10">
        <v>46822</v>
      </c>
    </row>
    <row r="3309" spans="1:2" x14ac:dyDescent="0.3">
      <c r="A3309" s="5">
        <v>39902</v>
      </c>
      <c r="B3309" s="10">
        <v>46514</v>
      </c>
    </row>
    <row r="3310" spans="1:2" x14ac:dyDescent="0.3">
      <c r="A3310" s="5">
        <v>39903</v>
      </c>
      <c r="B3310" s="10">
        <v>46509</v>
      </c>
    </row>
    <row r="3311" spans="1:2" x14ac:dyDescent="0.3">
      <c r="A3311" s="5">
        <v>39904</v>
      </c>
      <c r="B3311" s="10">
        <v>46390</v>
      </c>
    </row>
    <row r="3312" spans="1:2" x14ac:dyDescent="0.3">
      <c r="A3312" s="5">
        <v>39906</v>
      </c>
      <c r="B3312" s="10">
        <v>46224</v>
      </c>
    </row>
    <row r="3313" spans="1:2" x14ac:dyDescent="0.3">
      <c r="A3313" s="5">
        <v>39909</v>
      </c>
      <c r="B3313" s="10">
        <v>46106</v>
      </c>
    </row>
    <row r="3314" spans="1:2" x14ac:dyDescent="0.3">
      <c r="A3314" s="5">
        <v>39910</v>
      </c>
      <c r="B3314" s="10">
        <v>46062</v>
      </c>
    </row>
    <row r="3315" spans="1:2" x14ac:dyDescent="0.3">
      <c r="A3315" s="5">
        <v>39911</v>
      </c>
      <c r="B3315" s="10">
        <v>46071</v>
      </c>
    </row>
    <row r="3316" spans="1:2" x14ac:dyDescent="0.3">
      <c r="A3316" s="5">
        <v>39916</v>
      </c>
      <c r="B3316" s="10">
        <v>46270</v>
      </c>
    </row>
    <row r="3317" spans="1:2" x14ac:dyDescent="0.3">
      <c r="A3317" s="5">
        <v>39917</v>
      </c>
      <c r="B3317" s="10">
        <v>46334</v>
      </c>
    </row>
    <row r="3318" spans="1:2" x14ac:dyDescent="0.3">
      <c r="A3318" s="5">
        <v>39918</v>
      </c>
      <c r="B3318" s="10">
        <v>46217</v>
      </c>
    </row>
    <row r="3319" spans="1:2" x14ac:dyDescent="0.3">
      <c r="A3319" s="5">
        <v>39919</v>
      </c>
      <c r="B3319" s="10">
        <v>46352</v>
      </c>
    </row>
    <row r="3320" spans="1:2" x14ac:dyDescent="0.3">
      <c r="A3320" s="5">
        <v>39920</v>
      </c>
      <c r="B3320" s="10">
        <v>46247</v>
      </c>
    </row>
    <row r="3321" spans="1:2" x14ac:dyDescent="0.3">
      <c r="A3321" s="5">
        <v>39923</v>
      </c>
      <c r="B3321" s="10">
        <v>46274</v>
      </c>
    </row>
    <row r="3322" spans="1:2" x14ac:dyDescent="0.3">
      <c r="A3322" s="5">
        <v>39924</v>
      </c>
      <c r="B3322" s="10">
        <v>46269</v>
      </c>
    </row>
    <row r="3323" spans="1:2" x14ac:dyDescent="0.3">
      <c r="A3323" s="5">
        <v>39925</v>
      </c>
      <c r="B3323" s="10">
        <v>46346</v>
      </c>
    </row>
    <row r="3324" spans="1:2" x14ac:dyDescent="0.3">
      <c r="A3324" s="5">
        <v>39926</v>
      </c>
      <c r="B3324" s="10">
        <v>46410</v>
      </c>
    </row>
    <row r="3325" spans="1:2" x14ac:dyDescent="0.3">
      <c r="A3325" s="5">
        <v>39927</v>
      </c>
      <c r="B3325" s="10">
        <v>46405</v>
      </c>
    </row>
    <row r="3326" spans="1:2" x14ac:dyDescent="0.3">
      <c r="A3326" s="5">
        <v>39930</v>
      </c>
      <c r="B3326" s="10">
        <v>46425</v>
      </c>
    </row>
    <row r="3327" spans="1:2" x14ac:dyDescent="0.3">
      <c r="A3327" s="5">
        <v>39931</v>
      </c>
      <c r="B3327" s="10">
        <v>46459</v>
      </c>
    </row>
    <row r="3328" spans="1:2" x14ac:dyDescent="0.3">
      <c r="A3328" s="5">
        <v>39932</v>
      </c>
      <c r="B3328" s="10">
        <v>46392</v>
      </c>
    </row>
    <row r="3329" spans="1:2" x14ac:dyDescent="0.3">
      <c r="A3329" s="5">
        <v>39933</v>
      </c>
      <c r="B3329" s="10">
        <v>46368</v>
      </c>
    </row>
    <row r="3330" spans="1:2" x14ac:dyDescent="0.3">
      <c r="A3330" s="5">
        <v>39937</v>
      </c>
      <c r="B3330" s="10">
        <v>46472</v>
      </c>
    </row>
    <row r="3331" spans="1:2" x14ac:dyDescent="0.3">
      <c r="A3331" s="5">
        <v>39938</v>
      </c>
      <c r="B3331" s="10">
        <v>46445</v>
      </c>
    </row>
    <row r="3332" spans="1:2" x14ac:dyDescent="0.3">
      <c r="A3332" s="5">
        <v>39939</v>
      </c>
      <c r="B3332" s="10">
        <v>46446</v>
      </c>
    </row>
    <row r="3333" spans="1:2" x14ac:dyDescent="0.3">
      <c r="A3333" s="5">
        <v>39940</v>
      </c>
      <c r="B3333" s="10">
        <v>46492</v>
      </c>
    </row>
    <row r="3334" spans="1:2" x14ac:dyDescent="0.3">
      <c r="A3334" s="5">
        <v>39941</v>
      </c>
      <c r="B3334" s="10">
        <v>46503</v>
      </c>
    </row>
    <row r="3335" spans="1:2" x14ac:dyDescent="0.3">
      <c r="A3335" s="5">
        <v>39944</v>
      </c>
      <c r="B3335" s="10">
        <v>46462</v>
      </c>
    </row>
    <row r="3336" spans="1:2" x14ac:dyDescent="0.3">
      <c r="A3336" s="5">
        <v>39945</v>
      </c>
      <c r="B3336" s="10">
        <v>46483</v>
      </c>
    </row>
    <row r="3337" spans="1:2" x14ac:dyDescent="0.3">
      <c r="A3337" s="5">
        <v>39946</v>
      </c>
      <c r="B3337" s="10">
        <v>46555</v>
      </c>
    </row>
    <row r="3338" spans="1:2" x14ac:dyDescent="0.3">
      <c r="A3338" s="5">
        <v>39947</v>
      </c>
      <c r="B3338" s="10">
        <v>46612</v>
      </c>
    </row>
    <row r="3339" spans="1:2" x14ac:dyDescent="0.3">
      <c r="A3339" s="5">
        <v>39948</v>
      </c>
      <c r="B3339" s="10">
        <v>46516</v>
      </c>
    </row>
    <row r="3340" spans="1:2" x14ac:dyDescent="0.3">
      <c r="A3340" s="5">
        <v>39951</v>
      </c>
      <c r="B3340" s="10">
        <v>46533</v>
      </c>
    </row>
    <row r="3341" spans="1:2" x14ac:dyDescent="0.3">
      <c r="A3341" s="5">
        <v>39952</v>
      </c>
      <c r="B3341" s="10">
        <v>46661</v>
      </c>
    </row>
    <row r="3342" spans="1:2" x14ac:dyDescent="0.3">
      <c r="A3342" s="5">
        <v>39953</v>
      </c>
      <c r="B3342" s="10">
        <v>46720</v>
      </c>
    </row>
    <row r="3343" spans="1:2" x14ac:dyDescent="0.3">
      <c r="A3343" s="5">
        <v>39954</v>
      </c>
      <c r="B3343" s="10">
        <v>46742</v>
      </c>
    </row>
    <row r="3344" spans="1:2" x14ac:dyDescent="0.3">
      <c r="A3344" s="5">
        <v>39955</v>
      </c>
      <c r="B3344" s="10">
        <v>46730</v>
      </c>
    </row>
    <row r="3345" spans="1:2" x14ac:dyDescent="0.3">
      <c r="A3345" s="5">
        <v>39959</v>
      </c>
      <c r="B3345" s="10">
        <v>46725</v>
      </c>
    </row>
    <row r="3346" spans="1:2" x14ac:dyDescent="0.3">
      <c r="A3346" s="5">
        <v>39960</v>
      </c>
      <c r="B3346" s="10">
        <v>46656</v>
      </c>
    </row>
    <row r="3347" spans="1:2" x14ac:dyDescent="0.3">
      <c r="A3347" s="5">
        <v>39961</v>
      </c>
      <c r="B3347" s="10">
        <v>46524</v>
      </c>
    </row>
    <row r="3348" spans="1:2" x14ac:dyDescent="0.3">
      <c r="A3348" s="5">
        <v>39962</v>
      </c>
      <c r="B3348" s="10">
        <v>46545</v>
      </c>
    </row>
    <row r="3349" spans="1:2" x14ac:dyDescent="0.3">
      <c r="A3349" s="5">
        <v>39965</v>
      </c>
      <c r="B3349" s="10">
        <v>46502</v>
      </c>
    </row>
    <row r="3350" spans="1:2" x14ac:dyDescent="0.3">
      <c r="A3350" s="5">
        <v>39966</v>
      </c>
      <c r="B3350" s="10">
        <v>46484</v>
      </c>
    </row>
    <row r="3351" spans="1:2" x14ac:dyDescent="0.3">
      <c r="A3351" s="5">
        <v>39967</v>
      </c>
      <c r="B3351" s="10">
        <v>46485</v>
      </c>
    </row>
    <row r="3352" spans="1:2" x14ac:dyDescent="0.3">
      <c r="A3352" s="5">
        <v>39968</v>
      </c>
      <c r="B3352" s="10">
        <v>46487</v>
      </c>
    </row>
    <row r="3353" spans="1:2" x14ac:dyDescent="0.3">
      <c r="A3353" s="5">
        <v>39969</v>
      </c>
      <c r="B3353" s="10">
        <v>46351</v>
      </c>
    </row>
    <row r="3354" spans="1:2" x14ac:dyDescent="0.3">
      <c r="A3354" s="5">
        <v>39972</v>
      </c>
      <c r="B3354" s="10">
        <v>46339</v>
      </c>
    </row>
    <row r="3355" spans="1:2" x14ac:dyDescent="0.3">
      <c r="A3355" s="5">
        <v>39973</v>
      </c>
      <c r="B3355" s="10">
        <v>46406</v>
      </c>
    </row>
    <row r="3356" spans="1:2" x14ac:dyDescent="0.3">
      <c r="A3356" s="5">
        <v>39974</v>
      </c>
      <c r="B3356" s="10">
        <v>46411</v>
      </c>
    </row>
    <row r="3357" spans="1:2" x14ac:dyDescent="0.3">
      <c r="A3357" s="5">
        <v>39975</v>
      </c>
      <c r="B3357" s="10">
        <v>46600</v>
      </c>
    </row>
    <row r="3358" spans="1:2" x14ac:dyDescent="0.3">
      <c r="A3358" s="5">
        <v>39976</v>
      </c>
      <c r="B3358" s="10">
        <v>46485</v>
      </c>
    </row>
    <row r="3359" spans="1:2" x14ac:dyDescent="0.3">
      <c r="A3359" s="5">
        <v>39980</v>
      </c>
      <c r="B3359" s="10">
        <v>46469</v>
      </c>
    </row>
    <row r="3360" spans="1:2" x14ac:dyDescent="0.3">
      <c r="A3360" s="5">
        <v>39981</v>
      </c>
      <c r="B3360" s="10">
        <v>46398</v>
      </c>
    </row>
    <row r="3361" spans="1:2" x14ac:dyDescent="0.3">
      <c r="A3361" s="5">
        <v>39982</v>
      </c>
      <c r="B3361" s="10">
        <v>46492</v>
      </c>
    </row>
    <row r="3362" spans="1:2" x14ac:dyDescent="0.3">
      <c r="A3362" s="5">
        <v>39983</v>
      </c>
      <c r="B3362" s="10">
        <v>46489</v>
      </c>
    </row>
    <row r="3363" spans="1:2" x14ac:dyDescent="0.3">
      <c r="A3363" s="5">
        <v>39986</v>
      </c>
      <c r="B3363" s="10">
        <v>46435</v>
      </c>
    </row>
    <row r="3364" spans="1:2" x14ac:dyDescent="0.3">
      <c r="A3364" s="5">
        <v>39987</v>
      </c>
      <c r="B3364" s="10">
        <v>46436</v>
      </c>
    </row>
    <row r="3365" spans="1:2" x14ac:dyDescent="0.3">
      <c r="A3365" s="5">
        <v>39988</v>
      </c>
      <c r="B3365" s="10">
        <v>46365</v>
      </c>
    </row>
    <row r="3366" spans="1:2" x14ac:dyDescent="0.3">
      <c r="A3366" s="5">
        <v>39989</v>
      </c>
      <c r="B3366" s="10">
        <v>46292</v>
      </c>
    </row>
    <row r="3367" spans="1:2" x14ac:dyDescent="0.3">
      <c r="A3367" s="5">
        <v>39990</v>
      </c>
      <c r="B3367" s="10">
        <v>46167</v>
      </c>
    </row>
    <row r="3368" spans="1:2" x14ac:dyDescent="0.3">
      <c r="A3368" s="5">
        <v>39993</v>
      </c>
      <c r="B3368" s="10">
        <v>45966</v>
      </c>
    </row>
    <row r="3369" spans="1:2" x14ac:dyDescent="0.3">
      <c r="A3369" s="5">
        <v>39994</v>
      </c>
      <c r="B3369" s="10">
        <v>46026</v>
      </c>
    </row>
    <row r="3370" spans="1:2" x14ac:dyDescent="0.3">
      <c r="A3370" s="5">
        <v>39995</v>
      </c>
      <c r="B3370" s="10">
        <v>46035</v>
      </c>
    </row>
    <row r="3371" spans="1:2" x14ac:dyDescent="0.3">
      <c r="A3371" s="5">
        <v>39996</v>
      </c>
      <c r="B3371" s="10">
        <v>45833</v>
      </c>
    </row>
    <row r="3372" spans="1:2" x14ac:dyDescent="0.3">
      <c r="A3372" s="5">
        <v>39997</v>
      </c>
      <c r="B3372" s="10">
        <v>45934</v>
      </c>
    </row>
    <row r="3373" spans="1:2" x14ac:dyDescent="0.3">
      <c r="A3373" s="5">
        <v>40000</v>
      </c>
      <c r="B3373" s="10">
        <v>45966</v>
      </c>
    </row>
    <row r="3374" spans="1:2" x14ac:dyDescent="0.3">
      <c r="A3374" s="5">
        <v>40001</v>
      </c>
      <c r="B3374" s="10">
        <v>45972</v>
      </c>
    </row>
    <row r="3375" spans="1:2" x14ac:dyDescent="0.3">
      <c r="A3375" s="5">
        <v>40002</v>
      </c>
      <c r="B3375" s="10">
        <v>45772</v>
      </c>
    </row>
    <row r="3376" spans="1:2" x14ac:dyDescent="0.3">
      <c r="A3376" s="5">
        <v>40007</v>
      </c>
      <c r="B3376" s="10">
        <v>45978</v>
      </c>
    </row>
    <row r="3377" spans="1:2" x14ac:dyDescent="0.3">
      <c r="A3377" s="5">
        <v>40008</v>
      </c>
      <c r="B3377" s="10">
        <v>45979</v>
      </c>
    </row>
    <row r="3378" spans="1:2" x14ac:dyDescent="0.3">
      <c r="A3378" s="5">
        <v>40009</v>
      </c>
      <c r="B3378" s="10">
        <v>45983</v>
      </c>
    </row>
    <row r="3379" spans="1:2" x14ac:dyDescent="0.3">
      <c r="A3379" s="5">
        <v>40010</v>
      </c>
      <c r="B3379" s="10">
        <v>46019</v>
      </c>
    </row>
    <row r="3380" spans="1:2" x14ac:dyDescent="0.3">
      <c r="A3380" s="5">
        <v>40011</v>
      </c>
      <c r="B3380" s="10">
        <v>46068</v>
      </c>
    </row>
    <row r="3381" spans="1:2" x14ac:dyDescent="0.3">
      <c r="A3381" s="5">
        <v>40014</v>
      </c>
      <c r="B3381" s="10">
        <v>46137</v>
      </c>
    </row>
    <row r="3382" spans="1:2" x14ac:dyDescent="0.3">
      <c r="A3382" s="5">
        <v>40015</v>
      </c>
      <c r="B3382" s="10">
        <v>46123</v>
      </c>
    </row>
    <row r="3383" spans="1:2" x14ac:dyDescent="0.3">
      <c r="A3383" s="5">
        <v>40016</v>
      </c>
      <c r="B3383" s="10">
        <v>46092</v>
      </c>
    </row>
    <row r="3384" spans="1:2" x14ac:dyDescent="0.3">
      <c r="A3384" s="5">
        <v>40017</v>
      </c>
      <c r="B3384" s="10">
        <v>46144</v>
      </c>
    </row>
    <row r="3385" spans="1:2" x14ac:dyDescent="0.3">
      <c r="A3385" s="5">
        <v>40018</v>
      </c>
      <c r="B3385" s="10">
        <v>46109</v>
      </c>
    </row>
    <row r="3386" spans="1:2" x14ac:dyDescent="0.3">
      <c r="A3386" s="5">
        <v>40021</v>
      </c>
      <c r="B3386" s="10">
        <v>46126</v>
      </c>
    </row>
    <row r="3387" spans="1:2" x14ac:dyDescent="0.3">
      <c r="A3387" s="5">
        <v>40022</v>
      </c>
      <c r="B3387" s="10">
        <v>46071</v>
      </c>
    </row>
    <row r="3388" spans="1:2" x14ac:dyDescent="0.3">
      <c r="A3388" s="5">
        <v>40023</v>
      </c>
      <c r="B3388" s="10">
        <v>46066</v>
      </c>
    </row>
    <row r="3389" spans="1:2" x14ac:dyDescent="0.3">
      <c r="A3389" s="5">
        <v>40024</v>
      </c>
      <c r="B3389" s="10">
        <v>46023</v>
      </c>
    </row>
    <row r="3390" spans="1:2" x14ac:dyDescent="0.3">
      <c r="A3390" s="5">
        <v>40025</v>
      </c>
      <c r="B3390" s="10">
        <v>46047</v>
      </c>
    </row>
    <row r="3391" spans="1:2" x14ac:dyDescent="0.3">
      <c r="A3391" s="5">
        <v>40028</v>
      </c>
      <c r="B3391" s="10">
        <v>44685</v>
      </c>
    </row>
    <row r="3392" spans="1:2" x14ac:dyDescent="0.3">
      <c r="A3392" s="5">
        <v>40029</v>
      </c>
      <c r="B3392" s="10">
        <v>44547</v>
      </c>
    </row>
    <row r="3393" spans="1:2" x14ac:dyDescent="0.3">
      <c r="A3393" s="5">
        <v>40030</v>
      </c>
      <c r="B3393" s="10">
        <v>44592</v>
      </c>
    </row>
    <row r="3394" spans="1:2" x14ac:dyDescent="0.3">
      <c r="A3394" s="5">
        <v>40031</v>
      </c>
      <c r="B3394" s="10">
        <v>44492</v>
      </c>
    </row>
    <row r="3395" spans="1:2" x14ac:dyDescent="0.3">
      <c r="A3395" s="5">
        <v>40032</v>
      </c>
      <c r="B3395" s="10">
        <v>44496</v>
      </c>
    </row>
    <row r="3396" spans="1:2" x14ac:dyDescent="0.3">
      <c r="A3396" s="5">
        <v>40035</v>
      </c>
      <c r="B3396" s="10">
        <v>44562</v>
      </c>
    </row>
    <row r="3397" spans="1:2" x14ac:dyDescent="0.3">
      <c r="A3397" s="5">
        <v>40036</v>
      </c>
      <c r="B3397" s="10">
        <v>44597</v>
      </c>
    </row>
    <row r="3398" spans="1:2" x14ac:dyDescent="0.3">
      <c r="A3398" s="5">
        <v>40037</v>
      </c>
      <c r="B3398" s="10">
        <v>44653</v>
      </c>
    </row>
    <row r="3399" spans="1:2" x14ac:dyDescent="0.3">
      <c r="A3399" s="5">
        <v>40038</v>
      </c>
      <c r="B3399" s="10">
        <v>44809</v>
      </c>
    </row>
    <row r="3400" spans="1:2" x14ac:dyDescent="0.3">
      <c r="A3400" s="5">
        <v>40039</v>
      </c>
      <c r="B3400" s="10">
        <v>44795</v>
      </c>
    </row>
    <row r="3401" spans="1:2" x14ac:dyDescent="0.3">
      <c r="A3401" s="5">
        <v>40043</v>
      </c>
      <c r="B3401" s="10">
        <v>44738</v>
      </c>
    </row>
    <row r="3402" spans="1:2" x14ac:dyDescent="0.3">
      <c r="A3402" s="5">
        <v>40044</v>
      </c>
      <c r="B3402" s="10">
        <v>44794</v>
      </c>
    </row>
    <row r="3403" spans="1:2" x14ac:dyDescent="0.3">
      <c r="A3403" s="5">
        <v>40045</v>
      </c>
      <c r="B3403" s="10">
        <v>44794</v>
      </c>
    </row>
    <row r="3404" spans="1:2" x14ac:dyDescent="0.3">
      <c r="A3404" s="5">
        <v>40046</v>
      </c>
      <c r="B3404" s="10">
        <v>44905</v>
      </c>
    </row>
    <row r="3405" spans="1:2" x14ac:dyDescent="0.3">
      <c r="A3405" s="5">
        <v>40049</v>
      </c>
      <c r="B3405" s="10">
        <v>44931</v>
      </c>
    </row>
    <row r="3406" spans="1:2" x14ac:dyDescent="0.3">
      <c r="A3406" s="5">
        <v>40050</v>
      </c>
      <c r="B3406" s="10">
        <v>44909</v>
      </c>
    </row>
    <row r="3407" spans="1:2" x14ac:dyDescent="0.3">
      <c r="A3407" s="5">
        <v>40051</v>
      </c>
      <c r="B3407" s="10">
        <v>44884</v>
      </c>
    </row>
    <row r="3408" spans="1:2" x14ac:dyDescent="0.3">
      <c r="A3408" s="5">
        <v>40052</v>
      </c>
      <c r="B3408" s="10">
        <v>44907</v>
      </c>
    </row>
    <row r="3409" spans="1:2" x14ac:dyDescent="0.3">
      <c r="A3409" s="5">
        <v>40053</v>
      </c>
      <c r="B3409" s="10">
        <v>44994</v>
      </c>
    </row>
    <row r="3410" spans="1:2" x14ac:dyDescent="0.3">
      <c r="A3410" s="5">
        <v>40056</v>
      </c>
      <c r="B3410" s="10">
        <v>45021</v>
      </c>
    </row>
    <row r="3411" spans="1:2" x14ac:dyDescent="0.3">
      <c r="A3411" s="5">
        <v>40057</v>
      </c>
      <c r="B3411" s="10">
        <v>45047</v>
      </c>
    </row>
    <row r="3412" spans="1:2" x14ac:dyDescent="0.3">
      <c r="A3412" s="5">
        <v>40058</v>
      </c>
      <c r="B3412" s="10">
        <v>45061</v>
      </c>
    </row>
    <row r="3413" spans="1:2" x14ac:dyDescent="0.3">
      <c r="A3413" s="5">
        <v>40059</v>
      </c>
      <c r="B3413" s="10">
        <v>45075</v>
      </c>
    </row>
    <row r="3414" spans="1:2" x14ac:dyDescent="0.3">
      <c r="A3414" s="5">
        <v>40060</v>
      </c>
      <c r="B3414" s="10">
        <v>45130</v>
      </c>
    </row>
    <row r="3415" spans="1:2" x14ac:dyDescent="0.3">
      <c r="A3415" s="5">
        <v>40063</v>
      </c>
      <c r="B3415" s="10">
        <v>45130</v>
      </c>
    </row>
    <row r="3416" spans="1:2" x14ac:dyDescent="0.3">
      <c r="A3416" s="5">
        <v>40064</v>
      </c>
      <c r="B3416" s="10">
        <v>45091</v>
      </c>
    </row>
    <row r="3417" spans="1:2" x14ac:dyDescent="0.3">
      <c r="A3417" s="5">
        <v>40065</v>
      </c>
      <c r="B3417" s="10">
        <v>45193</v>
      </c>
    </row>
    <row r="3418" spans="1:2" x14ac:dyDescent="0.3">
      <c r="A3418" s="5">
        <v>40066</v>
      </c>
      <c r="B3418" s="10">
        <v>45187</v>
      </c>
    </row>
    <row r="3419" spans="1:2" x14ac:dyDescent="0.3">
      <c r="A3419" s="5">
        <v>40067</v>
      </c>
      <c r="B3419" s="10">
        <v>45134</v>
      </c>
    </row>
    <row r="3420" spans="1:2" x14ac:dyDescent="0.3">
      <c r="A3420" s="5">
        <v>40070</v>
      </c>
      <c r="B3420" s="10">
        <v>45112</v>
      </c>
    </row>
    <row r="3421" spans="1:2" x14ac:dyDescent="0.3">
      <c r="A3421" s="5">
        <v>40071</v>
      </c>
      <c r="B3421" s="10">
        <v>45132</v>
      </c>
    </row>
    <row r="3422" spans="1:2" x14ac:dyDescent="0.3">
      <c r="A3422" s="5">
        <v>40072</v>
      </c>
      <c r="B3422" s="10">
        <v>45189</v>
      </c>
    </row>
    <row r="3423" spans="1:2" x14ac:dyDescent="0.3">
      <c r="A3423" s="5">
        <v>40073</v>
      </c>
      <c r="B3423" s="10">
        <v>45151</v>
      </c>
    </row>
    <row r="3424" spans="1:2" x14ac:dyDescent="0.3">
      <c r="A3424" s="5">
        <v>40074</v>
      </c>
      <c r="B3424" s="10">
        <v>45175</v>
      </c>
    </row>
    <row r="3425" spans="1:2" x14ac:dyDescent="0.3">
      <c r="A3425" s="5">
        <v>40077</v>
      </c>
      <c r="B3425" s="10">
        <v>45207</v>
      </c>
    </row>
    <row r="3426" spans="1:2" x14ac:dyDescent="0.3">
      <c r="A3426" s="5">
        <v>40078</v>
      </c>
      <c r="B3426" s="10">
        <v>45312</v>
      </c>
    </row>
    <row r="3427" spans="1:2" x14ac:dyDescent="0.3">
      <c r="A3427" s="5">
        <v>40079</v>
      </c>
      <c r="B3427" s="10">
        <v>45290</v>
      </c>
    </row>
    <row r="3428" spans="1:2" x14ac:dyDescent="0.3">
      <c r="A3428" s="5">
        <v>40080</v>
      </c>
      <c r="B3428" s="10">
        <v>45384</v>
      </c>
    </row>
    <row r="3429" spans="1:2" x14ac:dyDescent="0.3">
      <c r="A3429" s="5">
        <v>40081</v>
      </c>
      <c r="B3429" s="10">
        <v>45322</v>
      </c>
    </row>
    <row r="3430" spans="1:2" x14ac:dyDescent="0.3">
      <c r="A3430" s="5">
        <v>40084</v>
      </c>
      <c r="B3430" s="10">
        <v>45282</v>
      </c>
    </row>
    <row r="3431" spans="1:2" x14ac:dyDescent="0.3">
      <c r="A3431" s="5">
        <v>40085</v>
      </c>
      <c r="B3431" s="10">
        <v>45309</v>
      </c>
    </row>
    <row r="3432" spans="1:2" x14ac:dyDescent="0.3">
      <c r="A3432" s="5">
        <v>40086</v>
      </c>
      <c r="B3432" s="10">
        <v>45348</v>
      </c>
    </row>
    <row r="3433" spans="1:2" x14ac:dyDescent="0.3">
      <c r="A3433" s="5">
        <v>40087</v>
      </c>
      <c r="B3433" s="10">
        <v>45351</v>
      </c>
    </row>
    <row r="3434" spans="1:2" x14ac:dyDescent="0.3">
      <c r="A3434" s="5">
        <v>40088</v>
      </c>
      <c r="B3434" s="10">
        <v>45396</v>
      </c>
    </row>
    <row r="3435" spans="1:2" x14ac:dyDescent="0.3">
      <c r="A3435" s="5">
        <v>40091</v>
      </c>
      <c r="B3435" s="10">
        <v>45307</v>
      </c>
    </row>
    <row r="3436" spans="1:2" x14ac:dyDescent="0.3">
      <c r="A3436" s="5">
        <v>40092</v>
      </c>
      <c r="B3436" s="10">
        <v>45421</v>
      </c>
    </row>
    <row r="3437" spans="1:2" x14ac:dyDescent="0.3">
      <c r="A3437" s="5">
        <v>40093</v>
      </c>
      <c r="B3437" s="10">
        <v>45463</v>
      </c>
    </row>
    <row r="3438" spans="1:2" x14ac:dyDescent="0.3">
      <c r="A3438" s="5">
        <v>40094</v>
      </c>
      <c r="B3438" s="10">
        <v>45532</v>
      </c>
    </row>
    <row r="3439" spans="1:2" x14ac:dyDescent="0.3">
      <c r="A3439" s="5">
        <v>40095</v>
      </c>
      <c r="B3439" s="10">
        <v>45455</v>
      </c>
    </row>
    <row r="3440" spans="1:2" x14ac:dyDescent="0.3">
      <c r="A3440" s="5">
        <v>40099</v>
      </c>
      <c r="B3440" s="10">
        <v>45575</v>
      </c>
    </row>
    <row r="3441" spans="1:2" x14ac:dyDescent="0.3">
      <c r="A3441" s="5">
        <v>40100</v>
      </c>
      <c r="B3441" s="10">
        <v>45591</v>
      </c>
    </row>
    <row r="3442" spans="1:2" x14ac:dyDescent="0.3">
      <c r="A3442" s="5">
        <v>40101</v>
      </c>
      <c r="B3442" s="10">
        <v>45583</v>
      </c>
    </row>
    <row r="3443" spans="1:2" x14ac:dyDescent="0.3">
      <c r="A3443" s="5">
        <v>40102</v>
      </c>
      <c r="B3443" s="10">
        <v>45618</v>
      </c>
    </row>
    <row r="3444" spans="1:2" x14ac:dyDescent="0.3">
      <c r="A3444" s="5">
        <v>40105</v>
      </c>
      <c r="B3444" s="10">
        <v>45688</v>
      </c>
    </row>
    <row r="3445" spans="1:2" x14ac:dyDescent="0.3">
      <c r="A3445" s="5">
        <v>40106</v>
      </c>
      <c r="B3445" s="10">
        <v>45858</v>
      </c>
    </row>
    <row r="3446" spans="1:2" x14ac:dyDescent="0.3">
      <c r="A3446" s="5">
        <v>40107</v>
      </c>
      <c r="B3446" s="10">
        <v>45947</v>
      </c>
    </row>
    <row r="3447" spans="1:2" x14ac:dyDescent="0.3">
      <c r="A3447" s="5">
        <v>40108</v>
      </c>
      <c r="B3447" s="10">
        <v>46050</v>
      </c>
    </row>
    <row r="3448" spans="1:2" x14ac:dyDescent="0.3">
      <c r="A3448" s="5">
        <v>40109</v>
      </c>
      <c r="B3448" s="10">
        <v>46048</v>
      </c>
    </row>
    <row r="3449" spans="1:2" x14ac:dyDescent="0.3">
      <c r="A3449" s="5">
        <v>40112</v>
      </c>
      <c r="B3449" s="10">
        <v>46104</v>
      </c>
    </row>
    <row r="3450" spans="1:2" x14ac:dyDescent="0.3">
      <c r="A3450" s="5">
        <v>40113</v>
      </c>
      <c r="B3450" s="10">
        <v>46181</v>
      </c>
    </row>
    <row r="3451" spans="1:2" x14ac:dyDescent="0.3">
      <c r="A3451" s="5">
        <v>40114</v>
      </c>
      <c r="B3451" s="10">
        <v>46208</v>
      </c>
    </row>
    <row r="3452" spans="1:2" x14ac:dyDescent="0.3">
      <c r="A3452" s="5">
        <v>40115</v>
      </c>
      <c r="B3452" s="10">
        <v>46305</v>
      </c>
    </row>
    <row r="3453" spans="1:2" x14ac:dyDescent="0.3">
      <c r="A3453" s="5">
        <v>40116</v>
      </c>
      <c r="B3453" s="10">
        <v>46277</v>
      </c>
    </row>
    <row r="3454" spans="1:2" x14ac:dyDescent="0.3">
      <c r="A3454" s="5">
        <v>40119</v>
      </c>
      <c r="B3454" s="10">
        <v>46346</v>
      </c>
    </row>
    <row r="3455" spans="1:2" x14ac:dyDescent="0.3">
      <c r="A3455" s="5">
        <v>40120</v>
      </c>
      <c r="B3455" s="10">
        <v>46406</v>
      </c>
    </row>
    <row r="3456" spans="1:2" x14ac:dyDescent="0.3">
      <c r="A3456" s="5">
        <v>40121</v>
      </c>
      <c r="B3456" s="10">
        <v>46480</v>
      </c>
    </row>
    <row r="3457" spans="1:2" x14ac:dyDescent="0.3">
      <c r="A3457" s="5">
        <v>40122</v>
      </c>
      <c r="B3457" s="10">
        <v>46596</v>
      </c>
    </row>
    <row r="3458" spans="1:2" x14ac:dyDescent="0.3">
      <c r="A3458" s="5">
        <v>40126</v>
      </c>
      <c r="B3458" s="10">
        <v>46781</v>
      </c>
    </row>
    <row r="3459" spans="1:2" x14ac:dyDescent="0.3">
      <c r="A3459" s="5">
        <v>40127</v>
      </c>
      <c r="B3459" s="10">
        <v>46875</v>
      </c>
    </row>
    <row r="3460" spans="1:2" x14ac:dyDescent="0.3">
      <c r="A3460" s="5">
        <v>40128</v>
      </c>
      <c r="B3460" s="10">
        <v>46878</v>
      </c>
    </row>
    <row r="3461" spans="1:2" x14ac:dyDescent="0.3">
      <c r="A3461" s="5">
        <v>40129</v>
      </c>
      <c r="B3461" s="10">
        <v>46610</v>
      </c>
    </row>
    <row r="3462" spans="1:2" x14ac:dyDescent="0.3">
      <c r="A3462" s="5">
        <v>40130</v>
      </c>
      <c r="B3462" s="10">
        <v>46692</v>
      </c>
    </row>
    <row r="3463" spans="1:2" x14ac:dyDescent="0.3">
      <c r="A3463" s="5">
        <v>40133</v>
      </c>
      <c r="B3463" s="10">
        <v>46661</v>
      </c>
    </row>
    <row r="3464" spans="1:2" x14ac:dyDescent="0.3">
      <c r="A3464" s="5">
        <v>40134</v>
      </c>
      <c r="B3464" s="10">
        <v>46761</v>
      </c>
    </row>
    <row r="3465" spans="1:2" x14ac:dyDescent="0.3">
      <c r="A3465" s="5">
        <v>40135</v>
      </c>
      <c r="B3465" s="10">
        <v>46739</v>
      </c>
    </row>
    <row r="3466" spans="1:2" x14ac:dyDescent="0.3">
      <c r="A3466" s="5">
        <v>40136</v>
      </c>
      <c r="B3466" s="10">
        <v>46782</v>
      </c>
    </row>
    <row r="3467" spans="1:2" x14ac:dyDescent="0.3">
      <c r="A3467" s="5">
        <v>40137</v>
      </c>
      <c r="B3467" s="10">
        <v>47011</v>
      </c>
    </row>
    <row r="3468" spans="1:2" x14ac:dyDescent="0.3">
      <c r="A3468" s="5">
        <v>40140</v>
      </c>
      <c r="B3468" s="10">
        <v>47176</v>
      </c>
    </row>
    <row r="3469" spans="1:2" x14ac:dyDescent="0.3">
      <c r="A3469" s="5">
        <v>40141</v>
      </c>
      <c r="B3469" s="10">
        <v>47141</v>
      </c>
    </row>
    <row r="3470" spans="1:2" x14ac:dyDescent="0.3">
      <c r="A3470" s="5">
        <v>40142</v>
      </c>
      <c r="B3470" s="10">
        <v>47177</v>
      </c>
    </row>
    <row r="3471" spans="1:2" x14ac:dyDescent="0.3">
      <c r="A3471" s="5">
        <v>40143</v>
      </c>
      <c r="B3471" s="10">
        <v>47232</v>
      </c>
    </row>
    <row r="3472" spans="1:2" x14ac:dyDescent="0.3">
      <c r="A3472" s="5">
        <v>40144</v>
      </c>
      <c r="B3472" s="10">
        <v>47081</v>
      </c>
    </row>
    <row r="3473" spans="1:2" x14ac:dyDescent="0.3">
      <c r="A3473" s="5">
        <v>40147</v>
      </c>
      <c r="B3473" s="10">
        <v>47072</v>
      </c>
    </row>
    <row r="3474" spans="1:2" x14ac:dyDescent="0.3">
      <c r="A3474" s="5">
        <v>40148</v>
      </c>
      <c r="B3474" s="10">
        <v>47132</v>
      </c>
    </row>
    <row r="3475" spans="1:2" x14ac:dyDescent="0.3">
      <c r="A3475" s="5">
        <v>40149</v>
      </c>
      <c r="B3475" s="10">
        <v>47341</v>
      </c>
    </row>
    <row r="3476" spans="1:2" x14ac:dyDescent="0.3">
      <c r="A3476" s="5">
        <v>40150</v>
      </c>
      <c r="B3476" s="10">
        <v>47307</v>
      </c>
    </row>
    <row r="3477" spans="1:2" x14ac:dyDescent="0.3">
      <c r="A3477" s="5">
        <v>40151</v>
      </c>
      <c r="B3477" s="10">
        <v>47218</v>
      </c>
    </row>
    <row r="3478" spans="1:2" x14ac:dyDescent="0.3">
      <c r="A3478" s="5">
        <v>40154</v>
      </c>
      <c r="B3478" s="10">
        <v>47292</v>
      </c>
    </row>
    <row r="3479" spans="1:2" x14ac:dyDescent="0.3">
      <c r="A3479" s="5">
        <v>40156</v>
      </c>
      <c r="B3479" s="10">
        <v>47354</v>
      </c>
    </row>
    <row r="3480" spans="1:2" x14ac:dyDescent="0.3">
      <c r="A3480" s="5">
        <v>40157</v>
      </c>
      <c r="B3480" s="10">
        <v>47446</v>
      </c>
    </row>
    <row r="3481" spans="1:2" x14ac:dyDescent="0.3">
      <c r="A3481" s="5">
        <v>40158</v>
      </c>
      <c r="B3481" s="10">
        <v>47555</v>
      </c>
    </row>
    <row r="3482" spans="1:2" x14ac:dyDescent="0.3">
      <c r="A3482" s="5">
        <v>40161</v>
      </c>
      <c r="B3482" s="10">
        <v>47582</v>
      </c>
    </row>
    <row r="3483" spans="1:2" x14ac:dyDescent="0.3">
      <c r="A3483" s="5">
        <v>40162</v>
      </c>
      <c r="B3483" s="10">
        <v>47717</v>
      </c>
    </row>
    <row r="3484" spans="1:2" x14ac:dyDescent="0.3">
      <c r="A3484" s="5">
        <v>40163</v>
      </c>
      <c r="B3484" s="10">
        <v>47982</v>
      </c>
    </row>
    <row r="3485" spans="1:2" x14ac:dyDescent="0.3">
      <c r="A3485" s="5">
        <v>40164</v>
      </c>
      <c r="B3485" s="10">
        <v>47888</v>
      </c>
    </row>
    <row r="3486" spans="1:2" x14ac:dyDescent="0.3">
      <c r="A3486" s="5">
        <v>40165</v>
      </c>
      <c r="B3486" s="10">
        <v>47946</v>
      </c>
    </row>
    <row r="3487" spans="1:2" x14ac:dyDescent="0.3">
      <c r="A3487" s="5">
        <v>40168</v>
      </c>
      <c r="B3487" s="10">
        <v>47922</v>
      </c>
    </row>
    <row r="3488" spans="1:2" x14ac:dyDescent="0.3">
      <c r="A3488" s="5">
        <v>40169</v>
      </c>
      <c r="B3488" s="10">
        <v>48102</v>
      </c>
    </row>
    <row r="3489" spans="1:2" x14ac:dyDescent="0.3">
      <c r="A3489" s="5">
        <v>40170</v>
      </c>
      <c r="B3489" s="10">
        <v>48156</v>
      </c>
    </row>
    <row r="3490" spans="1:2" x14ac:dyDescent="0.3">
      <c r="A3490" s="5">
        <v>40171</v>
      </c>
      <c r="B3490" s="10">
        <v>48123</v>
      </c>
    </row>
    <row r="3491" spans="1:2" x14ac:dyDescent="0.3">
      <c r="A3491" s="5">
        <v>40175</v>
      </c>
      <c r="B3491" s="10">
        <v>48184</v>
      </c>
    </row>
    <row r="3492" spans="1:2" x14ac:dyDescent="0.3">
      <c r="A3492" s="5">
        <v>40176</v>
      </c>
      <c r="B3492" s="10">
        <v>48088</v>
      </c>
    </row>
    <row r="3493" spans="1:2" x14ac:dyDescent="0.3">
      <c r="A3493" s="5">
        <v>40177</v>
      </c>
      <c r="B3493" s="10">
        <v>47815</v>
      </c>
    </row>
    <row r="3494" spans="1:2" x14ac:dyDescent="0.3">
      <c r="A3494" s="5">
        <v>40178</v>
      </c>
      <c r="B3494" s="10">
        <v>47967</v>
      </c>
    </row>
    <row r="3495" spans="1:2" x14ac:dyDescent="0.3">
      <c r="A3495" s="5">
        <v>40182</v>
      </c>
      <c r="B3495" s="10">
        <v>48068</v>
      </c>
    </row>
    <row r="3496" spans="1:2" x14ac:dyDescent="0.3">
      <c r="A3496" s="5">
        <v>40183</v>
      </c>
      <c r="B3496" s="10">
        <v>47974</v>
      </c>
    </row>
    <row r="3497" spans="1:2" x14ac:dyDescent="0.3">
      <c r="A3497" s="5">
        <v>40184</v>
      </c>
      <c r="B3497" s="10">
        <v>48092</v>
      </c>
    </row>
    <row r="3498" spans="1:2" x14ac:dyDescent="0.3">
      <c r="A3498" s="5">
        <v>40185</v>
      </c>
      <c r="B3498" s="10">
        <v>48100</v>
      </c>
    </row>
    <row r="3499" spans="1:2" x14ac:dyDescent="0.3">
      <c r="A3499" s="5">
        <v>40186</v>
      </c>
      <c r="B3499" s="10">
        <v>48085</v>
      </c>
    </row>
    <row r="3500" spans="1:2" x14ac:dyDescent="0.3">
      <c r="A3500" s="5">
        <v>40189</v>
      </c>
      <c r="B3500" s="10">
        <v>48192</v>
      </c>
    </row>
    <row r="3501" spans="1:2" x14ac:dyDescent="0.3">
      <c r="A3501" s="5">
        <v>40190</v>
      </c>
      <c r="B3501" s="10">
        <v>48146</v>
      </c>
    </row>
    <row r="3502" spans="1:2" x14ac:dyDescent="0.3">
      <c r="A3502" s="5">
        <v>40191</v>
      </c>
      <c r="B3502" s="10">
        <v>48140</v>
      </c>
    </row>
    <row r="3503" spans="1:2" x14ac:dyDescent="0.3">
      <c r="A3503" s="5">
        <v>40192</v>
      </c>
      <c r="B3503" s="10">
        <v>48303</v>
      </c>
    </row>
    <row r="3504" spans="1:2" x14ac:dyDescent="0.3">
      <c r="A3504" s="5">
        <v>40193</v>
      </c>
      <c r="B3504" s="10">
        <v>48015</v>
      </c>
    </row>
    <row r="3505" spans="1:2" x14ac:dyDescent="0.3">
      <c r="A3505" s="5">
        <v>40196</v>
      </c>
      <c r="B3505" s="10">
        <v>48108</v>
      </c>
    </row>
    <row r="3506" spans="1:2" x14ac:dyDescent="0.3">
      <c r="A3506" s="5">
        <v>40197</v>
      </c>
      <c r="B3506" s="10">
        <v>48141</v>
      </c>
    </row>
    <row r="3507" spans="1:2" x14ac:dyDescent="0.3">
      <c r="A3507" s="5">
        <v>40198</v>
      </c>
      <c r="B3507" s="10">
        <v>48067</v>
      </c>
    </row>
    <row r="3508" spans="1:2" x14ac:dyDescent="0.3">
      <c r="A3508" s="5">
        <v>40199</v>
      </c>
      <c r="B3508" s="10">
        <v>48114</v>
      </c>
    </row>
    <row r="3509" spans="1:2" x14ac:dyDescent="0.3">
      <c r="A3509" s="5">
        <v>40200</v>
      </c>
      <c r="B3509" s="10">
        <v>48277</v>
      </c>
    </row>
    <row r="3510" spans="1:2" x14ac:dyDescent="0.3">
      <c r="A3510" s="5">
        <v>40203</v>
      </c>
      <c r="B3510" s="10">
        <v>48317</v>
      </c>
    </row>
    <row r="3511" spans="1:2" x14ac:dyDescent="0.3">
      <c r="A3511" s="5">
        <v>40204</v>
      </c>
      <c r="B3511" s="10">
        <v>48201</v>
      </c>
    </row>
    <row r="3512" spans="1:2" x14ac:dyDescent="0.3">
      <c r="A3512" s="5">
        <v>40205</v>
      </c>
      <c r="B3512" s="10">
        <v>48161</v>
      </c>
    </row>
    <row r="3513" spans="1:2" x14ac:dyDescent="0.3">
      <c r="A3513" s="5">
        <v>40206</v>
      </c>
      <c r="B3513" s="10">
        <v>48064</v>
      </c>
    </row>
    <row r="3514" spans="1:2" x14ac:dyDescent="0.3">
      <c r="A3514" s="5">
        <v>40207</v>
      </c>
      <c r="B3514" s="10">
        <v>48129</v>
      </c>
    </row>
    <row r="3515" spans="1:2" x14ac:dyDescent="0.3">
      <c r="A3515" s="5">
        <v>40210</v>
      </c>
      <c r="B3515" s="10">
        <v>48059</v>
      </c>
    </row>
    <row r="3516" spans="1:2" x14ac:dyDescent="0.3">
      <c r="A3516" s="5">
        <v>40211</v>
      </c>
      <c r="B3516" s="10">
        <v>48031</v>
      </c>
    </row>
    <row r="3517" spans="1:2" x14ac:dyDescent="0.3">
      <c r="A3517" s="5">
        <v>40212</v>
      </c>
      <c r="B3517" s="10">
        <v>48154</v>
      </c>
    </row>
    <row r="3518" spans="1:2" x14ac:dyDescent="0.3">
      <c r="A3518" s="5">
        <v>40213</v>
      </c>
      <c r="B3518" s="10">
        <v>47987</v>
      </c>
    </row>
    <row r="3519" spans="1:2" x14ac:dyDescent="0.3">
      <c r="A3519" s="5">
        <v>40214</v>
      </c>
      <c r="B3519" s="10">
        <v>48051</v>
      </c>
    </row>
    <row r="3520" spans="1:2" x14ac:dyDescent="0.3">
      <c r="A3520" s="5">
        <v>40217</v>
      </c>
      <c r="B3520" s="10">
        <v>47892</v>
      </c>
    </row>
    <row r="3521" spans="1:2" x14ac:dyDescent="0.3">
      <c r="A3521" s="5">
        <v>40218</v>
      </c>
      <c r="B3521" s="10">
        <v>48034</v>
      </c>
    </row>
    <row r="3522" spans="1:2" x14ac:dyDescent="0.3">
      <c r="A3522" s="5">
        <v>40219</v>
      </c>
      <c r="B3522" s="10">
        <v>48062</v>
      </c>
    </row>
    <row r="3523" spans="1:2" x14ac:dyDescent="0.3">
      <c r="A3523" s="5">
        <v>40220</v>
      </c>
      <c r="B3523" s="10">
        <v>48034</v>
      </c>
    </row>
    <row r="3524" spans="1:2" x14ac:dyDescent="0.3">
      <c r="A3524" s="5">
        <v>40221</v>
      </c>
      <c r="B3524" s="10">
        <v>48037</v>
      </c>
    </row>
    <row r="3525" spans="1:2" x14ac:dyDescent="0.3">
      <c r="A3525" s="5">
        <v>40224</v>
      </c>
      <c r="B3525" s="10">
        <v>48048</v>
      </c>
    </row>
    <row r="3526" spans="1:2" x14ac:dyDescent="0.3">
      <c r="A3526" s="5">
        <v>40225</v>
      </c>
      <c r="B3526" s="10">
        <v>48016</v>
      </c>
    </row>
    <row r="3527" spans="1:2" x14ac:dyDescent="0.3">
      <c r="A3527" s="5">
        <v>40226</v>
      </c>
      <c r="B3527" s="10">
        <v>48019</v>
      </c>
    </row>
    <row r="3528" spans="1:2" x14ac:dyDescent="0.3">
      <c r="A3528" s="5">
        <v>40227</v>
      </c>
      <c r="B3528" s="10">
        <v>47939</v>
      </c>
    </row>
    <row r="3529" spans="1:2" x14ac:dyDescent="0.3">
      <c r="A3529" s="5">
        <v>40228</v>
      </c>
      <c r="B3529" s="10">
        <v>47951</v>
      </c>
    </row>
    <row r="3530" spans="1:2" x14ac:dyDescent="0.3">
      <c r="A3530" s="5">
        <v>40231</v>
      </c>
      <c r="B3530" s="10">
        <v>47905</v>
      </c>
    </row>
    <row r="3531" spans="1:2" x14ac:dyDescent="0.3">
      <c r="A3531" s="5">
        <v>40232</v>
      </c>
      <c r="B3531" s="10">
        <v>47801</v>
      </c>
    </row>
    <row r="3532" spans="1:2" x14ac:dyDescent="0.3">
      <c r="A3532" s="5">
        <v>40233</v>
      </c>
      <c r="B3532" s="10">
        <v>47773</v>
      </c>
    </row>
    <row r="3533" spans="1:2" x14ac:dyDescent="0.3">
      <c r="A3533" s="5">
        <v>40234</v>
      </c>
      <c r="B3533" s="10">
        <v>47698</v>
      </c>
    </row>
    <row r="3534" spans="1:2" x14ac:dyDescent="0.3">
      <c r="A3534" s="5">
        <v>40235</v>
      </c>
      <c r="B3534" s="10">
        <v>47758</v>
      </c>
    </row>
    <row r="3535" spans="1:2" x14ac:dyDescent="0.3">
      <c r="A3535" s="5">
        <v>40238</v>
      </c>
      <c r="B3535" s="10">
        <v>47716</v>
      </c>
    </row>
    <row r="3536" spans="1:2" x14ac:dyDescent="0.3">
      <c r="A3536" s="5">
        <v>40239</v>
      </c>
      <c r="B3536" s="10">
        <v>47714</v>
      </c>
    </row>
    <row r="3537" spans="1:2" x14ac:dyDescent="0.3">
      <c r="A3537" s="5">
        <v>40240</v>
      </c>
      <c r="B3537" s="10">
        <v>47699</v>
      </c>
    </row>
    <row r="3538" spans="1:2" x14ac:dyDescent="0.3">
      <c r="A3538" s="5">
        <v>40241</v>
      </c>
      <c r="B3538" s="10">
        <v>47727</v>
      </c>
    </row>
    <row r="3539" spans="1:2" x14ac:dyDescent="0.3">
      <c r="A3539" s="5">
        <v>40242</v>
      </c>
      <c r="B3539" s="10">
        <v>47709</v>
      </c>
    </row>
    <row r="3540" spans="1:2" x14ac:dyDescent="0.3">
      <c r="A3540" s="5">
        <v>40245</v>
      </c>
      <c r="B3540" s="10">
        <v>47659</v>
      </c>
    </row>
    <row r="3541" spans="1:2" x14ac:dyDescent="0.3">
      <c r="A3541" s="5">
        <v>40246</v>
      </c>
      <c r="B3541" s="10">
        <v>47670</v>
      </c>
    </row>
    <row r="3542" spans="1:2" x14ac:dyDescent="0.3">
      <c r="A3542" s="5">
        <v>40247</v>
      </c>
      <c r="B3542" s="10">
        <v>47632</v>
      </c>
    </row>
    <row r="3543" spans="1:2" x14ac:dyDescent="0.3">
      <c r="A3543" s="5">
        <v>40248</v>
      </c>
      <c r="B3543" s="10">
        <v>47727</v>
      </c>
    </row>
    <row r="3544" spans="1:2" x14ac:dyDescent="0.3">
      <c r="A3544" s="5">
        <v>40249</v>
      </c>
      <c r="B3544" s="10">
        <v>47834</v>
      </c>
    </row>
    <row r="3545" spans="1:2" x14ac:dyDescent="0.3">
      <c r="A3545" s="5">
        <v>40252</v>
      </c>
      <c r="B3545" s="10">
        <v>47753</v>
      </c>
    </row>
    <row r="3546" spans="1:2" x14ac:dyDescent="0.3">
      <c r="A3546" s="5">
        <v>40253</v>
      </c>
      <c r="B3546" s="10">
        <v>47835</v>
      </c>
    </row>
    <row r="3547" spans="1:2" x14ac:dyDescent="0.3">
      <c r="A3547" s="5">
        <v>40254</v>
      </c>
      <c r="B3547" s="10">
        <v>47837</v>
      </c>
    </row>
    <row r="3548" spans="1:2" x14ac:dyDescent="0.3">
      <c r="A3548" s="5">
        <v>40255</v>
      </c>
      <c r="B3548" s="10">
        <v>47823</v>
      </c>
    </row>
    <row r="3549" spans="1:2" x14ac:dyDescent="0.3">
      <c r="A3549" s="5">
        <v>40256</v>
      </c>
      <c r="B3549" s="10">
        <v>47661</v>
      </c>
    </row>
    <row r="3550" spans="1:2" x14ac:dyDescent="0.3">
      <c r="A3550" s="5">
        <v>40259</v>
      </c>
      <c r="B3550" s="10">
        <v>47612</v>
      </c>
    </row>
    <row r="3551" spans="1:2" x14ac:dyDescent="0.3">
      <c r="A3551" s="5">
        <v>40260</v>
      </c>
      <c r="B3551" s="10">
        <v>47602</v>
      </c>
    </row>
    <row r="3552" spans="1:2" x14ac:dyDescent="0.3">
      <c r="A3552" s="5">
        <v>40262</v>
      </c>
      <c r="B3552" s="10">
        <v>47589</v>
      </c>
    </row>
    <row r="3553" spans="1:2" x14ac:dyDescent="0.3">
      <c r="A3553" s="5">
        <v>40263</v>
      </c>
      <c r="B3553" s="10">
        <v>47622</v>
      </c>
    </row>
    <row r="3554" spans="1:2" x14ac:dyDescent="0.3">
      <c r="A3554" s="5">
        <v>40266</v>
      </c>
      <c r="B3554" s="10">
        <v>47589</v>
      </c>
    </row>
    <row r="3555" spans="1:2" x14ac:dyDescent="0.3">
      <c r="A3555" s="5">
        <v>40267</v>
      </c>
      <c r="B3555" s="10">
        <v>47415</v>
      </c>
    </row>
    <row r="3556" spans="1:2" x14ac:dyDescent="0.3">
      <c r="A3556" s="5">
        <v>40268</v>
      </c>
      <c r="B3556" s="10">
        <v>47460</v>
      </c>
    </row>
    <row r="3557" spans="1:2" x14ac:dyDescent="0.3">
      <c r="A3557" s="5">
        <v>40273</v>
      </c>
      <c r="B3557" s="10">
        <v>47472</v>
      </c>
    </row>
    <row r="3558" spans="1:2" x14ac:dyDescent="0.3">
      <c r="A3558" s="5">
        <v>40274</v>
      </c>
      <c r="B3558" s="10">
        <v>47975</v>
      </c>
    </row>
    <row r="3559" spans="1:2" x14ac:dyDescent="0.3">
      <c r="A3559" s="5">
        <v>40275</v>
      </c>
      <c r="B3559" s="10">
        <v>47366</v>
      </c>
    </row>
    <row r="3560" spans="1:2" x14ac:dyDescent="0.3">
      <c r="A3560" s="5">
        <v>40276</v>
      </c>
      <c r="B3560" s="10">
        <v>47300</v>
      </c>
    </row>
    <row r="3561" spans="1:2" x14ac:dyDescent="0.3">
      <c r="A3561" s="5">
        <v>40277</v>
      </c>
      <c r="B3561" s="10">
        <v>47265</v>
      </c>
    </row>
    <row r="3562" spans="1:2" x14ac:dyDescent="0.3">
      <c r="A3562" s="5">
        <v>40280</v>
      </c>
      <c r="B3562" s="10">
        <v>47359</v>
      </c>
    </row>
    <row r="3563" spans="1:2" x14ac:dyDescent="0.3">
      <c r="A3563" s="5">
        <v>40281</v>
      </c>
      <c r="B3563" s="10">
        <v>47474</v>
      </c>
    </row>
    <row r="3564" spans="1:2" x14ac:dyDescent="0.3">
      <c r="A3564" s="5">
        <v>40282</v>
      </c>
      <c r="B3564" s="10">
        <v>47476</v>
      </c>
    </row>
    <row r="3565" spans="1:2" x14ac:dyDescent="0.3">
      <c r="A3565" s="5">
        <v>40283</v>
      </c>
      <c r="B3565" s="10">
        <v>47383</v>
      </c>
    </row>
    <row r="3566" spans="1:2" x14ac:dyDescent="0.3">
      <c r="A3566" s="5">
        <v>40284</v>
      </c>
      <c r="B3566" s="10">
        <v>47314</v>
      </c>
    </row>
    <row r="3567" spans="1:2" x14ac:dyDescent="0.3">
      <c r="A3567" s="5">
        <v>40287</v>
      </c>
      <c r="B3567" s="10">
        <v>47457</v>
      </c>
    </row>
    <row r="3568" spans="1:2" x14ac:dyDescent="0.3">
      <c r="A3568" s="5">
        <v>40288</v>
      </c>
      <c r="B3568" s="10">
        <v>47571</v>
      </c>
    </row>
    <row r="3569" spans="1:2" x14ac:dyDescent="0.3">
      <c r="A3569" s="5">
        <v>40289</v>
      </c>
      <c r="B3569" s="10">
        <v>47643</v>
      </c>
    </row>
    <row r="3570" spans="1:2" x14ac:dyDescent="0.3">
      <c r="A3570" s="5">
        <v>40290</v>
      </c>
      <c r="B3570" s="10">
        <v>47685</v>
      </c>
    </row>
    <row r="3571" spans="1:2" x14ac:dyDescent="0.3">
      <c r="A3571" s="5">
        <v>40291</v>
      </c>
      <c r="B3571" s="10">
        <v>47692</v>
      </c>
    </row>
    <row r="3572" spans="1:2" x14ac:dyDescent="0.3">
      <c r="A3572" s="5">
        <v>40294</v>
      </c>
      <c r="B3572" s="10">
        <v>47825</v>
      </c>
    </row>
    <row r="3573" spans="1:2" x14ac:dyDescent="0.3">
      <c r="A3573" s="5">
        <v>40295</v>
      </c>
      <c r="B3573" s="10">
        <v>47893</v>
      </c>
    </row>
    <row r="3574" spans="1:2" x14ac:dyDescent="0.3">
      <c r="A3574" s="5">
        <v>40296</v>
      </c>
      <c r="B3574" s="10">
        <v>47924</v>
      </c>
    </row>
    <row r="3575" spans="1:2" x14ac:dyDescent="0.3">
      <c r="A3575" s="5">
        <v>40297</v>
      </c>
      <c r="B3575" s="10">
        <v>48032</v>
      </c>
    </row>
    <row r="3576" spans="1:2" x14ac:dyDescent="0.3">
      <c r="A3576" s="5">
        <v>40298</v>
      </c>
      <c r="B3576" s="10">
        <v>48067</v>
      </c>
    </row>
    <row r="3577" spans="1:2" x14ac:dyDescent="0.3">
      <c r="A3577" s="5">
        <v>40301</v>
      </c>
      <c r="B3577" s="10">
        <v>48058</v>
      </c>
    </row>
    <row r="3578" spans="1:2" x14ac:dyDescent="0.3">
      <c r="A3578" s="5">
        <v>40302</v>
      </c>
      <c r="B3578" s="10">
        <v>48033</v>
      </c>
    </row>
    <row r="3579" spans="1:2" x14ac:dyDescent="0.3">
      <c r="A3579" s="5">
        <v>40303</v>
      </c>
      <c r="B3579" s="10">
        <v>47925</v>
      </c>
    </row>
    <row r="3580" spans="1:2" x14ac:dyDescent="0.3">
      <c r="A3580" s="5">
        <v>40304</v>
      </c>
      <c r="B3580" s="10">
        <v>47906</v>
      </c>
    </row>
    <row r="3581" spans="1:2" x14ac:dyDescent="0.3">
      <c r="A3581" s="5">
        <v>40305</v>
      </c>
      <c r="B3581" s="10">
        <v>48131</v>
      </c>
    </row>
    <row r="3582" spans="1:2" x14ac:dyDescent="0.3">
      <c r="A3582" s="5">
        <v>40308</v>
      </c>
      <c r="B3582" s="10">
        <v>48170</v>
      </c>
    </row>
    <row r="3583" spans="1:2" x14ac:dyDescent="0.3">
      <c r="A3583" s="5">
        <v>40309</v>
      </c>
      <c r="B3583" s="10">
        <v>48176</v>
      </c>
    </row>
    <row r="3584" spans="1:2" x14ac:dyDescent="0.3">
      <c r="A3584" s="5">
        <v>40310</v>
      </c>
      <c r="B3584" s="10">
        <v>48314</v>
      </c>
    </row>
    <row r="3585" spans="1:2" x14ac:dyDescent="0.3">
      <c r="A3585" s="5">
        <v>40311</v>
      </c>
      <c r="B3585" s="10">
        <v>48390</v>
      </c>
    </row>
    <row r="3586" spans="1:2" x14ac:dyDescent="0.3">
      <c r="A3586" s="5">
        <v>40312</v>
      </c>
      <c r="B3586" s="10">
        <v>48420</v>
      </c>
    </row>
    <row r="3587" spans="1:2" x14ac:dyDescent="0.3">
      <c r="A3587" s="5">
        <v>40315</v>
      </c>
      <c r="B3587" s="10">
        <v>48402</v>
      </c>
    </row>
    <row r="3588" spans="1:2" x14ac:dyDescent="0.3">
      <c r="A3588" s="5">
        <v>40316</v>
      </c>
      <c r="B3588" s="10">
        <v>48451</v>
      </c>
    </row>
    <row r="3589" spans="1:2" x14ac:dyDescent="0.3">
      <c r="A3589" s="5">
        <v>40317</v>
      </c>
      <c r="B3589" s="10">
        <v>48433</v>
      </c>
    </row>
    <row r="3590" spans="1:2" x14ac:dyDescent="0.3">
      <c r="A3590" s="5">
        <v>40318</v>
      </c>
      <c r="B3590" s="10">
        <v>48601</v>
      </c>
    </row>
    <row r="3591" spans="1:2" x14ac:dyDescent="0.3">
      <c r="A3591" s="5">
        <v>40319</v>
      </c>
      <c r="B3591" s="10">
        <v>48841</v>
      </c>
    </row>
    <row r="3592" spans="1:2" x14ac:dyDescent="0.3">
      <c r="A3592" s="5">
        <v>40324</v>
      </c>
      <c r="B3592" s="10">
        <v>48867</v>
      </c>
    </row>
    <row r="3593" spans="1:2" x14ac:dyDescent="0.3">
      <c r="A3593" s="5">
        <v>40325</v>
      </c>
      <c r="B3593" s="10">
        <v>48932</v>
      </c>
    </row>
    <row r="3594" spans="1:2" x14ac:dyDescent="0.3">
      <c r="A3594" s="5">
        <v>40326</v>
      </c>
      <c r="B3594" s="10">
        <v>48981</v>
      </c>
    </row>
    <row r="3595" spans="1:2" x14ac:dyDescent="0.3">
      <c r="A3595" s="5">
        <v>40329</v>
      </c>
      <c r="B3595" s="10">
        <v>49000</v>
      </c>
    </row>
    <row r="3596" spans="1:2" x14ac:dyDescent="0.3">
      <c r="A3596" s="5">
        <v>40330</v>
      </c>
      <c r="B3596" s="10">
        <v>48873</v>
      </c>
    </row>
    <row r="3597" spans="1:2" x14ac:dyDescent="0.3">
      <c r="A3597" s="5">
        <v>40331</v>
      </c>
      <c r="B3597" s="10">
        <v>48812</v>
      </c>
    </row>
    <row r="3598" spans="1:2" x14ac:dyDescent="0.3">
      <c r="A3598" s="5">
        <v>40332</v>
      </c>
      <c r="B3598" s="10">
        <v>48785</v>
      </c>
    </row>
    <row r="3599" spans="1:2" x14ac:dyDescent="0.3">
      <c r="A3599" s="5">
        <v>40333</v>
      </c>
      <c r="B3599" s="10">
        <v>48896</v>
      </c>
    </row>
    <row r="3600" spans="1:2" x14ac:dyDescent="0.3">
      <c r="A3600" s="5">
        <v>40336</v>
      </c>
      <c r="B3600" s="10">
        <v>48788</v>
      </c>
    </row>
    <row r="3601" spans="1:2" x14ac:dyDescent="0.3">
      <c r="A3601" s="5">
        <v>40337</v>
      </c>
      <c r="B3601" s="10">
        <v>48799</v>
      </c>
    </row>
    <row r="3602" spans="1:2" x14ac:dyDescent="0.3">
      <c r="A3602" s="5">
        <v>40338</v>
      </c>
      <c r="B3602" s="10">
        <v>48922</v>
      </c>
    </row>
    <row r="3603" spans="1:2" x14ac:dyDescent="0.3">
      <c r="A3603" s="5">
        <v>40339</v>
      </c>
      <c r="B3603" s="10">
        <v>48966</v>
      </c>
    </row>
    <row r="3604" spans="1:2" x14ac:dyDescent="0.3">
      <c r="A3604" s="5">
        <v>40340</v>
      </c>
      <c r="B3604" s="10">
        <v>49006</v>
      </c>
    </row>
    <row r="3605" spans="1:2" x14ac:dyDescent="0.3">
      <c r="A3605" s="5">
        <v>40343</v>
      </c>
      <c r="B3605" s="10">
        <v>48958</v>
      </c>
    </row>
    <row r="3606" spans="1:2" x14ac:dyDescent="0.3">
      <c r="A3606" s="5">
        <v>40344</v>
      </c>
      <c r="B3606" s="10">
        <v>49069</v>
      </c>
    </row>
    <row r="3607" spans="1:2" x14ac:dyDescent="0.3">
      <c r="A3607" s="5">
        <v>40345</v>
      </c>
      <c r="B3607" s="10">
        <v>49279</v>
      </c>
    </row>
    <row r="3608" spans="1:2" x14ac:dyDescent="0.3">
      <c r="A3608" s="5">
        <v>40346</v>
      </c>
      <c r="B3608" s="10">
        <v>49518</v>
      </c>
    </row>
    <row r="3609" spans="1:2" x14ac:dyDescent="0.3">
      <c r="A3609" s="5">
        <v>40347</v>
      </c>
      <c r="B3609" s="10">
        <v>49563</v>
      </c>
    </row>
    <row r="3610" spans="1:2" x14ac:dyDescent="0.3">
      <c r="A3610" s="5">
        <v>40351</v>
      </c>
      <c r="B3610" s="10">
        <v>49661</v>
      </c>
    </row>
    <row r="3611" spans="1:2" x14ac:dyDescent="0.3">
      <c r="A3611" s="5">
        <v>40352</v>
      </c>
      <c r="B3611" s="10">
        <v>49600</v>
      </c>
    </row>
    <row r="3612" spans="1:2" x14ac:dyDescent="0.3">
      <c r="A3612" s="5">
        <v>40353</v>
      </c>
      <c r="B3612" s="10">
        <v>49684</v>
      </c>
    </row>
    <row r="3613" spans="1:2" x14ac:dyDescent="0.3">
      <c r="A3613" s="5">
        <v>40354</v>
      </c>
      <c r="B3613" s="10">
        <v>49698</v>
      </c>
    </row>
    <row r="3614" spans="1:2" x14ac:dyDescent="0.3">
      <c r="A3614" s="5">
        <v>40357</v>
      </c>
      <c r="B3614" s="10">
        <v>49614</v>
      </c>
    </row>
    <row r="3615" spans="1:2" x14ac:dyDescent="0.3">
      <c r="A3615" s="5">
        <v>40358</v>
      </c>
      <c r="B3615" s="10">
        <v>49249</v>
      </c>
    </row>
    <row r="3616" spans="1:2" x14ac:dyDescent="0.3">
      <c r="A3616" s="5">
        <v>40359</v>
      </c>
      <c r="B3616" s="10">
        <v>49240</v>
      </c>
    </row>
    <row r="3617" spans="1:2" x14ac:dyDescent="0.3">
      <c r="A3617" s="5">
        <v>40360</v>
      </c>
      <c r="B3617" s="10">
        <v>49325</v>
      </c>
    </row>
    <row r="3618" spans="1:2" x14ac:dyDescent="0.3">
      <c r="A3618" s="5">
        <v>40361</v>
      </c>
      <c r="B3618" s="10">
        <v>49462</v>
      </c>
    </row>
    <row r="3619" spans="1:2" x14ac:dyDescent="0.3">
      <c r="A3619" s="5">
        <v>40364</v>
      </c>
      <c r="B3619" s="10">
        <v>49448</v>
      </c>
    </row>
    <row r="3620" spans="1:2" x14ac:dyDescent="0.3">
      <c r="A3620" s="5">
        <v>40365</v>
      </c>
      <c r="B3620" s="10">
        <v>49627</v>
      </c>
    </row>
    <row r="3621" spans="1:2" x14ac:dyDescent="0.3">
      <c r="A3621" s="5">
        <v>40366</v>
      </c>
      <c r="B3621" s="10">
        <v>49850</v>
      </c>
    </row>
    <row r="3622" spans="1:2" x14ac:dyDescent="0.3">
      <c r="A3622" s="5">
        <v>40367</v>
      </c>
      <c r="B3622" s="10">
        <v>50125</v>
      </c>
    </row>
    <row r="3623" spans="1:2" x14ac:dyDescent="0.3">
      <c r="A3623" s="5">
        <v>40371</v>
      </c>
      <c r="B3623" s="10">
        <v>50177</v>
      </c>
    </row>
    <row r="3624" spans="1:2" x14ac:dyDescent="0.3">
      <c r="A3624" s="5">
        <v>40372</v>
      </c>
      <c r="B3624" s="10">
        <v>50315</v>
      </c>
    </row>
    <row r="3625" spans="1:2" x14ac:dyDescent="0.3">
      <c r="A3625" s="5">
        <v>40373</v>
      </c>
      <c r="B3625" s="10">
        <v>50500</v>
      </c>
    </row>
    <row r="3626" spans="1:2" x14ac:dyDescent="0.3">
      <c r="A3626" s="5">
        <v>40374</v>
      </c>
      <c r="B3626" s="10">
        <v>50643</v>
      </c>
    </row>
    <row r="3627" spans="1:2" x14ac:dyDescent="0.3">
      <c r="A3627" s="5">
        <v>40375</v>
      </c>
      <c r="B3627" s="10">
        <v>50743</v>
      </c>
    </row>
    <row r="3628" spans="1:2" x14ac:dyDescent="0.3">
      <c r="A3628" s="5">
        <v>40378</v>
      </c>
      <c r="B3628" s="10">
        <v>50765</v>
      </c>
    </row>
    <row r="3629" spans="1:2" x14ac:dyDescent="0.3">
      <c r="A3629" s="5">
        <v>40379</v>
      </c>
      <c r="B3629" s="10">
        <v>50861</v>
      </c>
    </row>
    <row r="3630" spans="1:2" x14ac:dyDescent="0.3">
      <c r="A3630" s="5">
        <v>40380</v>
      </c>
      <c r="B3630" s="10">
        <v>50902</v>
      </c>
    </row>
    <row r="3631" spans="1:2" x14ac:dyDescent="0.3">
      <c r="A3631" s="5">
        <v>40381</v>
      </c>
      <c r="B3631" s="10">
        <v>50988</v>
      </c>
    </row>
    <row r="3632" spans="1:2" x14ac:dyDescent="0.3">
      <c r="A3632" s="5">
        <v>40382</v>
      </c>
      <c r="B3632" s="10">
        <v>50995</v>
      </c>
    </row>
    <row r="3633" spans="1:2" x14ac:dyDescent="0.3">
      <c r="A3633" s="5">
        <v>40385</v>
      </c>
      <c r="B3633" s="10">
        <v>51016</v>
      </c>
    </row>
    <row r="3634" spans="1:2" x14ac:dyDescent="0.3">
      <c r="A3634" s="5">
        <v>40386</v>
      </c>
      <c r="B3634" s="10">
        <v>51079</v>
      </c>
    </row>
    <row r="3635" spans="1:2" x14ac:dyDescent="0.3">
      <c r="A3635" s="5">
        <v>40387</v>
      </c>
      <c r="B3635" s="10">
        <v>51081</v>
      </c>
    </row>
    <row r="3636" spans="1:2" x14ac:dyDescent="0.3">
      <c r="A3636" s="5">
        <v>40388</v>
      </c>
      <c r="B3636" s="10">
        <v>51081</v>
      </c>
    </row>
    <row r="3637" spans="1:2" x14ac:dyDescent="0.3">
      <c r="A3637" s="5">
        <v>40389</v>
      </c>
      <c r="B3637" s="10">
        <v>51073</v>
      </c>
    </row>
    <row r="3638" spans="1:2" x14ac:dyDescent="0.3">
      <c r="A3638" s="5">
        <v>40392</v>
      </c>
      <c r="B3638" s="10">
        <v>51084</v>
      </c>
    </row>
    <row r="3639" spans="1:2" x14ac:dyDescent="0.3">
      <c r="A3639" s="5">
        <v>40393</v>
      </c>
      <c r="B3639" s="10">
        <v>49897</v>
      </c>
    </row>
    <row r="3640" spans="1:2" x14ac:dyDescent="0.3">
      <c r="A3640" s="5">
        <v>40394</v>
      </c>
      <c r="B3640" s="10">
        <v>49991</v>
      </c>
    </row>
    <row r="3641" spans="1:2" x14ac:dyDescent="0.3">
      <c r="A3641" s="5">
        <v>40395</v>
      </c>
      <c r="B3641" s="10">
        <v>50045</v>
      </c>
    </row>
    <row r="3642" spans="1:2" x14ac:dyDescent="0.3">
      <c r="A3642" s="5">
        <v>40396</v>
      </c>
      <c r="B3642" s="10">
        <v>49990</v>
      </c>
    </row>
    <row r="3643" spans="1:2" x14ac:dyDescent="0.3">
      <c r="A3643" s="5">
        <v>40399</v>
      </c>
      <c r="B3643" s="10">
        <v>50026</v>
      </c>
    </row>
    <row r="3644" spans="1:2" x14ac:dyDescent="0.3">
      <c r="A3644" s="5">
        <v>40400</v>
      </c>
      <c r="B3644" s="10">
        <v>50004</v>
      </c>
    </row>
    <row r="3645" spans="1:2" x14ac:dyDescent="0.3">
      <c r="A3645" s="5">
        <v>40401</v>
      </c>
      <c r="B3645" s="10">
        <v>49940</v>
      </c>
    </row>
    <row r="3646" spans="1:2" x14ac:dyDescent="0.3">
      <c r="A3646" s="5">
        <v>40402</v>
      </c>
      <c r="B3646" s="10">
        <v>50071</v>
      </c>
    </row>
    <row r="3647" spans="1:2" x14ac:dyDescent="0.3">
      <c r="A3647" s="5">
        <v>40403</v>
      </c>
      <c r="B3647" s="10">
        <v>50109</v>
      </c>
    </row>
    <row r="3648" spans="1:2" x14ac:dyDescent="0.3">
      <c r="A3648" s="5">
        <v>40407</v>
      </c>
      <c r="B3648" s="10">
        <v>50176</v>
      </c>
    </row>
    <row r="3649" spans="1:2" x14ac:dyDescent="0.3">
      <c r="A3649" s="5">
        <v>40408</v>
      </c>
      <c r="B3649" s="10">
        <v>50198</v>
      </c>
    </row>
    <row r="3650" spans="1:2" x14ac:dyDescent="0.3">
      <c r="A3650" s="5">
        <v>40409</v>
      </c>
      <c r="B3650" s="10">
        <v>50183</v>
      </c>
    </row>
    <row r="3651" spans="1:2" x14ac:dyDescent="0.3">
      <c r="A3651" s="5">
        <v>40410</v>
      </c>
      <c r="B3651" s="10">
        <v>50173</v>
      </c>
    </row>
    <row r="3652" spans="1:2" x14ac:dyDescent="0.3">
      <c r="A3652" s="5">
        <v>40413</v>
      </c>
      <c r="B3652" s="10">
        <v>50240</v>
      </c>
    </row>
    <row r="3653" spans="1:2" x14ac:dyDescent="0.3">
      <c r="A3653" s="5">
        <v>40414</v>
      </c>
      <c r="B3653" s="10">
        <v>50266</v>
      </c>
    </row>
    <row r="3654" spans="1:2" x14ac:dyDescent="0.3">
      <c r="A3654" s="5">
        <v>40415</v>
      </c>
      <c r="B3654" s="10">
        <v>50315</v>
      </c>
    </row>
    <row r="3655" spans="1:2" x14ac:dyDescent="0.3">
      <c r="A3655" s="5">
        <v>40416</v>
      </c>
      <c r="B3655" s="10">
        <v>50339</v>
      </c>
    </row>
    <row r="3656" spans="1:2" x14ac:dyDescent="0.3">
      <c r="A3656" s="5">
        <v>40417</v>
      </c>
      <c r="B3656" s="10">
        <v>50353</v>
      </c>
    </row>
    <row r="3657" spans="1:2" x14ac:dyDescent="0.3">
      <c r="A3657" s="5">
        <v>40420</v>
      </c>
      <c r="B3657" s="10">
        <v>50319</v>
      </c>
    </row>
    <row r="3658" spans="1:2" x14ac:dyDescent="0.3">
      <c r="A3658" s="5">
        <v>40421</v>
      </c>
      <c r="B3658" s="10">
        <v>50348</v>
      </c>
    </row>
    <row r="3659" spans="1:2" x14ac:dyDescent="0.3">
      <c r="A3659" s="5">
        <v>40422</v>
      </c>
      <c r="B3659" s="10">
        <v>50469</v>
      </c>
    </row>
    <row r="3660" spans="1:2" x14ac:dyDescent="0.3">
      <c r="A3660" s="5">
        <v>40423</v>
      </c>
      <c r="B3660" s="10">
        <v>50455</v>
      </c>
    </row>
    <row r="3661" spans="1:2" x14ac:dyDescent="0.3">
      <c r="A3661" s="5">
        <v>40424</v>
      </c>
      <c r="B3661" s="10">
        <v>50539</v>
      </c>
    </row>
    <row r="3662" spans="1:2" x14ac:dyDescent="0.3">
      <c r="A3662" s="5">
        <v>40427</v>
      </c>
      <c r="B3662" s="10">
        <v>50546</v>
      </c>
    </row>
    <row r="3663" spans="1:2" x14ac:dyDescent="0.3">
      <c r="A3663" s="5">
        <v>40428</v>
      </c>
      <c r="B3663" s="10">
        <v>50575</v>
      </c>
    </row>
    <row r="3664" spans="1:2" x14ac:dyDescent="0.3">
      <c r="A3664" s="5">
        <v>40429</v>
      </c>
      <c r="B3664" s="10">
        <v>50646</v>
      </c>
    </row>
    <row r="3665" spans="1:2" x14ac:dyDescent="0.3">
      <c r="A3665" s="5">
        <v>40430</v>
      </c>
      <c r="B3665" s="10">
        <v>50741</v>
      </c>
    </row>
    <row r="3666" spans="1:2" x14ac:dyDescent="0.3">
      <c r="A3666" s="5">
        <v>40431</v>
      </c>
      <c r="B3666" s="10">
        <v>50795</v>
      </c>
    </row>
    <row r="3667" spans="1:2" x14ac:dyDescent="0.3">
      <c r="A3667" s="5">
        <v>40434</v>
      </c>
      <c r="B3667" s="10">
        <v>50841</v>
      </c>
    </row>
    <row r="3668" spans="1:2" x14ac:dyDescent="0.3">
      <c r="A3668" s="5">
        <v>40435</v>
      </c>
      <c r="B3668" s="10">
        <v>50988</v>
      </c>
    </row>
    <row r="3669" spans="1:2" x14ac:dyDescent="0.3">
      <c r="A3669" s="5">
        <v>40436</v>
      </c>
      <c r="B3669" s="10">
        <v>51001</v>
      </c>
    </row>
    <row r="3670" spans="1:2" x14ac:dyDescent="0.3">
      <c r="A3670" s="5">
        <v>40437</v>
      </c>
      <c r="B3670" s="10">
        <v>51101</v>
      </c>
    </row>
    <row r="3671" spans="1:2" x14ac:dyDescent="0.3">
      <c r="A3671" s="5">
        <v>40438</v>
      </c>
      <c r="B3671" s="10">
        <v>51088</v>
      </c>
    </row>
    <row r="3672" spans="1:2" x14ac:dyDescent="0.3">
      <c r="A3672" s="5">
        <v>40441</v>
      </c>
      <c r="B3672" s="10">
        <v>51126</v>
      </c>
    </row>
    <row r="3673" spans="1:2" x14ac:dyDescent="0.3">
      <c r="A3673" s="5">
        <v>40442</v>
      </c>
      <c r="B3673" s="10">
        <v>51157</v>
      </c>
    </row>
    <row r="3674" spans="1:2" x14ac:dyDescent="0.3">
      <c r="A3674" s="5">
        <v>40443</v>
      </c>
      <c r="B3674" s="10">
        <v>51215</v>
      </c>
    </row>
    <row r="3675" spans="1:2" x14ac:dyDescent="0.3">
      <c r="A3675" s="5">
        <v>40444</v>
      </c>
      <c r="B3675" s="10">
        <v>51270</v>
      </c>
    </row>
    <row r="3676" spans="1:2" x14ac:dyDescent="0.3">
      <c r="A3676" s="5">
        <v>40445</v>
      </c>
      <c r="B3676" s="10">
        <v>51171</v>
      </c>
    </row>
    <row r="3677" spans="1:2" x14ac:dyDescent="0.3">
      <c r="A3677" s="5">
        <v>40448</v>
      </c>
      <c r="B3677" s="10">
        <v>51218</v>
      </c>
    </row>
    <row r="3678" spans="1:2" x14ac:dyDescent="0.3">
      <c r="A3678" s="5">
        <v>40449</v>
      </c>
      <c r="B3678" s="10">
        <v>51240</v>
      </c>
    </row>
    <row r="3679" spans="1:2" x14ac:dyDescent="0.3">
      <c r="A3679" s="5">
        <v>40450</v>
      </c>
      <c r="B3679" s="10">
        <v>51110</v>
      </c>
    </row>
    <row r="3680" spans="1:2" x14ac:dyDescent="0.3">
      <c r="A3680" s="5">
        <v>40451</v>
      </c>
      <c r="B3680" s="10">
        <v>51125</v>
      </c>
    </row>
    <row r="3681" spans="1:2" x14ac:dyDescent="0.3">
      <c r="A3681" s="5">
        <v>40452</v>
      </c>
      <c r="B3681" s="10">
        <v>51236</v>
      </c>
    </row>
    <row r="3682" spans="1:2" x14ac:dyDescent="0.3">
      <c r="A3682" s="5">
        <v>40455</v>
      </c>
      <c r="B3682" s="10">
        <v>51512</v>
      </c>
    </row>
    <row r="3683" spans="1:2" x14ac:dyDescent="0.3">
      <c r="A3683" s="5">
        <v>40456</v>
      </c>
      <c r="B3683" s="10">
        <v>51443</v>
      </c>
    </row>
    <row r="3684" spans="1:2" x14ac:dyDescent="0.3">
      <c r="A3684" s="5">
        <v>40457</v>
      </c>
      <c r="B3684" s="10">
        <v>51480</v>
      </c>
    </row>
    <row r="3685" spans="1:2" x14ac:dyDescent="0.3">
      <c r="A3685" s="5">
        <v>40458</v>
      </c>
      <c r="B3685" s="10">
        <v>51508</v>
      </c>
    </row>
    <row r="3686" spans="1:2" x14ac:dyDescent="0.3">
      <c r="A3686" s="5">
        <v>40459</v>
      </c>
      <c r="B3686" s="10">
        <v>51528</v>
      </c>
    </row>
    <row r="3687" spans="1:2" x14ac:dyDescent="0.3">
      <c r="A3687" s="5">
        <v>40463</v>
      </c>
      <c r="B3687" s="10">
        <v>51456</v>
      </c>
    </row>
    <row r="3688" spans="1:2" x14ac:dyDescent="0.3">
      <c r="A3688" s="5">
        <v>40464</v>
      </c>
      <c r="B3688" s="10">
        <v>51558</v>
      </c>
    </row>
    <row r="3689" spans="1:2" x14ac:dyDescent="0.3">
      <c r="A3689" s="5">
        <v>40465</v>
      </c>
      <c r="B3689" s="10">
        <v>51655</v>
      </c>
    </row>
    <row r="3690" spans="1:2" x14ac:dyDescent="0.3">
      <c r="A3690" s="5">
        <v>40466</v>
      </c>
      <c r="B3690" s="10">
        <v>51541</v>
      </c>
    </row>
    <row r="3691" spans="1:2" x14ac:dyDescent="0.3">
      <c r="A3691" s="5">
        <v>40469</v>
      </c>
      <c r="B3691" s="10">
        <v>51499</v>
      </c>
    </row>
    <row r="3692" spans="1:2" x14ac:dyDescent="0.3">
      <c r="A3692" s="5">
        <v>40470</v>
      </c>
      <c r="B3692" s="10">
        <v>51555</v>
      </c>
    </row>
    <row r="3693" spans="1:2" x14ac:dyDescent="0.3">
      <c r="A3693" s="5">
        <v>40471</v>
      </c>
      <c r="B3693" s="10">
        <v>51609</v>
      </c>
    </row>
    <row r="3694" spans="1:2" x14ac:dyDescent="0.3">
      <c r="A3694" s="5">
        <v>40472</v>
      </c>
      <c r="B3694" s="10">
        <v>51768</v>
      </c>
    </row>
    <row r="3695" spans="1:2" x14ac:dyDescent="0.3">
      <c r="A3695" s="5">
        <v>40473</v>
      </c>
      <c r="B3695" s="10">
        <v>51708</v>
      </c>
    </row>
    <row r="3696" spans="1:2" x14ac:dyDescent="0.3">
      <c r="A3696" s="5">
        <v>40476</v>
      </c>
      <c r="B3696" s="10">
        <v>51806</v>
      </c>
    </row>
    <row r="3697" spans="1:2" x14ac:dyDescent="0.3">
      <c r="A3697" s="5">
        <v>40477</v>
      </c>
      <c r="B3697" s="10">
        <v>51863</v>
      </c>
    </row>
    <row r="3698" spans="1:2" x14ac:dyDescent="0.3">
      <c r="A3698" s="5">
        <v>40479</v>
      </c>
      <c r="B3698" s="10">
        <v>51920</v>
      </c>
    </row>
    <row r="3699" spans="1:2" x14ac:dyDescent="0.3">
      <c r="A3699" s="5">
        <v>40480</v>
      </c>
      <c r="B3699" s="10">
        <v>51918</v>
      </c>
    </row>
    <row r="3700" spans="1:2" x14ac:dyDescent="0.3">
      <c r="A3700" s="5">
        <v>40483</v>
      </c>
      <c r="B3700" s="10">
        <v>52018</v>
      </c>
    </row>
    <row r="3701" spans="1:2" x14ac:dyDescent="0.3">
      <c r="A3701" s="5">
        <v>40484</v>
      </c>
      <c r="B3701" s="10">
        <v>52119</v>
      </c>
    </row>
    <row r="3702" spans="1:2" x14ac:dyDescent="0.3">
      <c r="A3702" s="5">
        <v>40485</v>
      </c>
      <c r="B3702" s="10">
        <v>52211</v>
      </c>
    </row>
    <row r="3703" spans="1:2" x14ac:dyDescent="0.3">
      <c r="A3703" s="5">
        <v>40486</v>
      </c>
      <c r="B3703" s="10">
        <v>52291</v>
      </c>
    </row>
    <row r="3704" spans="1:2" x14ac:dyDescent="0.3">
      <c r="A3704" s="5">
        <v>40487</v>
      </c>
      <c r="B3704" s="10">
        <v>52284</v>
      </c>
    </row>
    <row r="3705" spans="1:2" x14ac:dyDescent="0.3">
      <c r="A3705" s="5">
        <v>40490</v>
      </c>
      <c r="B3705" s="10">
        <v>52261</v>
      </c>
    </row>
    <row r="3706" spans="1:2" x14ac:dyDescent="0.3">
      <c r="A3706" s="5">
        <v>40491</v>
      </c>
      <c r="B3706" s="10">
        <v>52293</v>
      </c>
    </row>
    <row r="3707" spans="1:2" x14ac:dyDescent="0.3">
      <c r="A3707" s="5">
        <v>40492</v>
      </c>
      <c r="B3707" s="10">
        <v>52295</v>
      </c>
    </row>
    <row r="3708" spans="1:2" x14ac:dyDescent="0.3">
      <c r="A3708" s="5">
        <v>40493</v>
      </c>
      <c r="B3708" s="10">
        <v>52274</v>
      </c>
    </row>
    <row r="3709" spans="1:2" x14ac:dyDescent="0.3">
      <c r="A3709" s="5">
        <v>40494</v>
      </c>
      <c r="B3709" s="10">
        <v>52265</v>
      </c>
    </row>
    <row r="3710" spans="1:2" x14ac:dyDescent="0.3">
      <c r="A3710" s="5">
        <v>40497</v>
      </c>
      <c r="B3710" s="10">
        <v>52251</v>
      </c>
    </row>
    <row r="3711" spans="1:2" x14ac:dyDescent="0.3">
      <c r="A3711" s="5">
        <v>40498</v>
      </c>
      <c r="B3711" s="10">
        <v>52216</v>
      </c>
    </row>
    <row r="3712" spans="1:2" x14ac:dyDescent="0.3">
      <c r="A3712" s="5">
        <v>40499</v>
      </c>
      <c r="B3712" s="10">
        <v>52239</v>
      </c>
    </row>
    <row r="3713" spans="1:2" x14ac:dyDescent="0.3">
      <c r="A3713" s="5">
        <v>40500</v>
      </c>
      <c r="B3713" s="10">
        <v>52326</v>
      </c>
    </row>
    <row r="3714" spans="1:2" x14ac:dyDescent="0.3">
      <c r="A3714" s="5">
        <v>40501</v>
      </c>
      <c r="B3714" s="10">
        <v>52373</v>
      </c>
    </row>
    <row r="3715" spans="1:2" x14ac:dyDescent="0.3">
      <c r="A3715" s="5">
        <v>40505</v>
      </c>
      <c r="B3715" s="10">
        <v>52268</v>
      </c>
    </row>
    <row r="3716" spans="1:2" x14ac:dyDescent="0.3">
      <c r="A3716" s="5">
        <v>40506</v>
      </c>
      <c r="B3716" s="10">
        <v>52266</v>
      </c>
    </row>
    <row r="3717" spans="1:2" x14ac:dyDescent="0.3">
      <c r="A3717" s="5">
        <v>40507</v>
      </c>
      <c r="B3717" s="10">
        <v>52262</v>
      </c>
    </row>
    <row r="3718" spans="1:2" x14ac:dyDescent="0.3">
      <c r="A3718" s="5">
        <v>40508</v>
      </c>
      <c r="B3718" s="10">
        <v>52157</v>
      </c>
    </row>
    <row r="3719" spans="1:2" x14ac:dyDescent="0.3">
      <c r="A3719" s="5">
        <v>40511</v>
      </c>
      <c r="B3719" s="10">
        <v>51985</v>
      </c>
    </row>
    <row r="3720" spans="1:2" x14ac:dyDescent="0.3">
      <c r="A3720" s="5">
        <v>40512</v>
      </c>
      <c r="B3720" s="10">
        <v>51896</v>
      </c>
    </row>
    <row r="3721" spans="1:2" x14ac:dyDescent="0.3">
      <c r="A3721" s="5">
        <v>40513</v>
      </c>
      <c r="B3721" s="10">
        <v>51820</v>
      </c>
    </row>
    <row r="3722" spans="1:2" x14ac:dyDescent="0.3">
      <c r="A3722" s="5">
        <v>40514</v>
      </c>
      <c r="B3722" s="10">
        <v>51816</v>
      </c>
    </row>
    <row r="3723" spans="1:2" x14ac:dyDescent="0.3">
      <c r="A3723" s="5">
        <v>40515</v>
      </c>
      <c r="B3723" s="10">
        <v>51958</v>
      </c>
    </row>
    <row r="3724" spans="1:2" x14ac:dyDescent="0.3">
      <c r="A3724" s="5">
        <v>40518</v>
      </c>
      <c r="B3724" s="10">
        <v>51962</v>
      </c>
    </row>
    <row r="3725" spans="1:2" x14ac:dyDescent="0.3">
      <c r="A3725" s="5">
        <v>40519</v>
      </c>
      <c r="B3725" s="10">
        <v>51982</v>
      </c>
    </row>
    <row r="3726" spans="1:2" x14ac:dyDescent="0.3">
      <c r="A3726" s="5">
        <v>40521</v>
      </c>
      <c r="B3726" s="10">
        <v>51944</v>
      </c>
    </row>
    <row r="3727" spans="1:2" x14ac:dyDescent="0.3">
      <c r="A3727" s="5">
        <v>40522</v>
      </c>
      <c r="B3727" s="10">
        <v>51958</v>
      </c>
    </row>
    <row r="3728" spans="1:2" x14ac:dyDescent="0.3">
      <c r="A3728" s="5">
        <v>40525</v>
      </c>
      <c r="B3728" s="10">
        <v>52069</v>
      </c>
    </row>
    <row r="3729" spans="1:2" x14ac:dyDescent="0.3">
      <c r="A3729" s="5">
        <v>40526</v>
      </c>
      <c r="B3729" s="10">
        <v>52111</v>
      </c>
    </row>
    <row r="3730" spans="1:2" x14ac:dyDescent="0.3">
      <c r="A3730" s="5">
        <v>40527</v>
      </c>
      <c r="B3730" s="10">
        <v>52057</v>
      </c>
    </row>
    <row r="3731" spans="1:2" x14ac:dyDescent="0.3">
      <c r="A3731" s="5">
        <v>40528</v>
      </c>
      <c r="B3731" s="10">
        <v>52143</v>
      </c>
    </row>
    <row r="3732" spans="1:2" x14ac:dyDescent="0.3">
      <c r="A3732" s="5">
        <v>40529</v>
      </c>
      <c r="B3732" s="10">
        <v>52152</v>
      </c>
    </row>
    <row r="3733" spans="1:2" x14ac:dyDescent="0.3">
      <c r="A3733" s="5">
        <v>40532</v>
      </c>
      <c r="B3733" s="10">
        <v>52223</v>
      </c>
    </row>
    <row r="3734" spans="1:2" x14ac:dyDescent="0.3">
      <c r="A3734" s="5">
        <v>40533</v>
      </c>
      <c r="B3734" s="10">
        <v>52267</v>
      </c>
    </row>
    <row r="3735" spans="1:2" x14ac:dyDescent="0.3">
      <c r="A3735" s="5">
        <v>40534</v>
      </c>
      <c r="B3735" s="10">
        <v>52381</v>
      </c>
    </row>
    <row r="3736" spans="1:2" x14ac:dyDescent="0.3">
      <c r="A3736" s="5">
        <v>40535</v>
      </c>
      <c r="B3736" s="10">
        <v>52346</v>
      </c>
    </row>
    <row r="3737" spans="1:2" x14ac:dyDescent="0.3">
      <c r="A3737" s="5">
        <v>40539</v>
      </c>
      <c r="B3737" s="10">
        <v>52358</v>
      </c>
    </row>
    <row r="3738" spans="1:2" x14ac:dyDescent="0.3">
      <c r="A3738" s="5">
        <v>40540</v>
      </c>
      <c r="B3738" s="10">
        <v>52481</v>
      </c>
    </row>
    <row r="3739" spans="1:2" x14ac:dyDescent="0.3">
      <c r="A3739" s="5">
        <v>40541</v>
      </c>
      <c r="B3739" s="10">
        <v>52585</v>
      </c>
    </row>
    <row r="3740" spans="1:2" x14ac:dyDescent="0.3">
      <c r="A3740" s="5">
        <v>40542</v>
      </c>
      <c r="B3740" s="10">
        <v>52145</v>
      </c>
    </row>
    <row r="3741" spans="1:2" x14ac:dyDescent="0.3">
      <c r="A3741" s="5">
        <v>40546</v>
      </c>
      <c r="B3741" s="10">
        <v>52179</v>
      </c>
    </row>
    <row r="3742" spans="1:2" x14ac:dyDescent="0.3">
      <c r="A3742" s="5">
        <v>40547</v>
      </c>
      <c r="B3742" s="10">
        <v>52185</v>
      </c>
    </row>
    <row r="3743" spans="1:2" x14ac:dyDescent="0.3">
      <c r="A3743" s="5">
        <v>40548</v>
      </c>
      <c r="B3743" s="10">
        <v>52215</v>
      </c>
    </row>
    <row r="3744" spans="1:2" x14ac:dyDescent="0.3">
      <c r="A3744" s="5">
        <v>40549</v>
      </c>
      <c r="B3744" s="10">
        <v>52197</v>
      </c>
    </row>
    <row r="3745" spans="1:2" x14ac:dyDescent="0.3">
      <c r="A3745" s="5">
        <v>40550</v>
      </c>
      <c r="B3745" s="10">
        <v>52119</v>
      </c>
    </row>
    <row r="3746" spans="1:2" x14ac:dyDescent="0.3">
      <c r="A3746" s="5">
        <v>40553</v>
      </c>
      <c r="B3746" s="10">
        <v>52141</v>
      </c>
    </row>
    <row r="3747" spans="1:2" x14ac:dyDescent="0.3">
      <c r="A3747" s="5">
        <v>40554</v>
      </c>
      <c r="B3747" s="10">
        <v>52201</v>
      </c>
    </row>
    <row r="3748" spans="1:2" x14ac:dyDescent="0.3">
      <c r="A3748" s="5">
        <v>40555</v>
      </c>
      <c r="B3748" s="10">
        <v>52206</v>
      </c>
    </row>
    <row r="3749" spans="1:2" x14ac:dyDescent="0.3">
      <c r="A3749" s="5">
        <v>40556</v>
      </c>
      <c r="B3749" s="10">
        <v>52307</v>
      </c>
    </row>
    <row r="3750" spans="1:2" x14ac:dyDescent="0.3">
      <c r="A3750" s="5">
        <v>40557</v>
      </c>
      <c r="B3750" s="10">
        <v>52331</v>
      </c>
    </row>
    <row r="3751" spans="1:2" x14ac:dyDescent="0.3">
      <c r="A3751" s="5">
        <v>40560</v>
      </c>
      <c r="B3751" s="10">
        <v>52329</v>
      </c>
    </row>
    <row r="3752" spans="1:2" x14ac:dyDescent="0.3">
      <c r="A3752" s="5">
        <v>40561</v>
      </c>
      <c r="B3752" s="10">
        <v>52407</v>
      </c>
    </row>
    <row r="3753" spans="1:2" x14ac:dyDescent="0.3">
      <c r="A3753" s="5">
        <v>40562</v>
      </c>
      <c r="B3753" s="10">
        <v>52468</v>
      </c>
    </row>
    <row r="3754" spans="1:2" x14ac:dyDescent="0.3">
      <c r="A3754" s="5">
        <v>40563</v>
      </c>
      <c r="B3754" s="10">
        <v>52503</v>
      </c>
    </row>
    <row r="3755" spans="1:2" x14ac:dyDescent="0.3">
      <c r="A3755" s="5">
        <v>40564</v>
      </c>
      <c r="B3755" s="10">
        <v>52510</v>
      </c>
    </row>
    <row r="3756" spans="1:2" x14ac:dyDescent="0.3">
      <c r="A3756" s="5">
        <v>40567</v>
      </c>
      <c r="B3756" s="10">
        <v>52528</v>
      </c>
    </row>
    <row r="3757" spans="1:2" x14ac:dyDescent="0.3">
      <c r="A3757" s="5">
        <v>40568</v>
      </c>
      <c r="B3757" s="10">
        <v>52569</v>
      </c>
    </row>
    <row r="3758" spans="1:2" x14ac:dyDescent="0.3">
      <c r="A3758" s="5">
        <v>40569</v>
      </c>
      <c r="B3758" s="10">
        <v>52654</v>
      </c>
    </row>
    <row r="3759" spans="1:2" x14ac:dyDescent="0.3">
      <c r="A3759" s="5">
        <v>40570</v>
      </c>
      <c r="B3759" s="10">
        <v>52624</v>
      </c>
    </row>
    <row r="3760" spans="1:2" x14ac:dyDescent="0.3">
      <c r="A3760" s="5">
        <v>40571</v>
      </c>
      <c r="B3760" s="10">
        <v>52574</v>
      </c>
    </row>
    <row r="3761" spans="1:2" x14ac:dyDescent="0.3">
      <c r="A3761" s="5">
        <v>40574</v>
      </c>
      <c r="B3761" s="10">
        <v>52618</v>
      </c>
    </row>
    <row r="3762" spans="1:2" x14ac:dyDescent="0.3">
      <c r="A3762" s="5">
        <v>40575</v>
      </c>
      <c r="B3762" s="10">
        <v>52647</v>
      </c>
    </row>
    <row r="3763" spans="1:2" x14ac:dyDescent="0.3">
      <c r="A3763" s="5">
        <v>40576</v>
      </c>
      <c r="B3763" s="10">
        <v>52606</v>
      </c>
    </row>
    <row r="3764" spans="1:2" x14ac:dyDescent="0.3">
      <c r="A3764" s="5">
        <v>40577</v>
      </c>
      <c r="B3764" s="10">
        <v>52535</v>
      </c>
    </row>
    <row r="3765" spans="1:2" x14ac:dyDescent="0.3">
      <c r="A3765" s="5">
        <v>40578</v>
      </c>
      <c r="B3765" s="10">
        <v>52509</v>
      </c>
    </row>
    <row r="3766" spans="1:2" x14ac:dyDescent="0.3">
      <c r="A3766" s="5">
        <v>40581</v>
      </c>
      <c r="B3766" s="10">
        <v>52448</v>
      </c>
    </row>
    <row r="3767" spans="1:2" x14ac:dyDescent="0.3">
      <c r="A3767" s="5">
        <v>40582</v>
      </c>
      <c r="B3767" s="10">
        <v>52470</v>
      </c>
    </row>
    <row r="3768" spans="1:2" x14ac:dyDescent="0.3">
      <c r="A3768" s="5">
        <v>40583</v>
      </c>
      <c r="B3768" s="10">
        <v>52496</v>
      </c>
    </row>
    <row r="3769" spans="1:2" x14ac:dyDescent="0.3">
      <c r="A3769" s="5">
        <v>40584</v>
      </c>
      <c r="B3769" s="10">
        <v>52479</v>
      </c>
    </row>
    <row r="3770" spans="1:2" x14ac:dyDescent="0.3">
      <c r="A3770" s="5">
        <v>40585</v>
      </c>
      <c r="B3770" s="10">
        <v>52387</v>
      </c>
    </row>
    <row r="3771" spans="1:2" x14ac:dyDescent="0.3">
      <c r="A3771" s="5">
        <v>40588</v>
      </c>
      <c r="B3771" s="10">
        <v>52373</v>
      </c>
    </row>
    <row r="3772" spans="1:2" x14ac:dyDescent="0.3">
      <c r="A3772" s="5">
        <v>40589</v>
      </c>
      <c r="B3772" s="10">
        <v>52357</v>
      </c>
    </row>
    <row r="3773" spans="1:2" x14ac:dyDescent="0.3">
      <c r="A3773" s="5">
        <v>40590</v>
      </c>
      <c r="B3773" s="10">
        <v>52419</v>
      </c>
    </row>
    <row r="3774" spans="1:2" x14ac:dyDescent="0.3">
      <c r="A3774" s="5">
        <v>40591</v>
      </c>
      <c r="B3774" s="10">
        <v>52444</v>
      </c>
    </row>
    <row r="3775" spans="1:2" x14ac:dyDescent="0.3">
      <c r="A3775" s="5">
        <v>40592</v>
      </c>
      <c r="B3775" s="10">
        <v>52432</v>
      </c>
    </row>
    <row r="3776" spans="1:2" x14ac:dyDescent="0.3">
      <c r="A3776" s="5">
        <v>40595</v>
      </c>
      <c r="B3776" s="10">
        <v>52431</v>
      </c>
    </row>
    <row r="3777" spans="1:2" x14ac:dyDescent="0.3">
      <c r="A3777" s="5">
        <v>40596</v>
      </c>
      <c r="B3777" s="10">
        <v>52338</v>
      </c>
    </row>
    <row r="3778" spans="1:2" x14ac:dyDescent="0.3">
      <c r="A3778" s="5">
        <v>40597</v>
      </c>
      <c r="B3778" s="10">
        <v>52332</v>
      </c>
    </row>
    <row r="3779" spans="1:2" x14ac:dyDescent="0.3">
      <c r="A3779" s="5">
        <v>40598</v>
      </c>
      <c r="B3779" s="10">
        <v>52362</v>
      </c>
    </row>
    <row r="3780" spans="1:2" x14ac:dyDescent="0.3">
      <c r="A3780" s="5">
        <v>40599</v>
      </c>
      <c r="B3780" s="10">
        <v>52306</v>
      </c>
    </row>
    <row r="3781" spans="1:2" x14ac:dyDescent="0.3">
      <c r="A3781" s="5">
        <v>40602</v>
      </c>
      <c r="B3781" s="10">
        <v>52318</v>
      </c>
    </row>
    <row r="3782" spans="1:2" x14ac:dyDescent="0.3">
      <c r="A3782" s="5">
        <v>40603</v>
      </c>
      <c r="B3782" s="10">
        <v>52313</v>
      </c>
    </row>
    <row r="3783" spans="1:2" x14ac:dyDescent="0.3">
      <c r="A3783" s="5">
        <v>40604</v>
      </c>
      <c r="B3783" s="10">
        <v>52352</v>
      </c>
    </row>
    <row r="3784" spans="1:2" x14ac:dyDescent="0.3">
      <c r="A3784" s="5">
        <v>40605</v>
      </c>
      <c r="B3784" s="10">
        <v>52390</v>
      </c>
    </row>
    <row r="3785" spans="1:2" x14ac:dyDescent="0.3">
      <c r="A3785" s="5">
        <v>40606</v>
      </c>
      <c r="B3785" s="10">
        <v>52364</v>
      </c>
    </row>
    <row r="3786" spans="1:2" x14ac:dyDescent="0.3">
      <c r="A3786" s="5">
        <v>40611</v>
      </c>
      <c r="B3786" s="10">
        <v>52365</v>
      </c>
    </row>
    <row r="3787" spans="1:2" x14ac:dyDescent="0.3">
      <c r="A3787" s="5">
        <v>40612</v>
      </c>
      <c r="B3787" s="10">
        <v>52330</v>
      </c>
    </row>
    <row r="3788" spans="1:2" x14ac:dyDescent="0.3">
      <c r="A3788" s="5">
        <v>40613</v>
      </c>
      <c r="B3788" s="10">
        <v>52379</v>
      </c>
    </row>
    <row r="3789" spans="1:2" x14ac:dyDescent="0.3">
      <c r="A3789" s="5">
        <v>40616</v>
      </c>
      <c r="B3789" s="10">
        <v>52439</v>
      </c>
    </row>
    <row r="3790" spans="1:2" x14ac:dyDescent="0.3">
      <c r="A3790" s="5">
        <v>40617</v>
      </c>
      <c r="B3790" s="10">
        <v>52340</v>
      </c>
    </row>
    <row r="3791" spans="1:2" x14ac:dyDescent="0.3">
      <c r="A3791" s="5">
        <v>40618</v>
      </c>
      <c r="B3791" s="10">
        <v>52342</v>
      </c>
    </row>
    <row r="3792" spans="1:2" x14ac:dyDescent="0.3">
      <c r="A3792" s="5">
        <v>40619</v>
      </c>
      <c r="B3792" s="10">
        <v>52374</v>
      </c>
    </row>
    <row r="3793" spans="1:2" x14ac:dyDescent="0.3">
      <c r="A3793" s="5">
        <v>40620</v>
      </c>
      <c r="B3793" s="10">
        <v>52439</v>
      </c>
    </row>
    <row r="3794" spans="1:2" x14ac:dyDescent="0.3">
      <c r="A3794" s="5">
        <v>40623</v>
      </c>
      <c r="B3794" s="10">
        <v>52410</v>
      </c>
    </row>
    <row r="3795" spans="1:2" x14ac:dyDescent="0.3">
      <c r="A3795" s="5">
        <v>40624</v>
      </c>
      <c r="B3795" s="10">
        <v>52502</v>
      </c>
    </row>
    <row r="3796" spans="1:2" x14ac:dyDescent="0.3">
      <c r="A3796" s="5">
        <v>40625</v>
      </c>
      <c r="B3796" s="10">
        <v>52550</v>
      </c>
    </row>
    <row r="3797" spans="1:2" x14ac:dyDescent="0.3">
      <c r="A3797" s="5">
        <v>40630</v>
      </c>
      <c r="B3797" s="10">
        <v>51667</v>
      </c>
    </row>
    <row r="3798" spans="1:2" x14ac:dyDescent="0.3">
      <c r="A3798" s="5">
        <v>40631</v>
      </c>
      <c r="B3798" s="10">
        <v>51420</v>
      </c>
    </row>
    <row r="3799" spans="1:2" x14ac:dyDescent="0.3">
      <c r="A3799" s="5">
        <v>40632</v>
      </c>
      <c r="B3799" s="10">
        <v>51334</v>
      </c>
    </row>
    <row r="3800" spans="1:2" x14ac:dyDescent="0.3">
      <c r="A3800" s="5">
        <v>40633</v>
      </c>
      <c r="B3800" s="10">
        <v>51298</v>
      </c>
    </row>
    <row r="3801" spans="1:2" x14ac:dyDescent="0.3">
      <c r="A3801" s="5">
        <v>40634</v>
      </c>
      <c r="B3801" s="10">
        <v>51302</v>
      </c>
    </row>
    <row r="3802" spans="1:2" x14ac:dyDescent="0.3">
      <c r="A3802" s="5">
        <v>40637</v>
      </c>
      <c r="B3802" s="10">
        <v>51210</v>
      </c>
    </row>
    <row r="3803" spans="1:2" x14ac:dyDescent="0.3">
      <c r="A3803" s="5">
        <v>40638</v>
      </c>
      <c r="B3803" s="10">
        <v>51330</v>
      </c>
    </row>
    <row r="3804" spans="1:2" x14ac:dyDescent="0.3">
      <c r="A3804" s="5">
        <v>40639</v>
      </c>
      <c r="B3804" s="10">
        <v>51405</v>
      </c>
    </row>
    <row r="3805" spans="1:2" x14ac:dyDescent="0.3">
      <c r="A3805" s="5">
        <v>40640</v>
      </c>
      <c r="B3805" s="10">
        <v>51481</v>
      </c>
    </row>
    <row r="3806" spans="1:2" x14ac:dyDescent="0.3">
      <c r="A3806" s="5">
        <v>40641</v>
      </c>
      <c r="B3806" s="10">
        <v>51541</v>
      </c>
    </row>
    <row r="3807" spans="1:2" x14ac:dyDescent="0.3">
      <c r="A3807" s="5">
        <v>40644</v>
      </c>
      <c r="B3807" s="10">
        <v>51605</v>
      </c>
    </row>
    <row r="3808" spans="1:2" x14ac:dyDescent="0.3">
      <c r="A3808" s="5">
        <v>40645</v>
      </c>
      <c r="B3808" s="10">
        <v>51633</v>
      </c>
    </row>
    <row r="3809" spans="1:2" x14ac:dyDescent="0.3">
      <c r="A3809" s="5">
        <v>40646</v>
      </c>
      <c r="B3809" s="10">
        <v>51658</v>
      </c>
    </row>
    <row r="3810" spans="1:2" x14ac:dyDescent="0.3">
      <c r="A3810" s="5">
        <v>40647</v>
      </c>
      <c r="B3810" s="10">
        <v>51710</v>
      </c>
    </row>
    <row r="3811" spans="1:2" x14ac:dyDescent="0.3">
      <c r="A3811" s="5">
        <v>40648</v>
      </c>
      <c r="B3811" s="10">
        <v>51638</v>
      </c>
    </row>
    <row r="3812" spans="1:2" x14ac:dyDescent="0.3">
      <c r="A3812" s="5">
        <v>40651</v>
      </c>
      <c r="B3812" s="10">
        <v>51564</v>
      </c>
    </row>
    <row r="3813" spans="1:2" x14ac:dyDescent="0.3">
      <c r="A3813" s="5">
        <v>40652</v>
      </c>
      <c r="B3813" s="10">
        <v>51642</v>
      </c>
    </row>
    <row r="3814" spans="1:2" x14ac:dyDescent="0.3">
      <c r="A3814" s="5">
        <v>40653</v>
      </c>
      <c r="B3814" s="10">
        <v>51739</v>
      </c>
    </row>
    <row r="3815" spans="1:2" x14ac:dyDescent="0.3">
      <c r="A3815" s="5">
        <v>40658</v>
      </c>
      <c r="B3815" s="10">
        <v>51837</v>
      </c>
    </row>
    <row r="3816" spans="1:2" x14ac:dyDescent="0.3">
      <c r="A3816" s="5">
        <v>40659</v>
      </c>
      <c r="B3816" s="10">
        <v>52094</v>
      </c>
    </row>
    <row r="3817" spans="1:2" x14ac:dyDescent="0.3">
      <c r="A3817" s="5">
        <v>40660</v>
      </c>
      <c r="B3817" s="10">
        <v>51882</v>
      </c>
    </row>
    <row r="3818" spans="1:2" x14ac:dyDescent="0.3">
      <c r="A3818" s="5">
        <v>40661</v>
      </c>
      <c r="B3818" s="10">
        <v>51908</v>
      </c>
    </row>
    <row r="3819" spans="1:2" x14ac:dyDescent="0.3">
      <c r="A3819" s="5">
        <v>40662</v>
      </c>
      <c r="B3819" s="10">
        <v>52011</v>
      </c>
    </row>
    <row r="3820" spans="1:2" x14ac:dyDescent="0.3">
      <c r="A3820" s="5">
        <v>40665</v>
      </c>
      <c r="B3820" s="10">
        <v>51990</v>
      </c>
    </row>
    <row r="3821" spans="1:2" x14ac:dyDescent="0.3">
      <c r="A3821" s="5">
        <v>40666</v>
      </c>
      <c r="B3821" s="10">
        <v>52011</v>
      </c>
    </row>
    <row r="3822" spans="1:2" x14ac:dyDescent="0.3">
      <c r="A3822" s="5">
        <v>40667</v>
      </c>
      <c r="B3822" s="10">
        <v>51993</v>
      </c>
    </row>
    <row r="3823" spans="1:2" x14ac:dyDescent="0.3">
      <c r="A3823" s="5">
        <v>40668</v>
      </c>
      <c r="B3823" s="10">
        <v>51900</v>
      </c>
    </row>
    <row r="3824" spans="1:2" x14ac:dyDescent="0.3">
      <c r="A3824" s="5">
        <v>40669</v>
      </c>
      <c r="B3824" s="10">
        <v>51897</v>
      </c>
    </row>
    <row r="3825" spans="1:2" x14ac:dyDescent="0.3">
      <c r="A3825" s="5">
        <v>40672</v>
      </c>
      <c r="B3825" s="10">
        <v>51894</v>
      </c>
    </row>
    <row r="3826" spans="1:2" x14ac:dyDescent="0.3">
      <c r="A3826" s="5">
        <v>40673</v>
      </c>
      <c r="B3826" s="10">
        <v>51975</v>
      </c>
    </row>
    <row r="3827" spans="1:2" x14ac:dyDescent="0.3">
      <c r="A3827" s="5">
        <v>40674</v>
      </c>
      <c r="B3827" s="10">
        <v>51929</v>
      </c>
    </row>
    <row r="3828" spans="1:2" x14ac:dyDescent="0.3">
      <c r="A3828" s="5">
        <v>40675</v>
      </c>
      <c r="B3828" s="10">
        <v>52000</v>
      </c>
    </row>
    <row r="3829" spans="1:2" x14ac:dyDescent="0.3">
      <c r="A3829" s="5">
        <v>40676</v>
      </c>
      <c r="B3829" s="10">
        <v>52031</v>
      </c>
    </row>
    <row r="3830" spans="1:2" x14ac:dyDescent="0.3">
      <c r="A3830" s="5">
        <v>40679</v>
      </c>
      <c r="B3830" s="10">
        <v>52002</v>
      </c>
    </row>
    <row r="3831" spans="1:2" x14ac:dyDescent="0.3">
      <c r="A3831" s="5">
        <v>40680</v>
      </c>
      <c r="B3831" s="10">
        <v>51959</v>
      </c>
    </row>
    <row r="3832" spans="1:2" x14ac:dyDescent="0.3">
      <c r="A3832" s="5">
        <v>40681</v>
      </c>
      <c r="B3832" s="10">
        <v>51950</v>
      </c>
    </row>
    <row r="3833" spans="1:2" x14ac:dyDescent="0.3">
      <c r="A3833" s="5">
        <v>40682</v>
      </c>
      <c r="B3833" s="10">
        <v>51919</v>
      </c>
    </row>
    <row r="3834" spans="1:2" x14ac:dyDescent="0.3">
      <c r="A3834" s="5">
        <v>40683</v>
      </c>
      <c r="B3834" s="10">
        <v>51909</v>
      </c>
    </row>
    <row r="3835" spans="1:2" x14ac:dyDescent="0.3">
      <c r="A3835" s="5">
        <v>40686</v>
      </c>
      <c r="B3835" s="10">
        <v>51893</v>
      </c>
    </row>
    <row r="3836" spans="1:2" x14ac:dyDescent="0.3">
      <c r="A3836" s="5">
        <v>40687</v>
      </c>
      <c r="B3836" s="10">
        <v>51965</v>
      </c>
    </row>
    <row r="3837" spans="1:2" x14ac:dyDescent="0.3">
      <c r="A3837" s="5">
        <v>40689</v>
      </c>
      <c r="B3837" s="10">
        <v>52066</v>
      </c>
    </row>
    <row r="3838" spans="1:2" x14ac:dyDescent="0.3">
      <c r="A3838" s="5">
        <v>40690</v>
      </c>
      <c r="B3838" s="10">
        <v>52150</v>
      </c>
    </row>
    <row r="3839" spans="1:2" x14ac:dyDescent="0.3">
      <c r="A3839" s="5">
        <v>40693</v>
      </c>
      <c r="B3839" s="10">
        <v>52148</v>
      </c>
    </row>
    <row r="3840" spans="1:2" x14ac:dyDescent="0.3">
      <c r="A3840" s="5">
        <v>40694</v>
      </c>
      <c r="B3840" s="10">
        <v>52060</v>
      </c>
    </row>
    <row r="3841" spans="1:2" x14ac:dyDescent="0.3">
      <c r="A3841" s="5">
        <v>40695</v>
      </c>
      <c r="B3841" s="10">
        <v>52001</v>
      </c>
    </row>
    <row r="3842" spans="1:2" x14ac:dyDescent="0.3">
      <c r="A3842" s="5">
        <v>40696</v>
      </c>
      <c r="B3842" s="10">
        <v>52028</v>
      </c>
    </row>
    <row r="3843" spans="1:2" x14ac:dyDescent="0.3">
      <c r="A3843" s="5">
        <v>40697</v>
      </c>
      <c r="B3843" s="10">
        <v>52046</v>
      </c>
    </row>
    <row r="3844" spans="1:2" x14ac:dyDescent="0.3">
      <c r="A3844" s="5">
        <v>40700</v>
      </c>
      <c r="B3844" s="10">
        <v>52043</v>
      </c>
    </row>
    <row r="3845" spans="1:2" x14ac:dyDescent="0.3">
      <c r="A3845" s="5">
        <v>40701</v>
      </c>
      <c r="B3845" s="10">
        <v>52066</v>
      </c>
    </row>
    <row r="3846" spans="1:2" x14ac:dyDescent="0.3">
      <c r="A3846" s="5">
        <v>40702</v>
      </c>
      <c r="B3846" s="10">
        <v>52039</v>
      </c>
    </row>
    <row r="3847" spans="1:2" x14ac:dyDescent="0.3">
      <c r="A3847" s="5">
        <v>40703</v>
      </c>
      <c r="B3847" s="10">
        <v>52070</v>
      </c>
    </row>
    <row r="3848" spans="1:2" x14ac:dyDescent="0.3">
      <c r="A3848" s="5">
        <v>40704</v>
      </c>
      <c r="B3848" s="10">
        <v>52131</v>
      </c>
    </row>
    <row r="3849" spans="1:2" x14ac:dyDescent="0.3">
      <c r="A3849" s="5">
        <v>40707</v>
      </c>
      <c r="B3849" s="10">
        <v>52176</v>
      </c>
    </row>
    <row r="3850" spans="1:2" x14ac:dyDescent="0.3">
      <c r="A3850" s="5">
        <v>40708</v>
      </c>
      <c r="B3850" s="10">
        <v>52206</v>
      </c>
    </row>
    <row r="3851" spans="1:2" x14ac:dyDescent="0.3">
      <c r="A3851" s="5">
        <v>40709</v>
      </c>
      <c r="B3851" s="10">
        <v>52147</v>
      </c>
    </row>
    <row r="3852" spans="1:2" x14ac:dyDescent="0.3">
      <c r="A3852" s="5">
        <v>40710</v>
      </c>
      <c r="B3852" s="10">
        <v>52160</v>
      </c>
    </row>
    <row r="3853" spans="1:2" x14ac:dyDescent="0.3">
      <c r="A3853" s="5">
        <v>40711</v>
      </c>
      <c r="B3853" s="10">
        <v>52208</v>
      </c>
    </row>
    <row r="3854" spans="1:2" x14ac:dyDescent="0.3">
      <c r="A3854" s="5">
        <v>40715</v>
      </c>
      <c r="B3854" s="10">
        <v>52236</v>
      </c>
    </row>
    <row r="3855" spans="1:2" x14ac:dyDescent="0.3">
      <c r="A3855" s="5">
        <v>40716</v>
      </c>
      <c r="B3855" s="10">
        <v>52259</v>
      </c>
    </row>
    <row r="3856" spans="1:2" x14ac:dyDescent="0.3">
      <c r="A3856" s="5">
        <v>40717</v>
      </c>
      <c r="B3856" s="10">
        <v>52153</v>
      </c>
    </row>
    <row r="3857" spans="1:2" x14ac:dyDescent="0.3">
      <c r="A3857" s="5">
        <v>40718</v>
      </c>
      <c r="B3857" s="10">
        <v>52089</v>
      </c>
    </row>
    <row r="3858" spans="1:2" x14ac:dyDescent="0.3">
      <c r="A3858" s="5">
        <v>40721</v>
      </c>
      <c r="B3858" s="10">
        <v>52036</v>
      </c>
    </row>
    <row r="3859" spans="1:2" x14ac:dyDescent="0.3">
      <c r="A3859" s="5">
        <v>40722</v>
      </c>
      <c r="B3859" s="10">
        <v>52090</v>
      </c>
    </row>
    <row r="3860" spans="1:2" x14ac:dyDescent="0.3">
      <c r="A3860" s="5">
        <v>40723</v>
      </c>
      <c r="B3860" s="10">
        <v>51794</v>
      </c>
    </row>
    <row r="3861" spans="1:2" x14ac:dyDescent="0.3">
      <c r="A3861" s="5">
        <v>40724</v>
      </c>
      <c r="B3861" s="10">
        <v>51695</v>
      </c>
    </row>
    <row r="3862" spans="1:2" x14ac:dyDescent="0.3">
      <c r="A3862" s="5">
        <v>40725</v>
      </c>
      <c r="B3862" s="10">
        <v>51749</v>
      </c>
    </row>
    <row r="3863" spans="1:2" x14ac:dyDescent="0.3">
      <c r="A3863" s="5">
        <v>40728</v>
      </c>
      <c r="B3863" s="10">
        <v>51779</v>
      </c>
    </row>
    <row r="3864" spans="1:2" x14ac:dyDescent="0.3">
      <c r="A3864" s="5">
        <v>40729</v>
      </c>
      <c r="B3864" s="10">
        <v>51525</v>
      </c>
    </row>
    <row r="3865" spans="1:2" x14ac:dyDescent="0.3">
      <c r="A3865" s="5">
        <v>40730</v>
      </c>
      <c r="B3865" s="10">
        <v>51566</v>
      </c>
    </row>
    <row r="3866" spans="1:2" x14ac:dyDescent="0.3">
      <c r="A3866" s="5">
        <v>40731</v>
      </c>
      <c r="B3866" s="10">
        <v>51601</v>
      </c>
    </row>
    <row r="3867" spans="1:2" x14ac:dyDescent="0.3">
      <c r="A3867" s="5">
        <v>40732</v>
      </c>
      <c r="B3867" s="10">
        <v>51588</v>
      </c>
    </row>
    <row r="3868" spans="1:2" x14ac:dyDescent="0.3">
      <c r="A3868" s="5">
        <v>40735</v>
      </c>
      <c r="B3868" s="10">
        <v>51611</v>
      </c>
    </row>
    <row r="3869" spans="1:2" x14ac:dyDescent="0.3">
      <c r="A3869" s="5">
        <v>40736</v>
      </c>
      <c r="B3869" s="10">
        <v>51713</v>
      </c>
    </row>
    <row r="3870" spans="1:2" x14ac:dyDescent="0.3">
      <c r="A3870" s="5">
        <v>40737</v>
      </c>
      <c r="B3870" s="10">
        <v>51879</v>
      </c>
    </row>
    <row r="3871" spans="1:2" x14ac:dyDescent="0.3">
      <c r="A3871" s="5">
        <v>40738</v>
      </c>
      <c r="B3871" s="10">
        <v>52023</v>
      </c>
    </row>
    <row r="3872" spans="1:2" x14ac:dyDescent="0.3">
      <c r="A3872" s="5">
        <v>40739</v>
      </c>
      <c r="B3872" s="10">
        <v>52031</v>
      </c>
    </row>
    <row r="3873" spans="1:2" x14ac:dyDescent="0.3">
      <c r="A3873" s="5">
        <v>40742</v>
      </c>
      <c r="B3873" s="10">
        <v>52003</v>
      </c>
    </row>
    <row r="3874" spans="1:2" x14ac:dyDescent="0.3">
      <c r="A3874" s="5">
        <v>40743</v>
      </c>
      <c r="B3874" s="10">
        <v>51969</v>
      </c>
    </row>
    <row r="3875" spans="1:2" x14ac:dyDescent="0.3">
      <c r="A3875" s="5">
        <v>40744</v>
      </c>
      <c r="B3875" s="10">
        <v>51987</v>
      </c>
    </row>
    <row r="3876" spans="1:2" x14ac:dyDescent="0.3">
      <c r="A3876" s="5">
        <v>40745</v>
      </c>
      <c r="B3876" s="10">
        <v>51982</v>
      </c>
    </row>
    <row r="3877" spans="1:2" x14ac:dyDescent="0.3">
      <c r="A3877" s="5">
        <v>40746</v>
      </c>
      <c r="B3877" s="10">
        <v>51988</v>
      </c>
    </row>
    <row r="3878" spans="1:2" x14ac:dyDescent="0.3">
      <c r="A3878" s="5">
        <v>40749</v>
      </c>
      <c r="B3878" s="10">
        <v>51934</v>
      </c>
    </row>
    <row r="3879" spans="1:2" x14ac:dyDescent="0.3">
      <c r="A3879" s="5">
        <v>40750</v>
      </c>
      <c r="B3879" s="10">
        <v>52016</v>
      </c>
    </row>
    <row r="3880" spans="1:2" x14ac:dyDescent="0.3">
      <c r="A3880" s="5">
        <v>40751</v>
      </c>
      <c r="B3880" s="10">
        <v>52025</v>
      </c>
    </row>
    <row r="3881" spans="1:2" x14ac:dyDescent="0.3">
      <c r="A3881" s="5">
        <v>40752</v>
      </c>
      <c r="B3881" s="10">
        <v>51968</v>
      </c>
    </row>
    <row r="3882" spans="1:2" x14ac:dyDescent="0.3">
      <c r="A3882" s="5">
        <v>40753</v>
      </c>
      <c r="B3882" s="10">
        <v>51923</v>
      </c>
    </row>
    <row r="3883" spans="1:2" x14ac:dyDescent="0.3">
      <c r="A3883" s="5">
        <v>40756</v>
      </c>
      <c r="B3883" s="10">
        <v>51853</v>
      </c>
    </row>
    <row r="3884" spans="1:2" x14ac:dyDescent="0.3">
      <c r="A3884" s="5">
        <v>40757</v>
      </c>
      <c r="B3884" s="10">
        <v>51863</v>
      </c>
    </row>
    <row r="3885" spans="1:2" x14ac:dyDescent="0.3">
      <c r="A3885" s="5">
        <v>40758</v>
      </c>
      <c r="B3885" s="10">
        <v>52001</v>
      </c>
    </row>
    <row r="3886" spans="1:2" x14ac:dyDescent="0.3">
      <c r="A3886" s="5">
        <v>40759</v>
      </c>
      <c r="B3886" s="10">
        <v>51722</v>
      </c>
    </row>
    <row r="3887" spans="1:2" x14ac:dyDescent="0.3">
      <c r="A3887" s="5">
        <v>40760</v>
      </c>
      <c r="B3887" s="10">
        <v>50318</v>
      </c>
    </row>
    <row r="3888" spans="1:2" x14ac:dyDescent="0.3">
      <c r="A3888" s="5">
        <v>40763</v>
      </c>
      <c r="B3888" s="10">
        <v>50277</v>
      </c>
    </row>
    <row r="3889" spans="1:2" x14ac:dyDescent="0.3">
      <c r="A3889" s="5">
        <v>40764</v>
      </c>
      <c r="B3889" s="10">
        <v>50226</v>
      </c>
    </row>
    <row r="3890" spans="1:2" x14ac:dyDescent="0.3">
      <c r="A3890" s="5">
        <v>40765</v>
      </c>
      <c r="B3890" s="10">
        <v>50333</v>
      </c>
    </row>
    <row r="3891" spans="1:2" x14ac:dyDescent="0.3">
      <c r="A3891" s="5">
        <v>40766</v>
      </c>
      <c r="B3891" s="10">
        <v>50293</v>
      </c>
    </row>
    <row r="3892" spans="1:2" x14ac:dyDescent="0.3">
      <c r="A3892" s="5">
        <v>40767</v>
      </c>
      <c r="B3892" s="10">
        <v>50330</v>
      </c>
    </row>
    <row r="3893" spans="1:2" x14ac:dyDescent="0.3">
      <c r="A3893" s="5">
        <v>40770</v>
      </c>
      <c r="B3893" s="10">
        <v>50210</v>
      </c>
    </row>
    <row r="3894" spans="1:2" x14ac:dyDescent="0.3">
      <c r="A3894" s="5">
        <v>40771</v>
      </c>
      <c r="B3894" s="10">
        <v>50150</v>
      </c>
    </row>
    <row r="3895" spans="1:2" x14ac:dyDescent="0.3">
      <c r="A3895" s="5">
        <v>40772</v>
      </c>
      <c r="B3895" s="10">
        <v>50119</v>
      </c>
    </row>
    <row r="3896" spans="1:2" x14ac:dyDescent="0.3">
      <c r="A3896" s="5">
        <v>40773</v>
      </c>
      <c r="B3896" s="10">
        <v>50072</v>
      </c>
    </row>
    <row r="3897" spans="1:2" x14ac:dyDescent="0.3">
      <c r="A3897" s="5">
        <v>40774</v>
      </c>
      <c r="B3897" s="10">
        <v>50102</v>
      </c>
    </row>
    <row r="3898" spans="1:2" x14ac:dyDescent="0.3">
      <c r="A3898" s="5">
        <v>40778</v>
      </c>
      <c r="B3898" s="10">
        <v>50109</v>
      </c>
    </row>
    <row r="3899" spans="1:2" x14ac:dyDescent="0.3">
      <c r="A3899" s="5">
        <v>40779</v>
      </c>
      <c r="B3899" s="10">
        <v>50061</v>
      </c>
    </row>
    <row r="3900" spans="1:2" x14ac:dyDescent="0.3">
      <c r="A3900" s="5">
        <v>40780</v>
      </c>
      <c r="B3900" s="10">
        <v>50041</v>
      </c>
    </row>
    <row r="3901" spans="1:2" x14ac:dyDescent="0.3">
      <c r="A3901" s="5">
        <v>40781</v>
      </c>
      <c r="B3901" s="10">
        <v>50090</v>
      </c>
    </row>
    <row r="3902" spans="1:2" x14ac:dyDescent="0.3">
      <c r="A3902" s="5">
        <v>40784</v>
      </c>
      <c r="B3902" s="10">
        <v>50043</v>
      </c>
    </row>
    <row r="3903" spans="1:2" x14ac:dyDescent="0.3">
      <c r="A3903" s="5">
        <v>40785</v>
      </c>
      <c r="B3903" s="10">
        <v>50036</v>
      </c>
    </row>
    <row r="3904" spans="1:2" x14ac:dyDescent="0.3">
      <c r="A3904" s="5">
        <v>40786</v>
      </c>
      <c r="B3904" s="10">
        <v>49990</v>
      </c>
    </row>
    <row r="3905" spans="1:2" x14ac:dyDescent="0.3">
      <c r="A3905" s="5">
        <v>40787</v>
      </c>
      <c r="B3905" s="10">
        <v>49913</v>
      </c>
    </row>
    <row r="3906" spans="1:2" x14ac:dyDescent="0.3">
      <c r="A3906" s="5">
        <v>40788</v>
      </c>
      <c r="B3906" s="10">
        <v>49956</v>
      </c>
    </row>
    <row r="3907" spans="1:2" x14ac:dyDescent="0.3">
      <c r="A3907" s="5">
        <v>40791</v>
      </c>
      <c r="B3907" s="10">
        <v>49954</v>
      </c>
    </row>
    <row r="3908" spans="1:2" x14ac:dyDescent="0.3">
      <c r="A3908" s="5">
        <v>40792</v>
      </c>
      <c r="B3908" s="10">
        <v>49773</v>
      </c>
    </row>
    <row r="3909" spans="1:2" x14ac:dyDescent="0.3">
      <c r="A3909" s="5">
        <v>40793</v>
      </c>
      <c r="B3909" s="10">
        <v>49676</v>
      </c>
    </row>
    <row r="3910" spans="1:2" x14ac:dyDescent="0.3">
      <c r="A3910" s="5">
        <v>40794</v>
      </c>
      <c r="B3910" s="10">
        <v>49691</v>
      </c>
    </row>
    <row r="3911" spans="1:2" x14ac:dyDescent="0.3">
      <c r="A3911" s="5">
        <v>40795</v>
      </c>
      <c r="B3911" s="10">
        <v>49688</v>
      </c>
    </row>
    <row r="3912" spans="1:2" x14ac:dyDescent="0.3">
      <c r="A3912" s="5">
        <v>40798</v>
      </c>
      <c r="B3912" s="10">
        <v>49586</v>
      </c>
    </row>
    <row r="3913" spans="1:2" x14ac:dyDescent="0.3">
      <c r="A3913" s="5">
        <v>40799</v>
      </c>
      <c r="B3913" s="10">
        <v>49589</v>
      </c>
    </row>
    <row r="3914" spans="1:2" x14ac:dyDescent="0.3">
      <c r="A3914" s="5">
        <v>40800</v>
      </c>
      <c r="B3914" s="10">
        <v>49556</v>
      </c>
    </row>
    <row r="3915" spans="1:2" x14ac:dyDescent="0.3">
      <c r="A3915" s="5">
        <v>40801</v>
      </c>
      <c r="B3915" s="10">
        <v>49452</v>
      </c>
    </row>
    <row r="3916" spans="1:2" x14ac:dyDescent="0.3">
      <c r="A3916" s="5">
        <v>40802</v>
      </c>
      <c r="B3916" s="10">
        <v>49424</v>
      </c>
    </row>
    <row r="3917" spans="1:2" x14ac:dyDescent="0.3">
      <c r="A3917" s="5">
        <v>40805</v>
      </c>
      <c r="B3917" s="10">
        <v>49231</v>
      </c>
    </row>
    <row r="3918" spans="1:2" x14ac:dyDescent="0.3">
      <c r="A3918" s="5">
        <v>40806</v>
      </c>
      <c r="B3918" s="10">
        <v>49270</v>
      </c>
    </row>
    <row r="3919" spans="1:2" x14ac:dyDescent="0.3">
      <c r="A3919" s="5">
        <v>40807</v>
      </c>
      <c r="B3919" s="10">
        <v>49264</v>
      </c>
    </row>
    <row r="3920" spans="1:2" x14ac:dyDescent="0.3">
      <c r="A3920" s="5">
        <v>40808</v>
      </c>
      <c r="B3920" s="10">
        <v>49142</v>
      </c>
    </row>
    <row r="3921" spans="1:2" x14ac:dyDescent="0.3">
      <c r="A3921" s="5">
        <v>40809</v>
      </c>
      <c r="B3921" s="10">
        <v>49060</v>
      </c>
    </row>
    <row r="3922" spans="1:2" x14ac:dyDescent="0.3">
      <c r="A3922" s="5">
        <v>40812</v>
      </c>
      <c r="B3922" s="10">
        <v>48983</v>
      </c>
    </row>
    <row r="3923" spans="1:2" x14ac:dyDescent="0.3">
      <c r="A3923" s="5">
        <v>40813</v>
      </c>
      <c r="B3923" s="10">
        <v>48995</v>
      </c>
    </row>
    <row r="3924" spans="1:2" x14ac:dyDescent="0.3">
      <c r="A3924" s="5">
        <v>40814</v>
      </c>
      <c r="B3924" s="10">
        <v>48860</v>
      </c>
    </row>
    <row r="3925" spans="1:2" x14ac:dyDescent="0.3">
      <c r="A3925" s="5">
        <v>40815</v>
      </c>
      <c r="B3925" s="10">
        <v>48721</v>
      </c>
    </row>
    <row r="3926" spans="1:2" x14ac:dyDescent="0.3">
      <c r="A3926" s="5">
        <v>40816</v>
      </c>
      <c r="B3926" s="10">
        <v>48590</v>
      </c>
    </row>
    <row r="3927" spans="1:2" x14ac:dyDescent="0.3">
      <c r="A3927" s="5">
        <v>40819</v>
      </c>
      <c r="B3927" s="10">
        <v>48409</v>
      </c>
    </row>
    <row r="3928" spans="1:2" x14ac:dyDescent="0.3">
      <c r="A3928" s="5">
        <v>40820</v>
      </c>
      <c r="B3928" s="10">
        <v>48279</v>
      </c>
    </row>
    <row r="3929" spans="1:2" x14ac:dyDescent="0.3">
      <c r="A3929" s="5">
        <v>40821</v>
      </c>
      <c r="B3929" s="10">
        <v>48249</v>
      </c>
    </row>
    <row r="3930" spans="1:2" x14ac:dyDescent="0.3">
      <c r="A3930" s="5">
        <v>40822</v>
      </c>
      <c r="B3930" s="10">
        <v>48310</v>
      </c>
    </row>
    <row r="3931" spans="1:2" x14ac:dyDescent="0.3">
      <c r="A3931" s="5">
        <v>40823</v>
      </c>
      <c r="B3931" s="10">
        <v>48235</v>
      </c>
    </row>
    <row r="3932" spans="1:2" x14ac:dyDescent="0.3">
      <c r="A3932" s="5">
        <v>40827</v>
      </c>
      <c r="B3932" s="10">
        <v>48132</v>
      </c>
    </row>
    <row r="3933" spans="1:2" x14ac:dyDescent="0.3">
      <c r="A3933" s="5">
        <v>40828</v>
      </c>
      <c r="B3933" s="10">
        <v>48209</v>
      </c>
    </row>
    <row r="3934" spans="1:2" x14ac:dyDescent="0.3">
      <c r="A3934" s="5">
        <v>40829</v>
      </c>
      <c r="B3934" s="10">
        <v>48205</v>
      </c>
    </row>
    <row r="3935" spans="1:2" x14ac:dyDescent="0.3">
      <c r="A3935" s="5">
        <v>40830</v>
      </c>
      <c r="B3935" s="10">
        <v>48241</v>
      </c>
    </row>
    <row r="3936" spans="1:2" x14ac:dyDescent="0.3">
      <c r="A3936" s="5">
        <v>40833</v>
      </c>
      <c r="B3936" s="10">
        <v>48032</v>
      </c>
    </row>
    <row r="3937" spans="1:2" x14ac:dyDescent="0.3">
      <c r="A3937" s="5">
        <v>40834</v>
      </c>
      <c r="B3937" s="10">
        <v>48095</v>
      </c>
    </row>
    <row r="3938" spans="1:2" x14ac:dyDescent="0.3">
      <c r="A3938" s="5">
        <v>40835</v>
      </c>
      <c r="B3938" s="10">
        <v>47985</v>
      </c>
    </row>
    <row r="3939" spans="1:2" x14ac:dyDescent="0.3">
      <c r="A3939" s="5">
        <v>40836</v>
      </c>
      <c r="B3939" s="10">
        <v>47828</v>
      </c>
    </row>
    <row r="3940" spans="1:2" x14ac:dyDescent="0.3">
      <c r="A3940" s="5">
        <v>40837</v>
      </c>
      <c r="B3940" s="10">
        <v>47806</v>
      </c>
    </row>
    <row r="3941" spans="1:2" x14ac:dyDescent="0.3">
      <c r="A3941" s="5">
        <v>40840</v>
      </c>
      <c r="B3941" s="10">
        <v>47806</v>
      </c>
    </row>
    <row r="3942" spans="1:2" x14ac:dyDescent="0.3">
      <c r="A3942" s="5">
        <v>40841</v>
      </c>
      <c r="B3942" s="10">
        <v>47768</v>
      </c>
    </row>
    <row r="3943" spans="1:2" x14ac:dyDescent="0.3">
      <c r="A3943" s="5">
        <v>40842</v>
      </c>
      <c r="B3943" s="10">
        <v>47701</v>
      </c>
    </row>
    <row r="3944" spans="1:2" x14ac:dyDescent="0.3">
      <c r="A3944" s="5">
        <v>40843</v>
      </c>
      <c r="B3944" s="10">
        <v>47627</v>
      </c>
    </row>
    <row r="3945" spans="1:2" x14ac:dyDescent="0.3">
      <c r="A3945" s="5">
        <v>40844</v>
      </c>
      <c r="B3945" s="10">
        <v>47587</v>
      </c>
    </row>
    <row r="3946" spans="1:2" x14ac:dyDescent="0.3">
      <c r="A3946" s="5">
        <v>40847</v>
      </c>
      <c r="B3946" s="10">
        <v>47523</v>
      </c>
    </row>
    <row r="3947" spans="1:2" x14ac:dyDescent="0.3">
      <c r="A3947" s="5">
        <v>40848</v>
      </c>
      <c r="B3947" s="10">
        <v>47429</v>
      </c>
    </row>
    <row r="3948" spans="1:2" x14ac:dyDescent="0.3">
      <c r="A3948" s="5">
        <v>40849</v>
      </c>
      <c r="B3948" s="10">
        <v>47450</v>
      </c>
    </row>
    <row r="3949" spans="1:2" x14ac:dyDescent="0.3">
      <c r="A3949" s="5">
        <v>40850</v>
      </c>
      <c r="B3949" s="10">
        <v>47408</v>
      </c>
    </row>
    <row r="3950" spans="1:2" x14ac:dyDescent="0.3">
      <c r="A3950" s="5">
        <v>40851</v>
      </c>
      <c r="B3950" s="10">
        <v>47274</v>
      </c>
    </row>
    <row r="3951" spans="1:2" x14ac:dyDescent="0.3">
      <c r="A3951" s="5">
        <v>40854</v>
      </c>
      <c r="B3951" s="10">
        <v>47089</v>
      </c>
    </row>
    <row r="3952" spans="1:2" x14ac:dyDescent="0.3">
      <c r="A3952" s="5">
        <v>40855</v>
      </c>
      <c r="B3952" s="10">
        <v>46964</v>
      </c>
    </row>
    <row r="3953" spans="1:2" x14ac:dyDescent="0.3">
      <c r="A3953" s="5">
        <v>40856</v>
      </c>
      <c r="B3953" s="10">
        <v>46824</v>
      </c>
    </row>
    <row r="3954" spans="1:2" x14ac:dyDescent="0.3">
      <c r="A3954" s="5">
        <v>40857</v>
      </c>
      <c r="B3954" s="10">
        <v>46661</v>
      </c>
    </row>
    <row r="3955" spans="1:2" x14ac:dyDescent="0.3">
      <c r="A3955" s="5">
        <v>40858</v>
      </c>
      <c r="B3955" s="10">
        <v>46581</v>
      </c>
    </row>
    <row r="3956" spans="1:2" x14ac:dyDescent="0.3">
      <c r="A3956" s="5">
        <v>40861</v>
      </c>
      <c r="B3956" s="10">
        <v>46317</v>
      </c>
    </row>
    <row r="3957" spans="1:2" x14ac:dyDescent="0.3">
      <c r="A3957" s="5">
        <v>40862</v>
      </c>
      <c r="B3957" s="10">
        <v>46127</v>
      </c>
    </row>
    <row r="3958" spans="1:2" x14ac:dyDescent="0.3">
      <c r="A3958" s="5">
        <v>40863</v>
      </c>
      <c r="B3958" s="10">
        <v>46077</v>
      </c>
    </row>
    <row r="3959" spans="1:2" x14ac:dyDescent="0.3">
      <c r="A3959" s="5">
        <v>40864</v>
      </c>
      <c r="B3959" s="10">
        <v>46005</v>
      </c>
    </row>
    <row r="3960" spans="1:2" x14ac:dyDescent="0.3">
      <c r="A3960" s="5">
        <v>40865</v>
      </c>
      <c r="B3960" s="10">
        <v>46022</v>
      </c>
    </row>
    <row r="3961" spans="1:2" x14ac:dyDescent="0.3">
      <c r="A3961" s="5">
        <v>40868</v>
      </c>
      <c r="B3961" s="10">
        <v>45966</v>
      </c>
    </row>
    <row r="3962" spans="1:2" x14ac:dyDescent="0.3">
      <c r="A3962" s="5">
        <v>40869</v>
      </c>
      <c r="B3962" s="10">
        <v>46059</v>
      </c>
    </row>
    <row r="3963" spans="1:2" x14ac:dyDescent="0.3">
      <c r="A3963" s="5">
        <v>40870</v>
      </c>
      <c r="B3963" s="10">
        <v>46033</v>
      </c>
    </row>
    <row r="3964" spans="1:2" x14ac:dyDescent="0.3">
      <c r="A3964" s="5">
        <v>40871</v>
      </c>
      <c r="B3964" s="10">
        <v>46052</v>
      </c>
    </row>
    <row r="3965" spans="1:2" x14ac:dyDescent="0.3">
      <c r="A3965" s="5">
        <v>40872</v>
      </c>
      <c r="B3965" s="10">
        <v>45947</v>
      </c>
    </row>
    <row r="3966" spans="1:2" x14ac:dyDescent="0.3">
      <c r="A3966" s="5">
        <v>40876</v>
      </c>
      <c r="B3966" s="10">
        <v>46000</v>
      </c>
    </row>
    <row r="3967" spans="1:2" x14ac:dyDescent="0.3">
      <c r="A3967" s="5">
        <v>40877</v>
      </c>
      <c r="B3967" s="10">
        <v>46062</v>
      </c>
    </row>
    <row r="3968" spans="1:2" x14ac:dyDescent="0.3">
      <c r="A3968" s="5">
        <v>40878</v>
      </c>
      <c r="B3968" s="10">
        <v>46105</v>
      </c>
    </row>
    <row r="3969" spans="1:2" x14ac:dyDescent="0.3">
      <c r="A3969" s="5">
        <v>40879</v>
      </c>
      <c r="B3969" s="10">
        <v>46138</v>
      </c>
    </row>
    <row r="3970" spans="1:2" x14ac:dyDescent="0.3">
      <c r="A3970" s="5">
        <v>40882</v>
      </c>
      <c r="B3970" s="10">
        <v>46087</v>
      </c>
    </row>
    <row r="3971" spans="1:2" x14ac:dyDescent="0.3">
      <c r="A3971" s="5">
        <v>40883</v>
      </c>
      <c r="B3971" s="10">
        <v>46164</v>
      </c>
    </row>
    <row r="3972" spans="1:2" x14ac:dyDescent="0.3">
      <c r="A3972" s="5">
        <v>40884</v>
      </c>
      <c r="B3972" s="10">
        <v>46371</v>
      </c>
    </row>
    <row r="3973" spans="1:2" x14ac:dyDescent="0.3">
      <c r="A3973" s="5">
        <v>40889</v>
      </c>
      <c r="B3973" s="10">
        <v>46443</v>
      </c>
    </row>
    <row r="3974" spans="1:2" x14ac:dyDescent="0.3">
      <c r="A3974" s="5">
        <v>40890</v>
      </c>
      <c r="B3974" s="10">
        <v>46574</v>
      </c>
    </row>
    <row r="3975" spans="1:2" x14ac:dyDescent="0.3">
      <c r="A3975" s="5">
        <v>40891</v>
      </c>
      <c r="B3975" s="10">
        <v>44703</v>
      </c>
    </row>
    <row r="3976" spans="1:2" x14ac:dyDescent="0.3">
      <c r="A3976" s="5">
        <v>40892</v>
      </c>
      <c r="B3976" s="10">
        <v>44809</v>
      </c>
    </row>
    <row r="3977" spans="1:2" x14ac:dyDescent="0.3">
      <c r="A3977" s="5">
        <v>40893</v>
      </c>
      <c r="B3977" s="10">
        <v>45060</v>
      </c>
    </row>
    <row r="3978" spans="1:2" x14ac:dyDescent="0.3">
      <c r="A3978" s="5">
        <v>40896</v>
      </c>
      <c r="B3978" s="10">
        <v>45221</v>
      </c>
    </row>
    <row r="3979" spans="1:2" x14ac:dyDescent="0.3">
      <c r="A3979" s="5">
        <v>40897</v>
      </c>
      <c r="B3979" s="10">
        <v>45412</v>
      </c>
    </row>
    <row r="3980" spans="1:2" x14ac:dyDescent="0.3">
      <c r="A3980" s="5">
        <v>40898</v>
      </c>
      <c r="B3980" s="10">
        <v>45676</v>
      </c>
    </row>
    <row r="3981" spans="1:2" x14ac:dyDescent="0.3">
      <c r="A3981" s="5">
        <v>40899</v>
      </c>
      <c r="B3981" s="10">
        <v>46096</v>
      </c>
    </row>
    <row r="3982" spans="1:2" x14ac:dyDescent="0.3">
      <c r="A3982" s="5">
        <v>40900</v>
      </c>
      <c r="B3982" s="10">
        <v>46274</v>
      </c>
    </row>
    <row r="3983" spans="1:2" x14ac:dyDescent="0.3">
      <c r="A3983" s="5">
        <v>40904</v>
      </c>
      <c r="B3983" s="10">
        <v>46323</v>
      </c>
    </row>
    <row r="3984" spans="1:2" x14ac:dyDescent="0.3">
      <c r="A3984" s="5">
        <v>40905</v>
      </c>
      <c r="B3984" s="10">
        <v>46229</v>
      </c>
    </row>
    <row r="3985" spans="1:2" x14ac:dyDescent="0.3">
      <c r="A3985" s="5">
        <v>40906</v>
      </c>
      <c r="B3985" s="10">
        <v>46319</v>
      </c>
    </row>
    <row r="3986" spans="1:2" x14ac:dyDescent="0.3">
      <c r="A3986" s="5">
        <v>40907</v>
      </c>
      <c r="B3986" s="10">
        <v>46376</v>
      </c>
    </row>
    <row r="3987" spans="1:2" x14ac:dyDescent="0.3">
      <c r="A3987" s="5">
        <v>40911</v>
      </c>
      <c r="B3987" s="10">
        <v>46231</v>
      </c>
    </row>
    <row r="3988" spans="1:2" x14ac:dyDescent="0.3">
      <c r="A3988" s="5">
        <v>40912</v>
      </c>
      <c r="B3988" s="10">
        <v>46446</v>
      </c>
    </row>
    <row r="3989" spans="1:2" x14ac:dyDescent="0.3">
      <c r="A3989" s="5">
        <v>40913</v>
      </c>
      <c r="B3989" s="10">
        <v>46440</v>
      </c>
    </row>
    <row r="3990" spans="1:2" x14ac:dyDescent="0.3">
      <c r="A3990" s="5">
        <v>40914</v>
      </c>
      <c r="B3990" s="10">
        <v>46426</v>
      </c>
    </row>
    <row r="3991" spans="1:2" x14ac:dyDescent="0.3">
      <c r="A3991" s="5">
        <v>40917</v>
      </c>
      <c r="B3991" s="10">
        <v>46222</v>
      </c>
    </row>
    <row r="3992" spans="1:2" x14ac:dyDescent="0.3">
      <c r="A3992" s="5">
        <v>40918</v>
      </c>
      <c r="B3992" s="10">
        <v>46375</v>
      </c>
    </row>
    <row r="3993" spans="1:2" x14ac:dyDescent="0.3">
      <c r="A3993" s="5">
        <v>40919</v>
      </c>
      <c r="B3993" s="10">
        <v>46419</v>
      </c>
    </row>
    <row r="3994" spans="1:2" x14ac:dyDescent="0.3">
      <c r="A3994" s="5">
        <v>40920</v>
      </c>
      <c r="B3994" s="10">
        <v>46517</v>
      </c>
    </row>
    <row r="3995" spans="1:2" x14ac:dyDescent="0.3">
      <c r="A3995" s="5">
        <v>40921</v>
      </c>
      <c r="B3995" s="10">
        <v>46636</v>
      </c>
    </row>
    <row r="3996" spans="1:2" x14ac:dyDescent="0.3">
      <c r="A3996" s="5">
        <v>40924</v>
      </c>
      <c r="B3996" s="10">
        <v>46636</v>
      </c>
    </row>
    <row r="3997" spans="1:2" x14ac:dyDescent="0.3">
      <c r="A3997" s="5">
        <v>40925</v>
      </c>
      <c r="B3997" s="10">
        <v>46682</v>
      </c>
    </row>
    <row r="3998" spans="1:2" x14ac:dyDescent="0.3">
      <c r="A3998" s="5">
        <v>40926</v>
      </c>
      <c r="B3998" s="10">
        <v>46646</v>
      </c>
    </row>
    <row r="3999" spans="1:2" x14ac:dyDescent="0.3">
      <c r="A3999" s="5">
        <v>40927</v>
      </c>
      <c r="B3999" s="10">
        <v>46672</v>
      </c>
    </row>
    <row r="4000" spans="1:2" x14ac:dyDescent="0.3">
      <c r="A4000" s="5">
        <v>40928</v>
      </c>
      <c r="B4000" s="10">
        <v>46678</v>
      </c>
    </row>
    <row r="4001" spans="1:2" x14ac:dyDescent="0.3">
      <c r="A4001" s="5">
        <v>40931</v>
      </c>
      <c r="B4001" s="10">
        <v>46729</v>
      </c>
    </row>
    <row r="4002" spans="1:2" x14ac:dyDescent="0.3">
      <c r="A4002" s="5">
        <v>40932</v>
      </c>
      <c r="B4002" s="10">
        <v>46699</v>
      </c>
    </row>
    <row r="4003" spans="1:2" x14ac:dyDescent="0.3">
      <c r="A4003" s="5">
        <v>40933</v>
      </c>
      <c r="B4003" s="10">
        <v>46680</v>
      </c>
    </row>
    <row r="4004" spans="1:2" x14ac:dyDescent="0.3">
      <c r="A4004" s="5">
        <v>40934</v>
      </c>
      <c r="B4004" s="10">
        <v>46700</v>
      </c>
    </row>
    <row r="4005" spans="1:2" x14ac:dyDescent="0.3">
      <c r="A4005" s="5">
        <v>40935</v>
      </c>
      <c r="B4005" s="10">
        <v>46669</v>
      </c>
    </row>
    <row r="4006" spans="1:2" x14ac:dyDescent="0.3">
      <c r="A4006" s="5">
        <v>40938</v>
      </c>
      <c r="B4006" s="10">
        <v>46609</v>
      </c>
    </row>
    <row r="4007" spans="1:2" x14ac:dyDescent="0.3">
      <c r="A4007" s="5">
        <v>40939</v>
      </c>
      <c r="B4007" s="10">
        <v>46594</v>
      </c>
    </row>
    <row r="4008" spans="1:2" x14ac:dyDescent="0.3">
      <c r="A4008" s="5">
        <v>40940</v>
      </c>
      <c r="B4008" s="10">
        <v>46673</v>
      </c>
    </row>
    <row r="4009" spans="1:2" x14ac:dyDescent="0.3">
      <c r="A4009" s="5">
        <v>40941</v>
      </c>
      <c r="B4009" s="10">
        <v>46685</v>
      </c>
    </row>
    <row r="4010" spans="1:2" x14ac:dyDescent="0.3">
      <c r="A4010" s="5">
        <v>40942</v>
      </c>
      <c r="B4010" s="10">
        <v>46700</v>
      </c>
    </row>
    <row r="4011" spans="1:2" x14ac:dyDescent="0.3">
      <c r="A4011" s="5">
        <v>40945</v>
      </c>
      <c r="B4011" s="10">
        <v>46692</v>
      </c>
    </row>
    <row r="4012" spans="1:2" x14ac:dyDescent="0.3">
      <c r="A4012" s="5">
        <v>40946</v>
      </c>
      <c r="B4012" s="10">
        <v>46722</v>
      </c>
    </row>
    <row r="4013" spans="1:2" x14ac:dyDescent="0.3">
      <c r="A4013" s="5">
        <v>40947</v>
      </c>
      <c r="B4013" s="10">
        <v>46747</v>
      </c>
    </row>
    <row r="4014" spans="1:2" x14ac:dyDescent="0.3">
      <c r="A4014" s="5">
        <v>40948</v>
      </c>
      <c r="B4014" s="10">
        <v>46749</v>
      </c>
    </row>
    <row r="4015" spans="1:2" x14ac:dyDescent="0.3">
      <c r="A4015" s="5">
        <v>40949</v>
      </c>
      <c r="B4015" s="10">
        <v>46818</v>
      </c>
    </row>
    <row r="4016" spans="1:2" x14ac:dyDescent="0.3">
      <c r="A4016" s="5">
        <v>40952</v>
      </c>
      <c r="B4016" s="10">
        <v>46873</v>
      </c>
    </row>
    <row r="4017" spans="1:2" x14ac:dyDescent="0.3">
      <c r="A4017" s="5">
        <v>40953</v>
      </c>
      <c r="B4017" s="10">
        <v>46884</v>
      </c>
    </row>
    <row r="4018" spans="1:2" x14ac:dyDescent="0.3">
      <c r="A4018" s="5">
        <v>40954</v>
      </c>
      <c r="B4018" s="10">
        <v>46829</v>
      </c>
    </row>
    <row r="4019" spans="1:2" x14ac:dyDescent="0.3">
      <c r="A4019" s="5">
        <v>40955</v>
      </c>
      <c r="B4019" s="10">
        <v>46826</v>
      </c>
    </row>
    <row r="4020" spans="1:2" x14ac:dyDescent="0.3">
      <c r="A4020" s="5">
        <v>40956</v>
      </c>
      <c r="B4020" s="10">
        <v>46869</v>
      </c>
    </row>
    <row r="4021" spans="1:2" x14ac:dyDescent="0.3">
      <c r="A4021" s="5">
        <v>40961</v>
      </c>
      <c r="B4021" s="10">
        <v>46885</v>
      </c>
    </row>
    <row r="4022" spans="1:2" x14ac:dyDescent="0.3">
      <c r="A4022" s="5">
        <v>40962</v>
      </c>
      <c r="B4022" s="10">
        <v>46906</v>
      </c>
    </row>
    <row r="4023" spans="1:2" x14ac:dyDescent="0.3">
      <c r="A4023" s="5">
        <v>40963</v>
      </c>
      <c r="B4023" s="10">
        <v>46897</v>
      </c>
    </row>
    <row r="4024" spans="1:2" x14ac:dyDescent="0.3">
      <c r="A4024" s="5">
        <v>40967</v>
      </c>
      <c r="B4024" s="10">
        <v>46899</v>
      </c>
    </row>
    <row r="4025" spans="1:2" x14ac:dyDescent="0.3">
      <c r="A4025" s="5">
        <v>40968</v>
      </c>
      <c r="B4025" s="10">
        <v>46668</v>
      </c>
    </row>
    <row r="4026" spans="1:2" x14ac:dyDescent="0.3">
      <c r="A4026" s="5">
        <v>40969</v>
      </c>
      <c r="B4026" s="10">
        <v>46700</v>
      </c>
    </row>
    <row r="4027" spans="1:2" x14ac:dyDescent="0.3">
      <c r="A4027" s="5">
        <v>40970</v>
      </c>
      <c r="B4027" s="10">
        <v>46781</v>
      </c>
    </row>
    <row r="4028" spans="1:2" x14ac:dyDescent="0.3">
      <c r="A4028" s="5">
        <v>40973</v>
      </c>
      <c r="B4028" s="10">
        <v>46838</v>
      </c>
    </row>
    <row r="4029" spans="1:2" x14ac:dyDescent="0.3">
      <c r="A4029" s="5">
        <v>40974</v>
      </c>
      <c r="B4029" s="10">
        <v>46828</v>
      </c>
    </row>
    <row r="4030" spans="1:2" x14ac:dyDescent="0.3">
      <c r="A4030" s="5">
        <v>40975</v>
      </c>
      <c r="B4030" s="10">
        <v>46894</v>
      </c>
    </row>
    <row r="4031" spans="1:2" x14ac:dyDescent="0.3">
      <c r="A4031" s="5">
        <v>40976</v>
      </c>
      <c r="B4031" s="10">
        <v>47056</v>
      </c>
    </row>
    <row r="4032" spans="1:2" x14ac:dyDescent="0.3">
      <c r="A4032" s="5">
        <v>40977</v>
      </c>
      <c r="B4032" s="10">
        <v>47112</v>
      </c>
    </row>
    <row r="4033" spans="1:2" x14ac:dyDescent="0.3">
      <c r="A4033" s="5">
        <v>40980</v>
      </c>
      <c r="B4033" s="10">
        <v>47178</v>
      </c>
    </row>
    <row r="4034" spans="1:2" x14ac:dyDescent="0.3">
      <c r="A4034" s="5">
        <v>40981</v>
      </c>
      <c r="B4034" s="10">
        <v>47223</v>
      </c>
    </row>
    <row r="4035" spans="1:2" x14ac:dyDescent="0.3">
      <c r="A4035" s="5">
        <v>40982</v>
      </c>
      <c r="B4035" s="10">
        <v>47165</v>
      </c>
    </row>
    <row r="4036" spans="1:2" x14ac:dyDescent="0.3">
      <c r="A4036" s="5">
        <v>40983</v>
      </c>
      <c r="B4036" s="10">
        <v>47149</v>
      </c>
    </row>
    <row r="4037" spans="1:2" x14ac:dyDescent="0.3">
      <c r="A4037" s="5">
        <v>40984</v>
      </c>
      <c r="B4037" s="10">
        <v>47243</v>
      </c>
    </row>
    <row r="4038" spans="1:2" x14ac:dyDescent="0.3">
      <c r="A4038" s="5">
        <v>40987</v>
      </c>
      <c r="B4038" s="10">
        <v>47249</v>
      </c>
    </row>
    <row r="4039" spans="1:2" x14ac:dyDescent="0.3">
      <c r="A4039" s="5">
        <v>40988</v>
      </c>
      <c r="B4039" s="10">
        <v>47286</v>
      </c>
    </row>
    <row r="4040" spans="1:2" x14ac:dyDescent="0.3">
      <c r="A4040" s="5">
        <v>40989</v>
      </c>
      <c r="B4040" s="10">
        <v>47304</v>
      </c>
    </row>
    <row r="4041" spans="1:2" x14ac:dyDescent="0.3">
      <c r="A4041" s="5">
        <v>40990</v>
      </c>
      <c r="B4041" s="10">
        <v>47315</v>
      </c>
    </row>
    <row r="4042" spans="1:2" x14ac:dyDescent="0.3">
      <c r="A4042" s="5">
        <v>40991</v>
      </c>
      <c r="B4042" s="10">
        <v>47371</v>
      </c>
    </row>
    <row r="4043" spans="1:2" x14ac:dyDescent="0.3">
      <c r="A4043" s="5">
        <v>40994</v>
      </c>
      <c r="B4043" s="10">
        <v>47415</v>
      </c>
    </row>
    <row r="4044" spans="1:2" x14ac:dyDescent="0.3">
      <c r="A4044" s="5">
        <v>40995</v>
      </c>
      <c r="B4044" s="10">
        <v>47470</v>
      </c>
    </row>
    <row r="4045" spans="1:2" x14ac:dyDescent="0.3">
      <c r="A4045" s="5">
        <v>40996</v>
      </c>
      <c r="B4045" s="10">
        <v>47512</v>
      </c>
    </row>
    <row r="4046" spans="1:2" x14ac:dyDescent="0.3">
      <c r="A4046" s="5">
        <v>40997</v>
      </c>
      <c r="B4046" s="10">
        <v>47531</v>
      </c>
    </row>
    <row r="4047" spans="1:2" x14ac:dyDescent="0.3">
      <c r="A4047" s="5">
        <v>40998</v>
      </c>
      <c r="B4047" s="10">
        <v>47291</v>
      </c>
    </row>
    <row r="4048" spans="1:2" x14ac:dyDescent="0.3">
      <c r="A4048" s="5">
        <v>41002</v>
      </c>
      <c r="B4048" s="10">
        <v>47241</v>
      </c>
    </row>
    <row r="4049" spans="1:2" x14ac:dyDescent="0.3">
      <c r="A4049" s="5">
        <v>41003</v>
      </c>
      <c r="B4049" s="10">
        <v>47164</v>
      </c>
    </row>
    <row r="4050" spans="1:2" x14ac:dyDescent="0.3">
      <c r="A4050" s="5">
        <v>41008</v>
      </c>
      <c r="B4050" s="10">
        <v>47177</v>
      </c>
    </row>
    <row r="4051" spans="1:2" x14ac:dyDescent="0.3">
      <c r="A4051" s="5">
        <v>41009</v>
      </c>
      <c r="B4051" s="10">
        <v>47279</v>
      </c>
    </row>
    <row r="4052" spans="1:2" x14ac:dyDescent="0.3">
      <c r="A4052" s="5">
        <v>41010</v>
      </c>
      <c r="B4052" s="10">
        <v>47381</v>
      </c>
    </row>
    <row r="4053" spans="1:2" x14ac:dyDescent="0.3">
      <c r="A4053" s="5">
        <v>41011</v>
      </c>
      <c r="B4053" s="10">
        <v>47508</v>
      </c>
    </row>
    <row r="4054" spans="1:2" x14ac:dyDescent="0.3">
      <c r="A4054" s="5">
        <v>41012</v>
      </c>
      <c r="B4054" s="10">
        <v>47598</v>
      </c>
    </row>
    <row r="4055" spans="1:2" x14ac:dyDescent="0.3">
      <c r="A4055" s="5">
        <v>41015</v>
      </c>
      <c r="B4055" s="10">
        <v>47442</v>
      </c>
    </row>
    <row r="4056" spans="1:2" x14ac:dyDescent="0.3">
      <c r="A4056" s="5">
        <v>41016</v>
      </c>
      <c r="B4056" s="10">
        <v>47470</v>
      </c>
    </row>
    <row r="4057" spans="1:2" x14ac:dyDescent="0.3">
      <c r="A4057" s="5">
        <v>41017</v>
      </c>
      <c r="B4057" s="10">
        <v>47437</v>
      </c>
    </row>
    <row r="4058" spans="1:2" x14ac:dyDescent="0.3">
      <c r="A4058" s="5">
        <v>41018</v>
      </c>
      <c r="B4058" s="10">
        <v>47443</v>
      </c>
    </row>
    <row r="4059" spans="1:2" x14ac:dyDescent="0.3">
      <c r="A4059" s="5">
        <v>41019</v>
      </c>
      <c r="B4059" s="10">
        <v>47472</v>
      </c>
    </row>
    <row r="4060" spans="1:2" x14ac:dyDescent="0.3">
      <c r="A4060" s="5">
        <v>41022</v>
      </c>
      <c r="B4060" s="10">
        <v>47518</v>
      </c>
    </row>
    <row r="4061" spans="1:2" x14ac:dyDescent="0.3">
      <c r="A4061" s="5">
        <v>41023</v>
      </c>
      <c r="B4061" s="10">
        <v>47627</v>
      </c>
    </row>
    <row r="4062" spans="1:2" x14ac:dyDescent="0.3">
      <c r="A4062" s="5">
        <v>41024</v>
      </c>
      <c r="B4062" s="10">
        <v>47644</v>
      </c>
    </row>
    <row r="4063" spans="1:2" x14ac:dyDescent="0.3">
      <c r="A4063" s="5">
        <v>41025</v>
      </c>
      <c r="B4063" s="10">
        <v>47715</v>
      </c>
    </row>
    <row r="4064" spans="1:2" x14ac:dyDescent="0.3">
      <c r="A4064" s="5">
        <v>41026</v>
      </c>
      <c r="B4064" s="10">
        <v>47844</v>
      </c>
    </row>
    <row r="4065" spans="1:2" x14ac:dyDescent="0.3">
      <c r="A4065" s="5">
        <v>41031</v>
      </c>
      <c r="B4065" s="10">
        <v>47553</v>
      </c>
    </row>
    <row r="4066" spans="1:2" x14ac:dyDescent="0.3">
      <c r="A4066" s="5">
        <v>41032</v>
      </c>
      <c r="B4066" s="10">
        <v>47492</v>
      </c>
    </row>
    <row r="4067" spans="1:2" x14ac:dyDescent="0.3">
      <c r="A4067" s="5">
        <v>41033</v>
      </c>
      <c r="B4067" s="10">
        <v>47593</v>
      </c>
    </row>
    <row r="4068" spans="1:2" x14ac:dyDescent="0.3">
      <c r="A4068" s="5">
        <v>41036</v>
      </c>
      <c r="B4068" s="10">
        <v>47587</v>
      </c>
    </row>
    <row r="4069" spans="1:2" x14ac:dyDescent="0.3">
      <c r="A4069" s="5">
        <v>41037</v>
      </c>
      <c r="B4069" s="10">
        <v>47458</v>
      </c>
    </row>
    <row r="4070" spans="1:2" x14ac:dyDescent="0.3">
      <c r="A4070" s="5">
        <v>41038</v>
      </c>
      <c r="B4070" s="10">
        <v>47425</v>
      </c>
    </row>
    <row r="4071" spans="1:2" x14ac:dyDescent="0.3">
      <c r="A4071" s="5">
        <v>41039</v>
      </c>
      <c r="B4071" s="10">
        <v>47532</v>
      </c>
    </row>
    <row r="4072" spans="1:2" x14ac:dyDescent="0.3">
      <c r="A4072" s="5">
        <v>41040</v>
      </c>
      <c r="B4072" s="10">
        <v>47643</v>
      </c>
    </row>
    <row r="4073" spans="1:2" x14ac:dyDescent="0.3">
      <c r="A4073" s="5">
        <v>41043</v>
      </c>
      <c r="B4073" s="10">
        <v>47515</v>
      </c>
    </row>
    <row r="4074" spans="1:2" x14ac:dyDescent="0.3">
      <c r="A4074" s="5">
        <v>41044</v>
      </c>
      <c r="B4074" s="10">
        <v>47589</v>
      </c>
    </row>
    <row r="4075" spans="1:2" x14ac:dyDescent="0.3">
      <c r="A4075" s="5">
        <v>41045</v>
      </c>
      <c r="B4075" s="10">
        <v>47648</v>
      </c>
    </row>
    <row r="4076" spans="1:2" x14ac:dyDescent="0.3">
      <c r="A4076" s="5">
        <v>41046</v>
      </c>
      <c r="B4076" s="10">
        <v>47645</v>
      </c>
    </row>
    <row r="4077" spans="1:2" x14ac:dyDescent="0.3">
      <c r="A4077" s="5">
        <v>41047</v>
      </c>
      <c r="B4077" s="10">
        <v>47589</v>
      </c>
    </row>
    <row r="4078" spans="1:2" x14ac:dyDescent="0.3">
      <c r="A4078" s="5">
        <v>41050</v>
      </c>
      <c r="B4078" s="10">
        <v>47484</v>
      </c>
    </row>
    <row r="4079" spans="1:2" x14ac:dyDescent="0.3">
      <c r="A4079" s="5">
        <v>41051</v>
      </c>
      <c r="B4079" s="10">
        <v>47302</v>
      </c>
    </row>
    <row r="4080" spans="1:2" x14ac:dyDescent="0.3">
      <c r="A4080" s="5">
        <v>41052</v>
      </c>
      <c r="B4080" s="10">
        <v>47171</v>
      </c>
    </row>
    <row r="4081" spans="1:2" x14ac:dyDescent="0.3">
      <c r="A4081" s="5">
        <v>41053</v>
      </c>
      <c r="B4081" s="10">
        <v>47154</v>
      </c>
    </row>
    <row r="4082" spans="1:2" x14ac:dyDescent="0.3">
      <c r="A4082" s="5">
        <v>41057</v>
      </c>
      <c r="B4082" s="10">
        <v>47157</v>
      </c>
    </row>
    <row r="4083" spans="1:2" x14ac:dyDescent="0.3">
      <c r="A4083" s="5">
        <v>41058</v>
      </c>
      <c r="B4083" s="10">
        <v>47086</v>
      </c>
    </row>
    <row r="4084" spans="1:2" x14ac:dyDescent="0.3">
      <c r="A4084" s="5">
        <v>41059</v>
      </c>
      <c r="B4084" s="10">
        <v>46952</v>
      </c>
    </row>
    <row r="4085" spans="1:2" x14ac:dyDescent="0.3">
      <c r="A4085" s="5">
        <v>41060</v>
      </c>
      <c r="B4085" s="10">
        <v>46978</v>
      </c>
    </row>
    <row r="4086" spans="1:2" x14ac:dyDescent="0.3">
      <c r="A4086" s="5">
        <v>41061</v>
      </c>
      <c r="B4086" s="10">
        <v>47111</v>
      </c>
    </row>
    <row r="4087" spans="1:2" x14ac:dyDescent="0.3">
      <c r="A4087" s="5">
        <v>41064</v>
      </c>
      <c r="B4087" s="10">
        <v>47037</v>
      </c>
    </row>
    <row r="4088" spans="1:2" x14ac:dyDescent="0.3">
      <c r="A4088" s="5">
        <v>41065</v>
      </c>
      <c r="B4088" s="10">
        <v>46886</v>
      </c>
    </row>
    <row r="4089" spans="1:2" x14ac:dyDescent="0.3">
      <c r="A4089" s="5">
        <v>41066</v>
      </c>
      <c r="B4089" s="10">
        <v>46838</v>
      </c>
    </row>
    <row r="4090" spans="1:2" x14ac:dyDescent="0.3">
      <c r="A4090" s="5">
        <v>41067</v>
      </c>
      <c r="B4090" s="10">
        <v>46733</v>
      </c>
    </row>
    <row r="4091" spans="1:2" x14ac:dyDescent="0.3">
      <c r="A4091" s="5">
        <v>41068</v>
      </c>
      <c r="B4091" s="10">
        <v>46737</v>
      </c>
    </row>
    <row r="4092" spans="1:2" x14ac:dyDescent="0.3">
      <c r="A4092" s="5">
        <v>41071</v>
      </c>
      <c r="B4092" s="10">
        <v>46717</v>
      </c>
    </row>
    <row r="4093" spans="1:2" x14ac:dyDescent="0.3">
      <c r="A4093" s="5">
        <v>41072</v>
      </c>
      <c r="B4093" s="10">
        <v>46687</v>
      </c>
    </row>
    <row r="4094" spans="1:2" x14ac:dyDescent="0.3">
      <c r="A4094" s="5">
        <v>41073</v>
      </c>
      <c r="B4094" s="10">
        <v>46637</v>
      </c>
    </row>
    <row r="4095" spans="1:2" x14ac:dyDescent="0.3">
      <c r="A4095" s="5">
        <v>41074</v>
      </c>
      <c r="B4095" s="10">
        <v>46498</v>
      </c>
    </row>
    <row r="4096" spans="1:2" x14ac:dyDescent="0.3">
      <c r="A4096" s="5">
        <v>41075</v>
      </c>
      <c r="B4096" s="10">
        <v>46504</v>
      </c>
    </row>
    <row r="4097" spans="1:2" x14ac:dyDescent="0.3">
      <c r="A4097" s="5">
        <v>41078</v>
      </c>
      <c r="B4097" s="10">
        <v>46511</v>
      </c>
    </row>
    <row r="4098" spans="1:2" x14ac:dyDescent="0.3">
      <c r="A4098" s="5">
        <v>41079</v>
      </c>
      <c r="B4098" s="10">
        <v>46451</v>
      </c>
    </row>
    <row r="4099" spans="1:2" x14ac:dyDescent="0.3">
      <c r="A4099" s="5">
        <v>41081</v>
      </c>
      <c r="B4099" s="10">
        <v>46308</v>
      </c>
    </row>
    <row r="4100" spans="1:2" x14ac:dyDescent="0.3">
      <c r="A4100" s="5">
        <v>41082</v>
      </c>
      <c r="B4100" s="10">
        <v>46296</v>
      </c>
    </row>
    <row r="4101" spans="1:2" x14ac:dyDescent="0.3">
      <c r="A4101" s="5">
        <v>41085</v>
      </c>
      <c r="B4101" s="10">
        <v>46394</v>
      </c>
    </row>
    <row r="4102" spans="1:2" x14ac:dyDescent="0.3">
      <c r="A4102" s="5">
        <v>41086</v>
      </c>
      <c r="B4102" s="10">
        <v>46393</v>
      </c>
    </row>
    <row r="4103" spans="1:2" x14ac:dyDescent="0.3">
      <c r="A4103" s="5">
        <v>41087</v>
      </c>
      <c r="B4103" s="10">
        <v>46453</v>
      </c>
    </row>
    <row r="4104" spans="1:2" x14ac:dyDescent="0.3">
      <c r="A4104" s="5">
        <v>41088</v>
      </c>
      <c r="B4104" s="10">
        <v>46475</v>
      </c>
    </row>
    <row r="4105" spans="1:2" x14ac:dyDescent="0.3">
      <c r="A4105" s="5">
        <v>41089</v>
      </c>
      <c r="B4105" s="10">
        <v>46348</v>
      </c>
    </row>
    <row r="4106" spans="1:2" x14ac:dyDescent="0.3">
      <c r="A4106" s="5">
        <v>41092</v>
      </c>
      <c r="B4106" s="10">
        <v>46215</v>
      </c>
    </row>
    <row r="4107" spans="1:2" x14ac:dyDescent="0.3">
      <c r="A4107" s="5">
        <v>41093</v>
      </c>
      <c r="B4107" s="10">
        <v>46314</v>
      </c>
    </row>
    <row r="4108" spans="1:2" x14ac:dyDescent="0.3">
      <c r="A4108" s="5">
        <v>41094</v>
      </c>
      <c r="B4108" s="10">
        <v>46293</v>
      </c>
    </row>
    <row r="4109" spans="1:2" x14ac:dyDescent="0.3">
      <c r="A4109" s="5">
        <v>41095</v>
      </c>
      <c r="B4109" s="10">
        <v>46435</v>
      </c>
    </row>
    <row r="4110" spans="1:2" x14ac:dyDescent="0.3">
      <c r="A4110" s="5">
        <v>41096</v>
      </c>
      <c r="B4110" s="10">
        <v>46436</v>
      </c>
    </row>
    <row r="4111" spans="1:2" x14ac:dyDescent="0.3">
      <c r="A4111" s="5">
        <v>41100</v>
      </c>
      <c r="B4111" s="10">
        <v>46520</v>
      </c>
    </row>
    <row r="4112" spans="1:2" x14ac:dyDescent="0.3">
      <c r="A4112" s="5">
        <v>41101</v>
      </c>
      <c r="B4112" s="10">
        <v>46608</v>
      </c>
    </row>
    <row r="4113" spans="1:2" x14ac:dyDescent="0.3">
      <c r="A4113" s="5">
        <v>41102</v>
      </c>
      <c r="B4113" s="10">
        <v>46665</v>
      </c>
    </row>
    <row r="4114" spans="1:2" x14ac:dyDescent="0.3">
      <c r="A4114" s="5">
        <v>41103</v>
      </c>
      <c r="B4114" s="10">
        <v>46747</v>
      </c>
    </row>
    <row r="4115" spans="1:2" x14ac:dyDescent="0.3">
      <c r="A4115" s="5">
        <v>41106</v>
      </c>
      <c r="B4115" s="10">
        <v>46812</v>
      </c>
    </row>
    <row r="4116" spans="1:2" x14ac:dyDescent="0.3">
      <c r="A4116" s="5">
        <v>41107</v>
      </c>
      <c r="B4116" s="10">
        <v>46816</v>
      </c>
    </row>
    <row r="4117" spans="1:2" x14ac:dyDescent="0.3">
      <c r="A4117" s="5">
        <v>41108</v>
      </c>
      <c r="B4117" s="10">
        <v>46811</v>
      </c>
    </row>
    <row r="4118" spans="1:2" x14ac:dyDescent="0.3">
      <c r="A4118" s="5">
        <v>41109</v>
      </c>
      <c r="B4118" s="10">
        <v>46752</v>
      </c>
    </row>
    <row r="4119" spans="1:2" x14ac:dyDescent="0.3">
      <c r="A4119" s="5">
        <v>41110</v>
      </c>
      <c r="B4119" s="10">
        <v>46792</v>
      </c>
    </row>
    <row r="4120" spans="1:2" x14ac:dyDescent="0.3">
      <c r="A4120" s="5">
        <v>41113</v>
      </c>
      <c r="B4120" s="10">
        <v>46779</v>
      </c>
    </row>
    <row r="4121" spans="1:2" x14ac:dyDescent="0.3">
      <c r="A4121" s="5">
        <v>41114</v>
      </c>
      <c r="B4121" s="10">
        <v>46732</v>
      </c>
    </row>
    <row r="4122" spans="1:2" x14ac:dyDescent="0.3">
      <c r="A4122" s="5">
        <v>41115</v>
      </c>
      <c r="B4122" s="10">
        <v>46735</v>
      </c>
    </row>
    <row r="4123" spans="1:2" x14ac:dyDescent="0.3">
      <c r="A4123" s="5">
        <v>41116</v>
      </c>
      <c r="B4123" s="10">
        <v>46809</v>
      </c>
    </row>
    <row r="4124" spans="1:2" x14ac:dyDescent="0.3">
      <c r="A4124" s="5">
        <v>41117</v>
      </c>
      <c r="B4124" s="10">
        <v>46839</v>
      </c>
    </row>
    <row r="4125" spans="1:2" x14ac:dyDescent="0.3">
      <c r="A4125" s="5">
        <v>41120</v>
      </c>
      <c r="B4125" s="10">
        <v>46723</v>
      </c>
    </row>
    <row r="4126" spans="1:2" x14ac:dyDescent="0.3">
      <c r="A4126" s="5">
        <v>41121</v>
      </c>
      <c r="B4126" s="10">
        <v>46818</v>
      </c>
    </row>
    <row r="4127" spans="1:2" x14ac:dyDescent="0.3">
      <c r="A4127" s="5">
        <v>41122</v>
      </c>
      <c r="B4127" s="10">
        <v>46807</v>
      </c>
    </row>
    <row r="4128" spans="1:2" x14ac:dyDescent="0.3">
      <c r="A4128" s="5">
        <v>41123</v>
      </c>
      <c r="B4128" s="10">
        <v>46727</v>
      </c>
    </row>
    <row r="4129" spans="1:2" x14ac:dyDescent="0.3">
      <c r="A4129" s="5">
        <v>41124</v>
      </c>
      <c r="B4129" s="10">
        <v>45009</v>
      </c>
    </row>
    <row r="4130" spans="1:2" x14ac:dyDescent="0.3">
      <c r="A4130" s="5">
        <v>41127</v>
      </c>
      <c r="B4130" s="10">
        <v>45032</v>
      </c>
    </row>
    <row r="4131" spans="1:2" x14ac:dyDescent="0.3">
      <c r="A4131" s="5">
        <v>41128</v>
      </c>
      <c r="B4131" s="10">
        <v>45037</v>
      </c>
    </row>
    <row r="4132" spans="1:2" x14ac:dyDescent="0.3">
      <c r="A4132" s="5">
        <v>41129</v>
      </c>
      <c r="B4132" s="10">
        <v>45054</v>
      </c>
    </row>
    <row r="4133" spans="1:2" x14ac:dyDescent="0.3">
      <c r="A4133" s="5">
        <v>41130</v>
      </c>
      <c r="B4133" s="10">
        <v>45080</v>
      </c>
    </row>
    <row r="4134" spans="1:2" x14ac:dyDescent="0.3">
      <c r="A4134" s="5">
        <v>41131</v>
      </c>
      <c r="B4134" s="10">
        <v>45131</v>
      </c>
    </row>
    <row r="4135" spans="1:2" x14ac:dyDescent="0.3">
      <c r="A4135" s="5">
        <v>41134</v>
      </c>
      <c r="B4135" s="10">
        <v>45133</v>
      </c>
    </row>
    <row r="4136" spans="1:2" x14ac:dyDescent="0.3">
      <c r="A4136" s="5">
        <v>41135</v>
      </c>
      <c r="B4136" s="10">
        <v>45072</v>
      </c>
    </row>
    <row r="4137" spans="1:2" x14ac:dyDescent="0.3">
      <c r="A4137" s="5">
        <v>41136</v>
      </c>
      <c r="B4137" s="10">
        <v>45059</v>
      </c>
    </row>
    <row r="4138" spans="1:2" x14ac:dyDescent="0.3">
      <c r="A4138" s="5">
        <v>41137</v>
      </c>
      <c r="B4138" s="10">
        <v>45099</v>
      </c>
    </row>
    <row r="4139" spans="1:2" x14ac:dyDescent="0.3">
      <c r="A4139" s="5">
        <v>41138</v>
      </c>
      <c r="B4139" s="10">
        <v>45100</v>
      </c>
    </row>
    <row r="4140" spans="1:2" x14ac:dyDescent="0.3">
      <c r="A4140" s="5">
        <v>41142</v>
      </c>
      <c r="B4140" s="10">
        <v>45136</v>
      </c>
    </row>
    <row r="4141" spans="1:2" x14ac:dyDescent="0.3">
      <c r="A4141" s="5">
        <v>41143</v>
      </c>
      <c r="B4141" s="10">
        <v>45118</v>
      </c>
    </row>
    <row r="4142" spans="1:2" x14ac:dyDescent="0.3">
      <c r="A4142" s="5">
        <v>41144</v>
      </c>
      <c r="B4142" s="10">
        <v>45140</v>
      </c>
    </row>
    <row r="4143" spans="1:2" x14ac:dyDescent="0.3">
      <c r="A4143" s="5">
        <v>41145</v>
      </c>
      <c r="B4143" s="10">
        <v>45215</v>
      </c>
    </row>
    <row r="4144" spans="1:2" x14ac:dyDescent="0.3">
      <c r="A4144" s="5">
        <v>41148</v>
      </c>
      <c r="B4144" s="10">
        <v>45212</v>
      </c>
    </row>
    <row r="4145" spans="1:2" x14ac:dyDescent="0.3">
      <c r="A4145" s="5">
        <v>41149</v>
      </c>
      <c r="B4145" s="10">
        <v>45202</v>
      </c>
    </row>
    <row r="4146" spans="1:2" x14ac:dyDescent="0.3">
      <c r="A4146" s="5">
        <v>41150</v>
      </c>
      <c r="B4146" s="10">
        <v>45077</v>
      </c>
    </row>
    <row r="4147" spans="1:2" x14ac:dyDescent="0.3">
      <c r="A4147" s="5">
        <v>41151</v>
      </c>
      <c r="B4147" s="10">
        <v>45054</v>
      </c>
    </row>
    <row r="4148" spans="1:2" x14ac:dyDescent="0.3">
      <c r="A4148" s="5">
        <v>41152</v>
      </c>
      <c r="B4148" s="10">
        <v>45152</v>
      </c>
    </row>
    <row r="4149" spans="1:2" x14ac:dyDescent="0.3">
      <c r="A4149" s="5">
        <v>41155</v>
      </c>
      <c r="B4149" s="10">
        <v>45168</v>
      </c>
    </row>
    <row r="4150" spans="1:2" x14ac:dyDescent="0.3">
      <c r="A4150" s="5">
        <v>41156</v>
      </c>
      <c r="B4150" s="10">
        <v>45152</v>
      </c>
    </row>
    <row r="4151" spans="1:2" x14ac:dyDescent="0.3">
      <c r="A4151" s="5">
        <v>41157</v>
      </c>
      <c r="B4151" s="10">
        <v>45162</v>
      </c>
    </row>
    <row r="4152" spans="1:2" x14ac:dyDescent="0.3">
      <c r="A4152" s="5">
        <v>41158</v>
      </c>
      <c r="B4152" s="10">
        <v>45205</v>
      </c>
    </row>
    <row r="4153" spans="1:2" x14ac:dyDescent="0.3">
      <c r="A4153" s="5">
        <v>41159</v>
      </c>
      <c r="B4153" s="10">
        <v>45264</v>
      </c>
    </row>
    <row r="4154" spans="1:2" x14ac:dyDescent="0.3">
      <c r="A4154" s="5">
        <v>41162</v>
      </c>
      <c r="B4154" s="10">
        <v>45263</v>
      </c>
    </row>
    <row r="4155" spans="1:2" x14ac:dyDescent="0.3">
      <c r="A4155" s="5">
        <v>41163</v>
      </c>
      <c r="B4155" s="10">
        <v>45271</v>
      </c>
    </row>
    <row r="4156" spans="1:2" x14ac:dyDescent="0.3">
      <c r="A4156" s="5">
        <v>41164</v>
      </c>
      <c r="B4156" s="10">
        <v>45274</v>
      </c>
    </row>
    <row r="4157" spans="1:2" x14ac:dyDescent="0.3">
      <c r="A4157" s="5">
        <v>41165</v>
      </c>
      <c r="B4157" s="10">
        <v>45306</v>
      </c>
    </row>
    <row r="4158" spans="1:2" x14ac:dyDescent="0.3">
      <c r="A4158" s="5">
        <v>41166</v>
      </c>
      <c r="B4158" s="10">
        <v>45362</v>
      </c>
    </row>
    <row r="4159" spans="1:2" x14ac:dyDescent="0.3">
      <c r="A4159" s="5">
        <v>41169</v>
      </c>
      <c r="B4159" s="10">
        <v>45253</v>
      </c>
    </row>
    <row r="4160" spans="1:2" x14ac:dyDescent="0.3">
      <c r="A4160" s="5">
        <v>41170</v>
      </c>
      <c r="B4160" s="10">
        <v>45261</v>
      </c>
    </row>
    <row r="4161" spans="1:2" x14ac:dyDescent="0.3">
      <c r="A4161" s="5">
        <v>41171</v>
      </c>
      <c r="B4161" s="10">
        <v>45250</v>
      </c>
    </row>
    <row r="4162" spans="1:2" x14ac:dyDescent="0.3">
      <c r="A4162" s="5">
        <v>41172</v>
      </c>
      <c r="B4162" s="10">
        <v>45239</v>
      </c>
    </row>
    <row r="4163" spans="1:2" x14ac:dyDescent="0.3">
      <c r="A4163" s="5">
        <v>41173</v>
      </c>
      <c r="B4163" s="10">
        <v>45311</v>
      </c>
    </row>
    <row r="4164" spans="1:2" x14ac:dyDescent="0.3">
      <c r="A4164" s="5">
        <v>41177</v>
      </c>
      <c r="B4164" s="10">
        <v>45244</v>
      </c>
    </row>
    <row r="4165" spans="1:2" x14ac:dyDescent="0.3">
      <c r="A4165" s="5">
        <v>41178</v>
      </c>
      <c r="B4165" s="10">
        <v>45161</v>
      </c>
    </row>
    <row r="4166" spans="1:2" x14ac:dyDescent="0.3">
      <c r="A4166" s="5">
        <v>41179</v>
      </c>
      <c r="B4166" s="10">
        <v>45176</v>
      </c>
    </row>
    <row r="4167" spans="1:2" x14ac:dyDescent="0.3">
      <c r="A4167" s="5">
        <v>41180</v>
      </c>
      <c r="B4167" s="10">
        <v>45010</v>
      </c>
    </row>
    <row r="4168" spans="1:2" x14ac:dyDescent="0.3">
      <c r="A4168" s="5">
        <v>41183</v>
      </c>
      <c r="B4168" s="10">
        <v>45089</v>
      </c>
    </row>
    <row r="4169" spans="1:2" x14ac:dyDescent="0.3">
      <c r="A4169" s="5">
        <v>41184</v>
      </c>
      <c r="B4169" s="10">
        <v>45107</v>
      </c>
    </row>
    <row r="4170" spans="1:2" x14ac:dyDescent="0.3">
      <c r="A4170" s="5">
        <v>41185</v>
      </c>
      <c r="B4170" s="10">
        <v>44975</v>
      </c>
    </row>
    <row r="4171" spans="1:2" x14ac:dyDescent="0.3">
      <c r="A4171" s="5">
        <v>41186</v>
      </c>
      <c r="B4171" s="10">
        <v>45020</v>
      </c>
    </row>
    <row r="4172" spans="1:2" x14ac:dyDescent="0.3">
      <c r="A4172" s="5">
        <v>41187</v>
      </c>
      <c r="B4172" s="10">
        <v>45130</v>
      </c>
    </row>
    <row r="4173" spans="1:2" x14ac:dyDescent="0.3">
      <c r="A4173" s="5">
        <v>41191</v>
      </c>
      <c r="B4173" s="10">
        <v>45125</v>
      </c>
    </row>
    <row r="4174" spans="1:2" x14ac:dyDescent="0.3">
      <c r="A4174" s="5">
        <v>41192</v>
      </c>
      <c r="B4174" s="10">
        <v>45142</v>
      </c>
    </row>
    <row r="4175" spans="1:2" x14ac:dyDescent="0.3">
      <c r="A4175" s="5">
        <v>41193</v>
      </c>
      <c r="B4175" s="10">
        <v>45162</v>
      </c>
    </row>
    <row r="4176" spans="1:2" x14ac:dyDescent="0.3">
      <c r="A4176" s="5">
        <v>41194</v>
      </c>
      <c r="B4176" s="10">
        <v>45109</v>
      </c>
    </row>
    <row r="4177" spans="1:2" x14ac:dyDescent="0.3">
      <c r="A4177" s="5">
        <v>41197</v>
      </c>
      <c r="B4177" s="10">
        <v>44979</v>
      </c>
    </row>
    <row r="4178" spans="1:2" x14ac:dyDescent="0.3">
      <c r="A4178" s="5">
        <v>41198</v>
      </c>
      <c r="B4178" s="10">
        <v>44974</v>
      </c>
    </row>
    <row r="4179" spans="1:2" x14ac:dyDescent="0.3">
      <c r="A4179" s="5">
        <v>41199</v>
      </c>
      <c r="B4179" s="10">
        <v>44924</v>
      </c>
    </row>
    <row r="4180" spans="1:2" x14ac:dyDescent="0.3">
      <c r="A4180" s="5">
        <v>41200</v>
      </c>
      <c r="B4180" s="10">
        <v>44922</v>
      </c>
    </row>
    <row r="4181" spans="1:2" x14ac:dyDescent="0.3">
      <c r="A4181" s="5">
        <v>41201</v>
      </c>
      <c r="B4181" s="10">
        <v>44935</v>
      </c>
    </row>
    <row r="4182" spans="1:2" x14ac:dyDescent="0.3">
      <c r="A4182" s="5">
        <v>41204</v>
      </c>
      <c r="B4182" s="10">
        <v>44893</v>
      </c>
    </row>
    <row r="4183" spans="1:2" x14ac:dyDescent="0.3">
      <c r="A4183" s="5">
        <v>41205</v>
      </c>
      <c r="B4183" s="10">
        <v>44854</v>
      </c>
    </row>
    <row r="4184" spans="1:2" x14ac:dyDescent="0.3">
      <c r="A4184" s="5">
        <v>41206</v>
      </c>
      <c r="B4184" s="10">
        <v>44792</v>
      </c>
    </row>
    <row r="4185" spans="1:2" x14ac:dyDescent="0.3">
      <c r="A4185" s="5">
        <v>41207</v>
      </c>
      <c r="B4185" s="10">
        <v>45313</v>
      </c>
    </row>
    <row r="4186" spans="1:2" x14ac:dyDescent="0.3">
      <c r="A4186" s="5">
        <v>41208</v>
      </c>
      <c r="B4186" s="10">
        <v>45253</v>
      </c>
    </row>
    <row r="4187" spans="1:2" x14ac:dyDescent="0.3">
      <c r="A4187" s="5">
        <v>41211</v>
      </c>
      <c r="B4187" s="10">
        <v>45269</v>
      </c>
    </row>
    <row r="4188" spans="1:2" x14ac:dyDescent="0.3">
      <c r="A4188" s="5">
        <v>41212</v>
      </c>
      <c r="B4188" s="10">
        <v>45128</v>
      </c>
    </row>
    <row r="4189" spans="1:2" x14ac:dyDescent="0.3">
      <c r="A4189" s="5">
        <v>41213</v>
      </c>
      <c r="B4189" s="10">
        <v>45274</v>
      </c>
    </row>
    <row r="4190" spans="1:2" x14ac:dyDescent="0.3">
      <c r="A4190" s="5">
        <v>41214</v>
      </c>
      <c r="B4190" s="10">
        <v>45270</v>
      </c>
    </row>
    <row r="4191" spans="1:2" x14ac:dyDescent="0.3">
      <c r="A4191" s="5">
        <v>41215</v>
      </c>
      <c r="B4191" s="10">
        <v>45219</v>
      </c>
    </row>
    <row r="4192" spans="1:2" x14ac:dyDescent="0.3">
      <c r="A4192" s="5">
        <v>41218</v>
      </c>
      <c r="B4192" s="10">
        <v>45273</v>
      </c>
    </row>
    <row r="4193" spans="1:2" x14ac:dyDescent="0.3">
      <c r="A4193" s="5">
        <v>41220</v>
      </c>
      <c r="B4193" s="10">
        <v>45388</v>
      </c>
    </row>
    <row r="4194" spans="1:2" x14ac:dyDescent="0.3">
      <c r="A4194" s="5">
        <v>41221</v>
      </c>
      <c r="B4194" s="10">
        <v>45402</v>
      </c>
    </row>
    <row r="4195" spans="1:2" x14ac:dyDescent="0.3">
      <c r="A4195" s="5">
        <v>41222</v>
      </c>
      <c r="B4195" s="10">
        <v>45444</v>
      </c>
    </row>
    <row r="4196" spans="1:2" x14ac:dyDescent="0.3">
      <c r="A4196" s="5">
        <v>41225</v>
      </c>
      <c r="B4196" s="10">
        <v>45429</v>
      </c>
    </row>
    <row r="4197" spans="1:2" x14ac:dyDescent="0.3">
      <c r="A4197" s="5">
        <v>41226</v>
      </c>
      <c r="B4197" s="10">
        <v>45417</v>
      </c>
    </row>
    <row r="4198" spans="1:2" x14ac:dyDescent="0.3">
      <c r="A4198" s="5">
        <v>41227</v>
      </c>
      <c r="B4198" s="10">
        <v>45438</v>
      </c>
    </row>
    <row r="4199" spans="1:2" x14ac:dyDescent="0.3">
      <c r="A4199" s="5">
        <v>41228</v>
      </c>
      <c r="B4199" s="10">
        <v>45356</v>
      </c>
    </row>
    <row r="4200" spans="1:2" x14ac:dyDescent="0.3">
      <c r="A4200" s="5">
        <v>41229</v>
      </c>
      <c r="B4200" s="10">
        <v>45364</v>
      </c>
    </row>
    <row r="4201" spans="1:2" x14ac:dyDescent="0.3">
      <c r="A4201" s="5">
        <v>41232</v>
      </c>
      <c r="B4201" s="10">
        <v>45344</v>
      </c>
    </row>
    <row r="4202" spans="1:2" x14ac:dyDescent="0.3">
      <c r="A4202" s="5">
        <v>41233</v>
      </c>
      <c r="B4202" s="10">
        <v>45292</v>
      </c>
    </row>
    <row r="4203" spans="1:2" x14ac:dyDescent="0.3">
      <c r="A4203" s="5">
        <v>41234</v>
      </c>
      <c r="B4203" s="10">
        <v>45295</v>
      </c>
    </row>
    <row r="4204" spans="1:2" x14ac:dyDescent="0.3">
      <c r="A4204" s="5">
        <v>41235</v>
      </c>
      <c r="B4204" s="10">
        <v>45286</v>
      </c>
    </row>
    <row r="4205" spans="1:2" x14ac:dyDescent="0.3">
      <c r="A4205" s="5">
        <v>41236</v>
      </c>
      <c r="B4205" s="10">
        <v>45285</v>
      </c>
    </row>
    <row r="4206" spans="1:2" x14ac:dyDescent="0.3">
      <c r="A4206" s="5">
        <v>41240</v>
      </c>
      <c r="B4206" s="10">
        <v>45267</v>
      </c>
    </row>
    <row r="4207" spans="1:2" x14ac:dyDescent="0.3">
      <c r="A4207" s="5">
        <v>41241</v>
      </c>
      <c r="B4207" s="10">
        <v>45169</v>
      </c>
    </row>
    <row r="4208" spans="1:2" x14ac:dyDescent="0.3">
      <c r="A4208" s="5">
        <v>41242</v>
      </c>
      <c r="B4208" s="10">
        <v>45122</v>
      </c>
    </row>
    <row r="4209" spans="1:2" x14ac:dyDescent="0.3">
      <c r="A4209" s="5">
        <v>41243</v>
      </c>
      <c r="B4209" s="10">
        <v>45238</v>
      </c>
    </row>
    <row r="4210" spans="1:2" x14ac:dyDescent="0.3">
      <c r="A4210" s="5">
        <v>41246</v>
      </c>
      <c r="B4210" s="10">
        <v>45293</v>
      </c>
    </row>
    <row r="4211" spans="1:2" x14ac:dyDescent="0.3">
      <c r="A4211" s="5">
        <v>41247</v>
      </c>
      <c r="B4211" s="10">
        <v>45315</v>
      </c>
    </row>
    <row r="4212" spans="1:2" x14ac:dyDescent="0.3">
      <c r="A4212" s="5">
        <v>41248</v>
      </c>
      <c r="B4212" s="10">
        <v>45289</v>
      </c>
    </row>
    <row r="4213" spans="1:2" x14ac:dyDescent="0.3">
      <c r="A4213" s="5">
        <v>41249</v>
      </c>
      <c r="B4213" s="10">
        <v>45291</v>
      </c>
    </row>
    <row r="4214" spans="1:2" x14ac:dyDescent="0.3">
      <c r="A4214" s="5">
        <v>41250</v>
      </c>
      <c r="B4214" s="10">
        <v>45397</v>
      </c>
    </row>
    <row r="4215" spans="1:2" x14ac:dyDescent="0.3">
      <c r="A4215" s="5">
        <v>41253</v>
      </c>
      <c r="B4215" s="10">
        <v>45491</v>
      </c>
    </row>
    <row r="4216" spans="1:2" x14ac:dyDescent="0.3">
      <c r="A4216" s="5">
        <v>41254</v>
      </c>
      <c r="B4216" s="10">
        <v>45617</v>
      </c>
    </row>
    <row r="4217" spans="1:2" x14ac:dyDescent="0.3">
      <c r="A4217" s="5">
        <v>41255</v>
      </c>
      <c r="B4217" s="10">
        <v>45678</v>
      </c>
    </row>
    <row r="4218" spans="1:2" x14ac:dyDescent="0.3">
      <c r="A4218" s="5">
        <v>41256</v>
      </c>
      <c r="B4218" s="10">
        <v>45684</v>
      </c>
    </row>
    <row r="4219" spans="1:2" x14ac:dyDescent="0.3">
      <c r="A4219" s="5">
        <v>41257</v>
      </c>
      <c r="B4219" s="10">
        <v>43070</v>
      </c>
    </row>
    <row r="4220" spans="1:2" x14ac:dyDescent="0.3">
      <c r="A4220" s="5">
        <v>41260</v>
      </c>
      <c r="B4220" s="10">
        <v>43043</v>
      </c>
    </row>
    <row r="4221" spans="1:2" x14ac:dyDescent="0.3">
      <c r="A4221" s="5">
        <v>41261</v>
      </c>
      <c r="B4221" s="10">
        <v>43110</v>
      </c>
    </row>
    <row r="4222" spans="1:2" x14ac:dyDescent="0.3">
      <c r="A4222" s="5">
        <v>41262</v>
      </c>
      <c r="B4222" s="10">
        <v>43131</v>
      </c>
    </row>
    <row r="4223" spans="1:2" x14ac:dyDescent="0.3">
      <c r="A4223" s="5">
        <v>41263</v>
      </c>
      <c r="B4223" s="10">
        <v>43162</v>
      </c>
    </row>
    <row r="4224" spans="1:2" x14ac:dyDescent="0.3">
      <c r="A4224" s="5">
        <v>41264</v>
      </c>
      <c r="B4224" s="10">
        <v>43292</v>
      </c>
    </row>
    <row r="4225" spans="1:2" x14ac:dyDescent="0.3">
      <c r="A4225" s="5">
        <v>41269</v>
      </c>
      <c r="B4225" s="10">
        <v>43390</v>
      </c>
    </row>
    <row r="4226" spans="1:2" x14ac:dyDescent="0.3">
      <c r="A4226" s="5">
        <v>41270</v>
      </c>
      <c r="B4226" s="10">
        <v>43451</v>
      </c>
    </row>
    <row r="4227" spans="1:2" x14ac:dyDescent="0.3">
      <c r="A4227" s="5">
        <v>41271</v>
      </c>
      <c r="B4227" s="10">
        <v>43194</v>
      </c>
    </row>
    <row r="4228" spans="1:2" x14ac:dyDescent="0.3">
      <c r="A4228" s="5">
        <v>41274</v>
      </c>
      <c r="B4228" s="10">
        <v>43290</v>
      </c>
    </row>
    <row r="4229" spans="1:2" x14ac:dyDescent="0.3">
      <c r="A4229" s="5">
        <v>41276</v>
      </c>
      <c r="B4229" s="10">
        <v>43232</v>
      </c>
    </row>
    <row r="4230" spans="1:2" x14ac:dyDescent="0.3">
      <c r="A4230" s="5">
        <v>41277</v>
      </c>
      <c r="B4230" s="10">
        <v>43196</v>
      </c>
    </row>
    <row r="4231" spans="1:2" x14ac:dyDescent="0.3">
      <c r="A4231" s="5">
        <v>41278</v>
      </c>
      <c r="B4231" s="10">
        <v>43047</v>
      </c>
    </row>
    <row r="4232" spans="1:2" x14ac:dyDescent="0.3">
      <c r="A4232" s="5">
        <v>41281</v>
      </c>
      <c r="B4232" s="10">
        <v>43046</v>
      </c>
    </row>
    <row r="4233" spans="1:2" x14ac:dyDescent="0.3">
      <c r="A4233" s="5">
        <v>41282</v>
      </c>
      <c r="B4233" s="10">
        <v>42971</v>
      </c>
    </row>
    <row r="4234" spans="1:2" x14ac:dyDescent="0.3">
      <c r="A4234" s="5">
        <v>41283</v>
      </c>
      <c r="B4234" s="10">
        <v>42950</v>
      </c>
    </row>
    <row r="4235" spans="1:2" x14ac:dyDescent="0.3">
      <c r="A4235" s="5">
        <v>41284</v>
      </c>
      <c r="B4235" s="10">
        <v>43004</v>
      </c>
    </row>
    <row r="4236" spans="1:2" x14ac:dyDescent="0.3">
      <c r="A4236" s="5">
        <v>41285</v>
      </c>
      <c r="B4236" s="10">
        <v>42980</v>
      </c>
    </row>
    <row r="4237" spans="1:2" x14ac:dyDescent="0.3">
      <c r="A4237" s="5">
        <v>41288</v>
      </c>
      <c r="B4237" s="10">
        <v>43009</v>
      </c>
    </row>
    <row r="4238" spans="1:2" x14ac:dyDescent="0.3">
      <c r="A4238" s="5">
        <v>41289</v>
      </c>
      <c r="B4238" s="10">
        <v>43004</v>
      </c>
    </row>
    <row r="4239" spans="1:2" x14ac:dyDescent="0.3">
      <c r="A4239" s="5">
        <v>41290</v>
      </c>
      <c r="B4239" s="10">
        <v>43032</v>
      </c>
    </row>
    <row r="4240" spans="1:2" x14ac:dyDescent="0.3">
      <c r="A4240" s="5">
        <v>41291</v>
      </c>
      <c r="B4240" s="10">
        <v>43084</v>
      </c>
    </row>
    <row r="4241" spans="1:2" x14ac:dyDescent="0.3">
      <c r="A4241" s="5">
        <v>41292</v>
      </c>
      <c r="B4241" s="10">
        <v>43058</v>
      </c>
    </row>
    <row r="4242" spans="1:2" x14ac:dyDescent="0.3">
      <c r="A4242" s="5">
        <v>41295</v>
      </c>
      <c r="B4242" s="10">
        <v>43055</v>
      </c>
    </row>
    <row r="4243" spans="1:2" x14ac:dyDescent="0.3">
      <c r="A4243" s="5">
        <v>41296</v>
      </c>
      <c r="B4243" s="10">
        <v>43015</v>
      </c>
    </row>
    <row r="4244" spans="1:2" x14ac:dyDescent="0.3">
      <c r="A4244" s="5">
        <v>41297</v>
      </c>
      <c r="B4244" s="10">
        <v>42940</v>
      </c>
    </row>
    <row r="4245" spans="1:2" x14ac:dyDescent="0.3">
      <c r="A4245" s="5">
        <v>41298</v>
      </c>
      <c r="B4245" s="10">
        <v>42832</v>
      </c>
    </row>
    <row r="4246" spans="1:2" x14ac:dyDescent="0.3">
      <c r="A4246" s="5">
        <v>41299</v>
      </c>
      <c r="B4246" s="10">
        <v>42766</v>
      </c>
    </row>
    <row r="4247" spans="1:2" x14ac:dyDescent="0.3">
      <c r="A4247" s="5">
        <v>41302</v>
      </c>
      <c r="B4247" s="10">
        <v>42707</v>
      </c>
    </row>
    <row r="4248" spans="1:2" x14ac:dyDescent="0.3">
      <c r="A4248" s="5">
        <v>41303</v>
      </c>
      <c r="B4248" s="10">
        <v>42590</v>
      </c>
    </row>
    <row r="4249" spans="1:2" x14ac:dyDescent="0.3">
      <c r="A4249" s="5">
        <v>41304</v>
      </c>
      <c r="B4249" s="10">
        <v>42531</v>
      </c>
    </row>
    <row r="4250" spans="1:2" x14ac:dyDescent="0.3">
      <c r="A4250" s="5">
        <v>41306</v>
      </c>
      <c r="B4250" s="10">
        <v>42648</v>
      </c>
    </row>
    <row r="4251" spans="1:2" x14ac:dyDescent="0.3">
      <c r="A4251" s="5">
        <v>41309</v>
      </c>
      <c r="B4251" s="10">
        <v>42657</v>
      </c>
    </row>
    <row r="4252" spans="1:2" x14ac:dyDescent="0.3">
      <c r="A4252" s="5">
        <v>41310</v>
      </c>
      <c r="B4252" s="10">
        <v>42673</v>
      </c>
    </row>
    <row r="4253" spans="1:2" x14ac:dyDescent="0.3">
      <c r="A4253" s="5">
        <v>41311</v>
      </c>
      <c r="B4253" s="10">
        <v>42568</v>
      </c>
    </row>
    <row r="4254" spans="1:2" x14ac:dyDescent="0.3">
      <c r="A4254" s="5">
        <v>41312</v>
      </c>
      <c r="B4254" s="10">
        <v>42405</v>
      </c>
    </row>
    <row r="4255" spans="1:2" x14ac:dyDescent="0.3">
      <c r="A4255" s="5">
        <v>41313</v>
      </c>
      <c r="B4255" s="10">
        <v>42301</v>
      </c>
    </row>
    <row r="4256" spans="1:2" x14ac:dyDescent="0.3">
      <c r="A4256" s="5">
        <v>41318</v>
      </c>
      <c r="B4256" s="10">
        <v>42295</v>
      </c>
    </row>
    <row r="4257" spans="1:2" x14ac:dyDescent="0.3">
      <c r="A4257" s="5">
        <v>41319</v>
      </c>
      <c r="B4257" s="10">
        <v>42195</v>
      </c>
    </row>
    <row r="4258" spans="1:2" x14ac:dyDescent="0.3">
      <c r="A4258" s="5">
        <v>41320</v>
      </c>
      <c r="B4258" s="10">
        <v>42171</v>
      </c>
    </row>
    <row r="4259" spans="1:2" x14ac:dyDescent="0.3">
      <c r="A4259" s="5">
        <v>41323</v>
      </c>
      <c r="B4259" s="10">
        <v>42175</v>
      </c>
    </row>
    <row r="4260" spans="1:2" x14ac:dyDescent="0.3">
      <c r="A4260" s="5">
        <v>41324</v>
      </c>
      <c r="B4260" s="10">
        <v>42017</v>
      </c>
    </row>
    <row r="4261" spans="1:2" x14ac:dyDescent="0.3">
      <c r="A4261" s="5">
        <v>41326</v>
      </c>
      <c r="B4261" s="10">
        <v>41877</v>
      </c>
    </row>
    <row r="4262" spans="1:2" x14ac:dyDescent="0.3">
      <c r="A4262" s="5">
        <v>41327</v>
      </c>
      <c r="B4262" s="10">
        <v>41803</v>
      </c>
    </row>
    <row r="4263" spans="1:2" x14ac:dyDescent="0.3">
      <c r="A4263" s="5">
        <v>41330</v>
      </c>
      <c r="B4263" s="10">
        <v>41844</v>
      </c>
    </row>
    <row r="4264" spans="1:2" x14ac:dyDescent="0.3">
      <c r="A4264" s="5">
        <v>41331</v>
      </c>
      <c r="B4264" s="10">
        <v>41821</v>
      </c>
    </row>
    <row r="4265" spans="1:2" x14ac:dyDescent="0.3">
      <c r="A4265" s="5">
        <v>41332</v>
      </c>
      <c r="B4265" s="10">
        <v>41540</v>
      </c>
    </row>
    <row r="4266" spans="1:2" x14ac:dyDescent="0.3">
      <c r="A4266" s="5">
        <v>41333</v>
      </c>
      <c r="B4266" s="10">
        <v>41609</v>
      </c>
    </row>
    <row r="4267" spans="1:2" x14ac:dyDescent="0.3">
      <c r="A4267" s="5">
        <v>41334</v>
      </c>
      <c r="B4267" s="10">
        <v>41576</v>
      </c>
    </row>
    <row r="4268" spans="1:2" x14ac:dyDescent="0.3">
      <c r="A4268" s="5">
        <v>41337</v>
      </c>
      <c r="B4268" s="10">
        <v>41518</v>
      </c>
    </row>
    <row r="4269" spans="1:2" x14ac:dyDescent="0.3">
      <c r="A4269" s="5">
        <v>41338</v>
      </c>
      <c r="B4269" s="10">
        <v>41502</v>
      </c>
    </row>
    <row r="4270" spans="1:2" x14ac:dyDescent="0.3">
      <c r="A4270" s="5">
        <v>41339</v>
      </c>
      <c r="B4270" s="10">
        <v>41492</v>
      </c>
    </row>
    <row r="4271" spans="1:2" x14ac:dyDescent="0.3">
      <c r="A4271" s="5">
        <v>41340</v>
      </c>
      <c r="B4271" s="10">
        <v>41456</v>
      </c>
    </row>
    <row r="4272" spans="1:2" x14ac:dyDescent="0.3">
      <c r="A4272" s="5">
        <v>41341</v>
      </c>
      <c r="B4272" s="10">
        <v>41528</v>
      </c>
    </row>
    <row r="4273" spans="1:2" x14ac:dyDescent="0.3">
      <c r="A4273" s="5">
        <v>41344</v>
      </c>
      <c r="B4273" s="10">
        <v>41497</v>
      </c>
    </row>
    <row r="4274" spans="1:2" x14ac:dyDescent="0.3">
      <c r="A4274" s="5">
        <v>41345</v>
      </c>
      <c r="B4274" s="10">
        <v>41406</v>
      </c>
    </row>
    <row r="4275" spans="1:2" x14ac:dyDescent="0.3">
      <c r="A4275" s="5">
        <v>41346</v>
      </c>
      <c r="B4275" s="10">
        <v>41377</v>
      </c>
    </row>
    <row r="4276" spans="1:2" x14ac:dyDescent="0.3">
      <c r="A4276" s="5">
        <v>41347</v>
      </c>
      <c r="B4276" s="10">
        <v>41399</v>
      </c>
    </row>
    <row r="4277" spans="1:2" x14ac:dyDescent="0.3">
      <c r="A4277" s="5">
        <v>41348</v>
      </c>
      <c r="B4277" s="10">
        <v>41242</v>
      </c>
    </row>
    <row r="4278" spans="1:2" x14ac:dyDescent="0.3">
      <c r="A4278" s="5">
        <v>41351</v>
      </c>
      <c r="B4278" s="10">
        <v>41205</v>
      </c>
    </row>
    <row r="4279" spans="1:2" x14ac:dyDescent="0.3">
      <c r="A4279" s="5">
        <v>41352</v>
      </c>
      <c r="B4279" s="10">
        <v>41085</v>
      </c>
    </row>
    <row r="4280" spans="1:2" x14ac:dyDescent="0.3">
      <c r="A4280" s="5">
        <v>41353</v>
      </c>
      <c r="B4280" s="10">
        <v>40988</v>
      </c>
    </row>
    <row r="4281" spans="1:2" x14ac:dyDescent="0.3">
      <c r="A4281" s="5">
        <v>41354</v>
      </c>
      <c r="B4281" s="10">
        <v>41038</v>
      </c>
    </row>
    <row r="4282" spans="1:2" x14ac:dyDescent="0.3">
      <c r="A4282" s="5">
        <v>41355</v>
      </c>
      <c r="B4282" s="10">
        <v>40945</v>
      </c>
    </row>
    <row r="4283" spans="1:2" x14ac:dyDescent="0.3">
      <c r="A4283" s="5">
        <v>41358</v>
      </c>
      <c r="B4283" s="10">
        <v>40867</v>
      </c>
    </row>
    <row r="4284" spans="1:2" x14ac:dyDescent="0.3">
      <c r="A4284" s="5">
        <v>41359</v>
      </c>
      <c r="B4284" s="10">
        <v>40807</v>
      </c>
    </row>
    <row r="4285" spans="1:2" x14ac:dyDescent="0.3">
      <c r="A4285" s="5">
        <v>41360</v>
      </c>
      <c r="B4285" s="10">
        <v>40446</v>
      </c>
    </row>
    <row r="4286" spans="1:2" x14ac:dyDescent="0.3">
      <c r="A4286" s="5">
        <v>41367</v>
      </c>
      <c r="B4286" s="10">
        <v>40413</v>
      </c>
    </row>
    <row r="4287" spans="1:2" x14ac:dyDescent="0.3">
      <c r="A4287" s="5">
        <v>41368</v>
      </c>
      <c r="B4287" s="10">
        <v>40384</v>
      </c>
    </row>
    <row r="4288" spans="1:2" x14ac:dyDescent="0.3">
      <c r="A4288" s="5">
        <v>41369</v>
      </c>
      <c r="B4288" s="10">
        <v>40451</v>
      </c>
    </row>
    <row r="4289" spans="1:2" x14ac:dyDescent="0.3">
      <c r="A4289" s="5">
        <v>41372</v>
      </c>
      <c r="B4289" s="10">
        <v>40413</v>
      </c>
    </row>
    <row r="4290" spans="1:2" x14ac:dyDescent="0.3">
      <c r="A4290" s="5">
        <v>41373</v>
      </c>
      <c r="B4290" s="10">
        <v>40450</v>
      </c>
    </row>
    <row r="4291" spans="1:2" x14ac:dyDescent="0.3">
      <c r="A4291" s="5">
        <v>41374</v>
      </c>
      <c r="B4291" s="10">
        <v>40425</v>
      </c>
    </row>
    <row r="4292" spans="1:2" x14ac:dyDescent="0.3">
      <c r="A4292" s="5">
        <v>41375</v>
      </c>
      <c r="B4292" s="10">
        <v>40448</v>
      </c>
    </row>
    <row r="4293" spans="1:2" x14ac:dyDescent="0.3">
      <c r="A4293" s="5">
        <v>41376</v>
      </c>
      <c r="B4293" s="10">
        <v>40326</v>
      </c>
    </row>
    <row r="4294" spans="1:2" x14ac:dyDescent="0.3">
      <c r="A4294" s="5">
        <v>41379</v>
      </c>
      <c r="B4294" s="10">
        <v>39998</v>
      </c>
    </row>
    <row r="4295" spans="1:2" x14ac:dyDescent="0.3">
      <c r="A4295" s="5">
        <v>41380</v>
      </c>
      <c r="B4295" s="10">
        <v>40064</v>
      </c>
    </row>
    <row r="4296" spans="1:2" x14ac:dyDescent="0.3">
      <c r="A4296" s="5">
        <v>41381</v>
      </c>
      <c r="B4296" s="10">
        <v>39816</v>
      </c>
    </row>
    <row r="4297" spans="1:2" x14ac:dyDescent="0.3">
      <c r="A4297" s="5">
        <v>41382</v>
      </c>
      <c r="B4297" s="10">
        <v>39793</v>
      </c>
    </row>
    <row r="4298" spans="1:2" x14ac:dyDescent="0.3">
      <c r="A4298" s="5">
        <v>41383</v>
      </c>
      <c r="B4298" s="10">
        <v>39801</v>
      </c>
    </row>
    <row r="4299" spans="1:2" x14ac:dyDescent="0.3">
      <c r="A4299" s="5">
        <v>41386</v>
      </c>
      <c r="B4299" s="10">
        <v>39790</v>
      </c>
    </row>
    <row r="4300" spans="1:2" x14ac:dyDescent="0.3">
      <c r="A4300" s="5">
        <v>41387</v>
      </c>
      <c r="B4300" s="10">
        <v>39725</v>
      </c>
    </row>
    <row r="4301" spans="1:2" x14ac:dyDescent="0.3">
      <c r="A4301" s="5">
        <v>41388</v>
      </c>
      <c r="B4301" s="10">
        <v>39710</v>
      </c>
    </row>
    <row r="4302" spans="1:2" x14ac:dyDescent="0.3">
      <c r="A4302" s="5">
        <v>41389</v>
      </c>
      <c r="B4302" s="10">
        <v>39778</v>
      </c>
    </row>
    <row r="4303" spans="1:2" x14ac:dyDescent="0.3">
      <c r="A4303" s="5">
        <v>41390</v>
      </c>
      <c r="B4303" s="10">
        <v>39750</v>
      </c>
    </row>
    <row r="4304" spans="1:2" x14ac:dyDescent="0.3">
      <c r="A4304" s="5">
        <v>41393</v>
      </c>
      <c r="B4304" s="10">
        <v>39642</v>
      </c>
    </row>
    <row r="4305" spans="1:2" x14ac:dyDescent="0.3">
      <c r="A4305" s="5">
        <v>41394</v>
      </c>
      <c r="B4305" s="10">
        <v>39532</v>
      </c>
    </row>
    <row r="4306" spans="1:2" x14ac:dyDescent="0.3">
      <c r="A4306" s="5">
        <v>41396</v>
      </c>
      <c r="B4306" s="10">
        <v>39559</v>
      </c>
    </row>
    <row r="4307" spans="1:2" x14ac:dyDescent="0.3">
      <c r="A4307" s="5">
        <v>41397</v>
      </c>
      <c r="B4307" s="10">
        <v>39440</v>
      </c>
    </row>
    <row r="4308" spans="1:2" x14ac:dyDescent="0.3">
      <c r="A4308" s="5">
        <v>41400</v>
      </c>
      <c r="B4308" s="10">
        <v>39443</v>
      </c>
    </row>
    <row r="4309" spans="1:2" x14ac:dyDescent="0.3">
      <c r="A4309" s="5">
        <v>41401</v>
      </c>
      <c r="B4309" s="10">
        <v>39361</v>
      </c>
    </row>
    <row r="4310" spans="1:2" x14ac:dyDescent="0.3">
      <c r="A4310" s="5">
        <v>41402</v>
      </c>
      <c r="B4310" s="10">
        <v>39280</v>
      </c>
    </row>
    <row r="4311" spans="1:2" x14ac:dyDescent="0.3">
      <c r="A4311" s="5">
        <v>41403</v>
      </c>
      <c r="B4311" s="10">
        <v>39220</v>
      </c>
    </row>
    <row r="4312" spans="1:2" x14ac:dyDescent="0.3">
      <c r="A4312" s="5">
        <v>41404</v>
      </c>
      <c r="B4312" s="10">
        <v>39152</v>
      </c>
    </row>
    <row r="4313" spans="1:2" x14ac:dyDescent="0.3">
      <c r="A4313" s="5">
        <v>41407</v>
      </c>
      <c r="B4313" s="10">
        <v>39122</v>
      </c>
    </row>
    <row r="4314" spans="1:2" x14ac:dyDescent="0.3">
      <c r="A4314" s="5">
        <v>41408</v>
      </c>
      <c r="B4314" s="10">
        <v>39072</v>
      </c>
    </row>
    <row r="4315" spans="1:2" x14ac:dyDescent="0.3">
      <c r="A4315" s="5">
        <v>41409</v>
      </c>
      <c r="B4315" s="10">
        <v>38952</v>
      </c>
    </row>
    <row r="4316" spans="1:2" x14ac:dyDescent="0.3">
      <c r="A4316" s="5">
        <v>41410</v>
      </c>
      <c r="B4316" s="10">
        <v>38868</v>
      </c>
    </row>
    <row r="4317" spans="1:2" x14ac:dyDescent="0.3">
      <c r="A4317" s="5">
        <v>41411</v>
      </c>
      <c r="B4317" s="10">
        <v>38819</v>
      </c>
    </row>
    <row r="4318" spans="1:2" x14ac:dyDescent="0.3">
      <c r="A4318" s="5">
        <v>41414</v>
      </c>
      <c r="B4318" s="10">
        <v>38840</v>
      </c>
    </row>
    <row r="4319" spans="1:2" x14ac:dyDescent="0.3">
      <c r="A4319" s="5">
        <v>41415</v>
      </c>
      <c r="B4319" s="10">
        <v>38802</v>
      </c>
    </row>
    <row r="4320" spans="1:2" x14ac:dyDescent="0.3">
      <c r="A4320" s="5">
        <v>41416</v>
      </c>
      <c r="B4320" s="10">
        <v>38768</v>
      </c>
    </row>
    <row r="4321" spans="1:2" x14ac:dyDescent="0.3">
      <c r="A4321" s="5">
        <v>41417</v>
      </c>
      <c r="B4321" s="10">
        <v>38748</v>
      </c>
    </row>
    <row r="4322" spans="1:2" x14ac:dyDescent="0.3">
      <c r="A4322" s="5">
        <v>41418</v>
      </c>
      <c r="B4322" s="10">
        <v>38814</v>
      </c>
    </row>
    <row r="4323" spans="1:2" x14ac:dyDescent="0.3">
      <c r="A4323" s="5">
        <v>41421</v>
      </c>
      <c r="B4323" s="10">
        <v>38821</v>
      </c>
    </row>
    <row r="4324" spans="1:2" x14ac:dyDescent="0.3">
      <c r="A4324" s="5">
        <v>41422</v>
      </c>
      <c r="B4324" s="10">
        <v>38674</v>
      </c>
    </row>
    <row r="4325" spans="1:2" x14ac:dyDescent="0.3">
      <c r="A4325" s="5">
        <v>41423</v>
      </c>
      <c r="B4325" s="10">
        <v>38540</v>
      </c>
    </row>
    <row r="4326" spans="1:2" x14ac:dyDescent="0.3">
      <c r="A4326" s="5">
        <v>41424</v>
      </c>
      <c r="B4326" s="10">
        <v>38649</v>
      </c>
    </row>
    <row r="4327" spans="1:2" x14ac:dyDescent="0.3">
      <c r="A4327" s="5">
        <v>41425</v>
      </c>
      <c r="B4327" s="10">
        <v>38551</v>
      </c>
    </row>
    <row r="4328" spans="1:2" x14ac:dyDescent="0.3">
      <c r="A4328" s="5">
        <v>41428</v>
      </c>
      <c r="B4328" s="10">
        <v>38616</v>
      </c>
    </row>
    <row r="4329" spans="1:2" x14ac:dyDescent="0.3">
      <c r="A4329" s="5">
        <v>41429</v>
      </c>
      <c r="B4329" s="10">
        <v>38520</v>
      </c>
    </row>
    <row r="4330" spans="1:2" x14ac:dyDescent="0.3">
      <c r="A4330" s="5">
        <v>41430</v>
      </c>
      <c r="B4330" s="10">
        <v>38514</v>
      </c>
    </row>
    <row r="4331" spans="1:2" x14ac:dyDescent="0.3">
      <c r="A4331" s="5">
        <v>41431</v>
      </c>
      <c r="B4331" s="10">
        <v>38520</v>
      </c>
    </row>
    <row r="4332" spans="1:2" x14ac:dyDescent="0.3">
      <c r="A4332" s="5">
        <v>41432</v>
      </c>
      <c r="B4332" s="10">
        <v>38598</v>
      </c>
    </row>
    <row r="4333" spans="1:2" x14ac:dyDescent="0.3">
      <c r="A4333" s="5">
        <v>41435</v>
      </c>
      <c r="B4333" s="10">
        <v>38641</v>
      </c>
    </row>
    <row r="4334" spans="1:2" x14ac:dyDescent="0.3">
      <c r="A4334" s="5">
        <v>41436</v>
      </c>
      <c r="B4334" s="10">
        <v>38599</v>
      </c>
    </row>
    <row r="4335" spans="1:2" x14ac:dyDescent="0.3">
      <c r="A4335" s="5">
        <v>41437</v>
      </c>
      <c r="B4335" s="10">
        <v>38610</v>
      </c>
    </row>
    <row r="4336" spans="1:2" x14ac:dyDescent="0.3">
      <c r="A4336" s="5">
        <v>41438</v>
      </c>
      <c r="B4336" s="10">
        <v>38530</v>
      </c>
    </row>
    <row r="4337" spans="1:2" x14ac:dyDescent="0.3">
      <c r="A4337" s="5">
        <v>41439</v>
      </c>
      <c r="B4337" s="10">
        <v>38375</v>
      </c>
    </row>
    <row r="4338" spans="1:2" x14ac:dyDescent="0.3">
      <c r="A4338" s="5">
        <v>41442</v>
      </c>
      <c r="B4338" s="10">
        <v>38298</v>
      </c>
    </row>
    <row r="4339" spans="1:2" x14ac:dyDescent="0.3">
      <c r="A4339" s="5">
        <v>41443</v>
      </c>
      <c r="B4339" s="10">
        <v>38286</v>
      </c>
    </row>
    <row r="4340" spans="1:2" x14ac:dyDescent="0.3">
      <c r="A4340" s="5">
        <v>41444</v>
      </c>
      <c r="B4340" s="10">
        <v>38298</v>
      </c>
    </row>
    <row r="4341" spans="1:2" x14ac:dyDescent="0.3">
      <c r="A4341" s="5">
        <v>41449</v>
      </c>
      <c r="B4341" s="10">
        <v>38038</v>
      </c>
    </row>
    <row r="4342" spans="1:2" x14ac:dyDescent="0.3">
      <c r="A4342" s="5">
        <v>41450</v>
      </c>
      <c r="B4342" s="10">
        <v>37944</v>
      </c>
    </row>
    <row r="4343" spans="1:2" x14ac:dyDescent="0.3">
      <c r="A4343" s="5">
        <v>41451</v>
      </c>
      <c r="B4343" s="10">
        <v>37782</v>
      </c>
    </row>
    <row r="4344" spans="1:2" x14ac:dyDescent="0.3">
      <c r="A4344" s="5">
        <v>41452</v>
      </c>
      <c r="B4344" s="10">
        <v>37595</v>
      </c>
    </row>
    <row r="4345" spans="1:2" x14ac:dyDescent="0.3">
      <c r="A4345" s="5">
        <v>41453</v>
      </c>
      <c r="B4345" s="10">
        <v>37005</v>
      </c>
    </row>
    <row r="4346" spans="1:2" x14ac:dyDescent="0.3">
      <c r="A4346" s="5">
        <v>41456</v>
      </c>
      <c r="B4346" s="10">
        <v>37132</v>
      </c>
    </row>
    <row r="4347" spans="1:2" x14ac:dyDescent="0.3">
      <c r="A4347" s="5">
        <v>41457</v>
      </c>
      <c r="B4347" s="10">
        <v>37156</v>
      </c>
    </row>
    <row r="4348" spans="1:2" x14ac:dyDescent="0.3">
      <c r="A4348" s="5">
        <v>41458</v>
      </c>
      <c r="B4348" s="10">
        <v>37213</v>
      </c>
    </row>
    <row r="4349" spans="1:2" x14ac:dyDescent="0.3">
      <c r="A4349" s="5">
        <v>41459</v>
      </c>
      <c r="B4349" s="10">
        <v>37205</v>
      </c>
    </row>
    <row r="4350" spans="1:2" x14ac:dyDescent="0.3">
      <c r="A4350" s="5">
        <v>41460</v>
      </c>
      <c r="B4350" s="10">
        <v>37130</v>
      </c>
    </row>
    <row r="4351" spans="1:2" x14ac:dyDescent="0.3">
      <c r="A4351" s="5">
        <v>41463</v>
      </c>
      <c r="B4351" s="10">
        <v>37229</v>
      </c>
    </row>
    <row r="4352" spans="1:2" x14ac:dyDescent="0.3">
      <c r="A4352" s="5">
        <v>41465</v>
      </c>
      <c r="B4352" s="10">
        <v>37333</v>
      </c>
    </row>
    <row r="4353" spans="1:2" x14ac:dyDescent="0.3">
      <c r="A4353" s="5">
        <v>41466</v>
      </c>
      <c r="B4353" s="10">
        <v>37416</v>
      </c>
    </row>
    <row r="4354" spans="1:2" x14ac:dyDescent="0.3">
      <c r="A4354" s="5">
        <v>41467</v>
      </c>
      <c r="B4354" s="10">
        <v>37469</v>
      </c>
    </row>
    <row r="4355" spans="1:2" x14ac:dyDescent="0.3">
      <c r="A4355" s="5">
        <v>41470</v>
      </c>
      <c r="B4355" s="10">
        <v>37461</v>
      </c>
    </row>
    <row r="4356" spans="1:2" x14ac:dyDescent="0.3">
      <c r="A4356" s="5">
        <v>41471</v>
      </c>
      <c r="B4356" s="10">
        <v>37444</v>
      </c>
    </row>
    <row r="4357" spans="1:2" x14ac:dyDescent="0.3">
      <c r="A4357" s="5">
        <v>41472</v>
      </c>
      <c r="B4357" s="10">
        <v>37413</v>
      </c>
    </row>
    <row r="4358" spans="1:2" x14ac:dyDescent="0.3">
      <c r="A4358" s="5">
        <v>41473</v>
      </c>
      <c r="B4358" s="10">
        <v>37435</v>
      </c>
    </row>
    <row r="4359" spans="1:2" x14ac:dyDescent="0.3">
      <c r="A4359" s="5">
        <v>41474</v>
      </c>
      <c r="B4359" s="10">
        <v>37464</v>
      </c>
    </row>
    <row r="4360" spans="1:2" x14ac:dyDescent="0.3">
      <c r="A4360" s="5">
        <v>41477</v>
      </c>
      <c r="B4360" s="10">
        <v>37471</v>
      </c>
    </row>
    <row r="4361" spans="1:2" x14ac:dyDescent="0.3">
      <c r="A4361" s="5">
        <v>41478</v>
      </c>
      <c r="B4361" s="10">
        <v>37416</v>
      </c>
    </row>
    <row r="4362" spans="1:2" x14ac:dyDescent="0.3">
      <c r="A4362" s="5">
        <v>41479</v>
      </c>
      <c r="B4362" s="10">
        <v>37365</v>
      </c>
    </row>
    <row r="4363" spans="1:2" x14ac:dyDescent="0.3">
      <c r="A4363" s="5">
        <v>41480</v>
      </c>
      <c r="B4363" s="10">
        <v>37303</v>
      </c>
    </row>
    <row r="4364" spans="1:2" x14ac:dyDescent="0.3">
      <c r="A4364" s="5">
        <v>41481</v>
      </c>
      <c r="B4364" s="10">
        <v>37312</v>
      </c>
    </row>
    <row r="4365" spans="1:2" x14ac:dyDescent="0.3">
      <c r="A4365" s="5">
        <v>41484</v>
      </c>
      <c r="B4365" s="10">
        <v>37296</v>
      </c>
    </row>
    <row r="4366" spans="1:2" x14ac:dyDescent="0.3">
      <c r="A4366" s="5">
        <v>41485</v>
      </c>
      <c r="B4366" s="10">
        <v>36924</v>
      </c>
    </row>
    <row r="4367" spans="1:2" x14ac:dyDescent="0.3">
      <c r="A4367" s="5">
        <v>41486</v>
      </c>
      <c r="B4367" s="10">
        <v>37049</v>
      </c>
    </row>
    <row r="4368" spans="1:2" x14ac:dyDescent="0.3">
      <c r="A4368" s="5">
        <v>41487</v>
      </c>
      <c r="B4368" s="10">
        <v>37034</v>
      </c>
    </row>
    <row r="4369" spans="1:2" x14ac:dyDescent="0.3">
      <c r="A4369" s="5">
        <v>41488</v>
      </c>
      <c r="B4369" s="10">
        <v>37089</v>
      </c>
    </row>
    <row r="4370" spans="1:2" x14ac:dyDescent="0.3">
      <c r="A4370" s="5">
        <v>41491</v>
      </c>
      <c r="B4370" s="10">
        <v>37084</v>
      </c>
    </row>
    <row r="4371" spans="1:2" x14ac:dyDescent="0.3">
      <c r="A4371" s="5">
        <v>41492</v>
      </c>
      <c r="B4371" s="10">
        <v>37026</v>
      </c>
    </row>
    <row r="4372" spans="1:2" x14ac:dyDescent="0.3">
      <c r="A4372" s="5">
        <v>41493</v>
      </c>
      <c r="B4372" s="10">
        <v>37022</v>
      </c>
    </row>
    <row r="4373" spans="1:2" x14ac:dyDescent="0.3">
      <c r="A4373" s="5">
        <v>41494</v>
      </c>
      <c r="B4373" s="10">
        <v>37068</v>
      </c>
    </row>
    <row r="4374" spans="1:2" x14ac:dyDescent="0.3">
      <c r="A4374" s="5">
        <v>41495</v>
      </c>
      <c r="B4374" s="10">
        <v>37061</v>
      </c>
    </row>
    <row r="4375" spans="1:2" x14ac:dyDescent="0.3">
      <c r="A4375" s="5">
        <v>41498</v>
      </c>
      <c r="B4375" s="10">
        <v>37060</v>
      </c>
    </row>
    <row r="4376" spans="1:2" x14ac:dyDescent="0.3">
      <c r="A4376" s="5">
        <v>41499</v>
      </c>
      <c r="B4376" s="10">
        <v>36993</v>
      </c>
    </row>
    <row r="4377" spans="1:2" x14ac:dyDescent="0.3">
      <c r="A4377" s="5">
        <v>41500</v>
      </c>
      <c r="B4377" s="10">
        <v>36963</v>
      </c>
    </row>
    <row r="4378" spans="1:2" x14ac:dyDescent="0.3">
      <c r="A4378" s="5">
        <v>41501</v>
      </c>
      <c r="B4378" s="10">
        <v>37024</v>
      </c>
    </row>
    <row r="4379" spans="1:2" x14ac:dyDescent="0.3">
      <c r="A4379" s="5">
        <v>41502</v>
      </c>
      <c r="B4379" s="10">
        <v>37056</v>
      </c>
    </row>
    <row r="4380" spans="1:2" x14ac:dyDescent="0.3">
      <c r="A4380" s="5">
        <v>41506</v>
      </c>
      <c r="B4380" s="10">
        <v>37083</v>
      </c>
    </row>
    <row r="4381" spans="1:2" x14ac:dyDescent="0.3">
      <c r="A4381" s="5">
        <v>41507</v>
      </c>
      <c r="B4381" s="10">
        <v>37053</v>
      </c>
    </row>
    <row r="4382" spans="1:2" x14ac:dyDescent="0.3">
      <c r="A4382" s="5">
        <v>41508</v>
      </c>
      <c r="B4382" s="10">
        <v>37010</v>
      </c>
    </row>
    <row r="4383" spans="1:2" x14ac:dyDescent="0.3">
      <c r="A4383" s="5">
        <v>41509</v>
      </c>
      <c r="B4383" s="10">
        <v>37011</v>
      </c>
    </row>
    <row r="4384" spans="1:2" x14ac:dyDescent="0.3">
      <c r="A4384" s="5">
        <v>41512</v>
      </c>
      <c r="B4384" s="10">
        <v>36929</v>
      </c>
    </row>
    <row r="4385" spans="1:2" x14ac:dyDescent="0.3">
      <c r="A4385" s="5">
        <v>41513</v>
      </c>
      <c r="B4385" s="10">
        <v>36911</v>
      </c>
    </row>
    <row r="4386" spans="1:2" x14ac:dyDescent="0.3">
      <c r="A4386" s="5">
        <v>41514</v>
      </c>
      <c r="B4386" s="10">
        <v>36878</v>
      </c>
    </row>
    <row r="4387" spans="1:2" x14ac:dyDescent="0.3">
      <c r="A4387" s="5">
        <v>41515</v>
      </c>
      <c r="B4387" s="10">
        <v>36837</v>
      </c>
    </row>
    <row r="4388" spans="1:2" x14ac:dyDescent="0.3">
      <c r="A4388" s="5">
        <v>41516</v>
      </c>
      <c r="B4388" s="10">
        <v>36678</v>
      </c>
    </row>
    <row r="4389" spans="1:2" x14ac:dyDescent="0.3">
      <c r="A4389" s="5">
        <v>41519</v>
      </c>
      <c r="B4389" s="10">
        <v>36676</v>
      </c>
    </row>
    <row r="4390" spans="1:2" x14ac:dyDescent="0.3">
      <c r="A4390" s="5">
        <v>41520</v>
      </c>
      <c r="B4390" s="10">
        <v>36722</v>
      </c>
    </row>
    <row r="4391" spans="1:2" x14ac:dyDescent="0.3">
      <c r="A4391" s="5">
        <v>41521</v>
      </c>
      <c r="B4391" s="10">
        <v>36668</v>
      </c>
    </row>
    <row r="4392" spans="1:2" x14ac:dyDescent="0.3">
      <c r="A4392" s="5">
        <v>41522</v>
      </c>
      <c r="B4392" s="10">
        <v>36708</v>
      </c>
    </row>
    <row r="4393" spans="1:2" x14ac:dyDescent="0.3">
      <c r="A4393" s="5">
        <v>41523</v>
      </c>
      <c r="B4393" s="10">
        <v>36717</v>
      </c>
    </row>
    <row r="4394" spans="1:2" x14ac:dyDescent="0.3">
      <c r="A4394" s="5">
        <v>41526</v>
      </c>
      <c r="B4394" s="10">
        <v>36652</v>
      </c>
    </row>
    <row r="4395" spans="1:2" x14ac:dyDescent="0.3">
      <c r="A4395" s="5">
        <v>41527</v>
      </c>
      <c r="B4395" s="10">
        <v>36578</v>
      </c>
    </row>
    <row r="4396" spans="1:2" x14ac:dyDescent="0.3">
      <c r="A4396" s="5">
        <v>41528</v>
      </c>
      <c r="B4396" s="10">
        <v>36491</v>
      </c>
    </row>
    <row r="4397" spans="1:2" x14ac:dyDescent="0.3">
      <c r="A4397" s="5">
        <v>41529</v>
      </c>
      <c r="B4397" s="10">
        <v>35261</v>
      </c>
    </row>
    <row r="4398" spans="1:2" x14ac:dyDescent="0.3">
      <c r="A4398" s="5">
        <v>41530</v>
      </c>
      <c r="B4398" s="10">
        <v>35195</v>
      </c>
    </row>
    <row r="4399" spans="1:2" x14ac:dyDescent="0.3">
      <c r="A4399" s="5">
        <v>41533</v>
      </c>
      <c r="B4399" s="10">
        <v>35150</v>
      </c>
    </row>
    <row r="4400" spans="1:2" x14ac:dyDescent="0.3">
      <c r="A4400" s="5">
        <v>41534</v>
      </c>
      <c r="B4400" s="10">
        <v>34965</v>
      </c>
    </row>
    <row r="4401" spans="1:2" x14ac:dyDescent="0.3">
      <c r="A4401" s="5">
        <v>41535</v>
      </c>
      <c r="B4401" s="10">
        <v>35107</v>
      </c>
    </row>
    <row r="4402" spans="1:2" x14ac:dyDescent="0.3">
      <c r="A4402" s="5">
        <v>41536</v>
      </c>
      <c r="B4402" s="10">
        <v>35179</v>
      </c>
    </row>
    <row r="4403" spans="1:2" x14ac:dyDescent="0.3">
      <c r="A4403" s="5">
        <v>41537</v>
      </c>
      <c r="B4403" s="10">
        <v>35000</v>
      </c>
    </row>
    <row r="4404" spans="1:2" x14ac:dyDescent="0.3">
      <c r="A4404" s="5">
        <v>41540</v>
      </c>
      <c r="B4404" s="10">
        <v>35021</v>
      </c>
    </row>
    <row r="4405" spans="1:2" x14ac:dyDescent="0.3">
      <c r="A4405" s="5">
        <v>41541</v>
      </c>
      <c r="B4405" s="10">
        <v>35059</v>
      </c>
    </row>
    <row r="4406" spans="1:2" x14ac:dyDescent="0.3">
      <c r="A4406" s="5">
        <v>41542</v>
      </c>
      <c r="B4406" s="10">
        <v>34994</v>
      </c>
    </row>
    <row r="4407" spans="1:2" x14ac:dyDescent="0.3">
      <c r="A4407" s="5">
        <v>41543</v>
      </c>
      <c r="B4407" s="10">
        <v>34891</v>
      </c>
    </row>
    <row r="4408" spans="1:2" x14ac:dyDescent="0.3">
      <c r="A4408" s="5">
        <v>41544</v>
      </c>
      <c r="B4408" s="10">
        <v>34692</v>
      </c>
    </row>
    <row r="4409" spans="1:2" x14ac:dyDescent="0.3">
      <c r="A4409" s="5">
        <v>41547</v>
      </c>
      <c r="B4409" s="10">
        <v>34741</v>
      </c>
    </row>
    <row r="4410" spans="1:2" x14ac:dyDescent="0.3">
      <c r="A4410" s="5">
        <v>41548</v>
      </c>
      <c r="B4410" s="10">
        <v>34825</v>
      </c>
    </row>
    <row r="4411" spans="1:2" x14ac:dyDescent="0.3">
      <c r="A4411" s="5">
        <v>41549</v>
      </c>
      <c r="B4411" s="10">
        <v>34714</v>
      </c>
    </row>
    <row r="4412" spans="1:2" x14ac:dyDescent="0.3">
      <c r="A4412" s="5">
        <v>41550</v>
      </c>
      <c r="B4412" s="10">
        <v>34615</v>
      </c>
    </row>
    <row r="4413" spans="1:2" x14ac:dyDescent="0.3">
      <c r="A4413" s="5">
        <v>41551</v>
      </c>
      <c r="B4413" s="10">
        <v>34746</v>
      </c>
    </row>
    <row r="4414" spans="1:2" x14ac:dyDescent="0.3">
      <c r="A4414" s="5">
        <v>41554</v>
      </c>
      <c r="B4414" s="10">
        <v>34707</v>
      </c>
    </row>
    <row r="4415" spans="1:2" x14ac:dyDescent="0.3">
      <c r="A4415" s="5">
        <v>41555</v>
      </c>
      <c r="B4415" s="10">
        <v>34632</v>
      </c>
    </row>
    <row r="4416" spans="1:2" x14ac:dyDescent="0.3">
      <c r="A4416" s="5">
        <v>41556</v>
      </c>
      <c r="B4416" s="10">
        <v>34678</v>
      </c>
    </row>
    <row r="4417" spans="1:2" x14ac:dyDescent="0.3">
      <c r="A4417" s="5">
        <v>41557</v>
      </c>
      <c r="B4417" s="10">
        <v>34538</v>
      </c>
    </row>
    <row r="4418" spans="1:2" x14ac:dyDescent="0.3">
      <c r="A4418" s="5">
        <v>41558</v>
      </c>
      <c r="B4418" s="10">
        <v>34402</v>
      </c>
    </row>
    <row r="4419" spans="1:2" x14ac:dyDescent="0.3">
      <c r="A4419" s="5">
        <v>41562</v>
      </c>
      <c r="B4419" s="10">
        <v>34387</v>
      </c>
    </row>
    <row r="4420" spans="1:2" x14ac:dyDescent="0.3">
      <c r="A4420" s="5">
        <v>41563</v>
      </c>
      <c r="B4420" s="10">
        <v>34410</v>
      </c>
    </row>
    <row r="4421" spans="1:2" x14ac:dyDescent="0.3">
      <c r="A4421" s="5">
        <v>41564</v>
      </c>
      <c r="B4421" s="10">
        <v>34339</v>
      </c>
    </row>
    <row r="4422" spans="1:2" x14ac:dyDescent="0.3">
      <c r="A4422" s="5">
        <v>41565</v>
      </c>
      <c r="B4422" s="10">
        <v>34247</v>
      </c>
    </row>
    <row r="4423" spans="1:2" x14ac:dyDescent="0.3">
      <c r="A4423" s="5">
        <v>41568</v>
      </c>
      <c r="B4423" s="10">
        <v>34112</v>
      </c>
    </row>
    <row r="4424" spans="1:2" x14ac:dyDescent="0.3">
      <c r="A4424" s="5">
        <v>41569</v>
      </c>
      <c r="B4424" s="10">
        <v>34090</v>
      </c>
    </row>
    <row r="4425" spans="1:2" x14ac:dyDescent="0.3">
      <c r="A4425" s="5">
        <v>41570</v>
      </c>
      <c r="B4425" s="10">
        <v>33984</v>
      </c>
    </row>
    <row r="4426" spans="1:2" x14ac:dyDescent="0.3">
      <c r="A4426" s="5">
        <v>41571</v>
      </c>
      <c r="B4426" s="10">
        <v>34014</v>
      </c>
    </row>
    <row r="4427" spans="1:2" x14ac:dyDescent="0.3">
      <c r="A4427" s="5">
        <v>41572</v>
      </c>
      <c r="B4427" s="10">
        <v>33971</v>
      </c>
    </row>
    <row r="4428" spans="1:2" x14ac:dyDescent="0.3">
      <c r="A4428" s="5">
        <v>41575</v>
      </c>
      <c r="B4428" s="10">
        <v>33617</v>
      </c>
    </row>
    <row r="4429" spans="1:2" x14ac:dyDescent="0.3">
      <c r="A4429" s="5">
        <v>41576</v>
      </c>
      <c r="B4429" s="10">
        <v>33369</v>
      </c>
    </row>
    <row r="4430" spans="1:2" x14ac:dyDescent="0.3">
      <c r="A4430" s="5">
        <v>41577</v>
      </c>
      <c r="B4430" s="10">
        <v>33238</v>
      </c>
    </row>
    <row r="4431" spans="1:2" x14ac:dyDescent="0.3">
      <c r="A4431" s="5">
        <v>41578</v>
      </c>
      <c r="B4431" s="10">
        <v>33232</v>
      </c>
    </row>
    <row r="4432" spans="1:2" x14ac:dyDescent="0.3">
      <c r="A4432" s="5">
        <v>41579</v>
      </c>
      <c r="B4432" s="10">
        <v>33312</v>
      </c>
    </row>
    <row r="4433" spans="1:2" x14ac:dyDescent="0.3">
      <c r="A4433" s="5">
        <v>41582</v>
      </c>
      <c r="B4433" s="10">
        <v>33236</v>
      </c>
    </row>
    <row r="4434" spans="1:2" x14ac:dyDescent="0.3">
      <c r="A4434" s="5">
        <v>41583</v>
      </c>
      <c r="B4434" s="10">
        <v>33070</v>
      </c>
    </row>
    <row r="4435" spans="1:2" x14ac:dyDescent="0.3">
      <c r="A4435" s="5">
        <v>41585</v>
      </c>
      <c r="B4435" s="10">
        <v>33055</v>
      </c>
    </row>
    <row r="4436" spans="1:2" x14ac:dyDescent="0.3">
      <c r="A4436" s="5">
        <v>41586</v>
      </c>
      <c r="B4436" s="10">
        <v>32966</v>
      </c>
    </row>
    <row r="4437" spans="1:2" x14ac:dyDescent="0.3">
      <c r="A4437" s="5">
        <v>41589</v>
      </c>
      <c r="B4437" s="10">
        <v>32954</v>
      </c>
    </row>
    <row r="4438" spans="1:2" x14ac:dyDescent="0.3">
      <c r="A4438" s="5">
        <v>41590</v>
      </c>
      <c r="B4438" s="10">
        <v>32624</v>
      </c>
    </row>
    <row r="4439" spans="1:2" x14ac:dyDescent="0.3">
      <c r="A4439" s="5">
        <v>41591</v>
      </c>
      <c r="B4439" s="10">
        <v>32502</v>
      </c>
    </row>
    <row r="4440" spans="1:2" x14ac:dyDescent="0.3">
      <c r="A4440" s="5">
        <v>41592</v>
      </c>
      <c r="B4440" s="10">
        <v>32494</v>
      </c>
    </row>
    <row r="4441" spans="1:2" x14ac:dyDescent="0.3">
      <c r="A4441" s="5">
        <v>41593</v>
      </c>
      <c r="B4441" s="10">
        <v>32389</v>
      </c>
    </row>
    <row r="4442" spans="1:2" x14ac:dyDescent="0.3">
      <c r="A4442" s="5">
        <v>41596</v>
      </c>
      <c r="B4442" s="10">
        <v>32150</v>
      </c>
    </row>
    <row r="4443" spans="1:2" x14ac:dyDescent="0.3">
      <c r="A4443" s="5">
        <v>41597</v>
      </c>
      <c r="B4443" s="10">
        <v>31980</v>
      </c>
    </row>
    <row r="4444" spans="1:2" x14ac:dyDescent="0.3">
      <c r="A4444" s="5">
        <v>41598</v>
      </c>
      <c r="B4444" s="10">
        <v>31786</v>
      </c>
    </row>
    <row r="4445" spans="1:2" x14ac:dyDescent="0.3">
      <c r="A4445" s="5">
        <v>41599</v>
      </c>
      <c r="B4445" s="10">
        <v>31541</v>
      </c>
    </row>
    <row r="4446" spans="1:2" x14ac:dyDescent="0.3">
      <c r="A4446" s="5">
        <v>41600</v>
      </c>
      <c r="B4446" s="10">
        <v>31399</v>
      </c>
    </row>
    <row r="4447" spans="1:2" x14ac:dyDescent="0.3">
      <c r="A4447" s="5">
        <v>41604</v>
      </c>
      <c r="B4447" s="10">
        <v>31319</v>
      </c>
    </row>
    <row r="4448" spans="1:2" x14ac:dyDescent="0.3">
      <c r="A4448" s="5">
        <v>41605</v>
      </c>
      <c r="B4448" s="10">
        <v>31156</v>
      </c>
    </row>
    <row r="4449" spans="1:2" x14ac:dyDescent="0.3">
      <c r="A4449" s="5">
        <v>41606</v>
      </c>
      <c r="B4449" s="10">
        <v>31199</v>
      </c>
    </row>
    <row r="4450" spans="1:2" x14ac:dyDescent="0.3">
      <c r="A4450" s="5">
        <v>41607</v>
      </c>
      <c r="B4450" s="10">
        <v>30799</v>
      </c>
    </row>
    <row r="4451" spans="1:2" x14ac:dyDescent="0.3">
      <c r="A4451" s="5">
        <v>41610</v>
      </c>
      <c r="B4451" s="10">
        <v>30665</v>
      </c>
    </row>
    <row r="4452" spans="1:2" x14ac:dyDescent="0.3">
      <c r="A4452" s="5">
        <v>41611</v>
      </c>
      <c r="B4452" s="10">
        <v>30589</v>
      </c>
    </row>
    <row r="4453" spans="1:2" x14ac:dyDescent="0.3">
      <c r="A4453" s="5">
        <v>41612</v>
      </c>
      <c r="B4453" s="10">
        <v>30509</v>
      </c>
    </row>
    <row r="4454" spans="1:2" x14ac:dyDescent="0.3">
      <c r="A4454" s="5">
        <v>41613</v>
      </c>
      <c r="B4454" s="10">
        <v>30383</v>
      </c>
    </row>
    <row r="4455" spans="1:2" x14ac:dyDescent="0.3">
      <c r="A4455" s="5">
        <v>41614</v>
      </c>
      <c r="B4455" s="10">
        <v>30467</v>
      </c>
    </row>
    <row r="4456" spans="1:2" x14ac:dyDescent="0.3">
      <c r="A4456" s="5">
        <v>41617</v>
      </c>
      <c r="B4456" s="10">
        <v>30470</v>
      </c>
    </row>
    <row r="4457" spans="1:2" x14ac:dyDescent="0.3">
      <c r="A4457" s="5">
        <v>41618</v>
      </c>
      <c r="B4457" s="10">
        <v>30430</v>
      </c>
    </row>
    <row r="4458" spans="1:2" x14ac:dyDescent="0.3">
      <c r="A4458" s="5">
        <v>41619</v>
      </c>
      <c r="B4458" s="10">
        <v>30587</v>
      </c>
    </row>
    <row r="4459" spans="1:2" x14ac:dyDescent="0.3">
      <c r="A4459" s="5">
        <v>41620</v>
      </c>
      <c r="B4459" s="10">
        <v>30525</v>
      </c>
    </row>
    <row r="4460" spans="1:2" x14ac:dyDescent="0.3">
      <c r="A4460" s="5">
        <v>41621</v>
      </c>
      <c r="B4460" s="10">
        <v>30509</v>
      </c>
    </row>
    <row r="4461" spans="1:2" x14ac:dyDescent="0.3">
      <c r="A4461" s="5">
        <v>41624</v>
      </c>
      <c r="B4461" s="10">
        <v>30610</v>
      </c>
    </row>
    <row r="4462" spans="1:2" x14ac:dyDescent="0.3">
      <c r="A4462" s="5">
        <v>41625</v>
      </c>
      <c r="B4462" s="10">
        <v>30574</v>
      </c>
    </row>
    <row r="4463" spans="1:2" x14ac:dyDescent="0.3">
      <c r="A4463" s="5">
        <v>41626</v>
      </c>
      <c r="B4463" s="10">
        <v>30634</v>
      </c>
    </row>
    <row r="4464" spans="1:2" x14ac:dyDescent="0.3">
      <c r="A4464" s="5">
        <v>41627</v>
      </c>
      <c r="B4464" s="10">
        <v>30656</v>
      </c>
    </row>
    <row r="4465" spans="1:2" x14ac:dyDescent="0.3">
      <c r="A4465" s="5">
        <v>41628</v>
      </c>
      <c r="B4465" s="10">
        <v>30680</v>
      </c>
    </row>
    <row r="4466" spans="1:2" x14ac:dyDescent="0.3">
      <c r="A4466" s="5">
        <v>41631</v>
      </c>
      <c r="B4466" s="10">
        <v>30702</v>
      </c>
    </row>
    <row r="4467" spans="1:2" x14ac:dyDescent="0.3">
      <c r="A4467" s="5">
        <v>41634</v>
      </c>
      <c r="B4467" s="10">
        <v>30777</v>
      </c>
    </row>
    <row r="4468" spans="1:2" x14ac:dyDescent="0.3">
      <c r="A4468" s="5">
        <v>41635</v>
      </c>
      <c r="B4468" s="10">
        <v>30828</v>
      </c>
    </row>
    <row r="4469" spans="1:2" x14ac:dyDescent="0.3">
      <c r="A4469" s="5">
        <v>41638</v>
      </c>
      <c r="B4469" s="10">
        <v>30600</v>
      </c>
    </row>
    <row r="4470" spans="1:2" x14ac:dyDescent="0.3">
      <c r="A4470" s="5">
        <v>41641</v>
      </c>
      <c r="B4470" s="10">
        <v>30586</v>
      </c>
    </row>
    <row r="4471" spans="1:2" x14ac:dyDescent="0.3">
      <c r="A4471" s="5">
        <v>41642</v>
      </c>
      <c r="B4471" s="10">
        <v>30529</v>
      </c>
    </row>
    <row r="4472" spans="1:2" x14ac:dyDescent="0.3">
      <c r="A4472" s="5">
        <v>41645</v>
      </c>
      <c r="B4472" s="10">
        <v>30352</v>
      </c>
    </row>
    <row r="4473" spans="1:2" x14ac:dyDescent="0.3">
      <c r="A4473" s="5">
        <v>41646</v>
      </c>
      <c r="B4473" s="10">
        <v>30437</v>
      </c>
    </row>
    <row r="4474" spans="1:2" x14ac:dyDescent="0.3">
      <c r="A4474" s="5">
        <v>41647</v>
      </c>
      <c r="B4474" s="10">
        <v>30230</v>
      </c>
    </row>
    <row r="4475" spans="1:2" x14ac:dyDescent="0.3">
      <c r="A4475" s="5">
        <v>41648</v>
      </c>
      <c r="B4475" s="10">
        <v>30222</v>
      </c>
    </row>
    <row r="4476" spans="1:2" x14ac:dyDescent="0.3">
      <c r="A4476" s="5">
        <v>41649</v>
      </c>
      <c r="B4476" s="10">
        <v>30156</v>
      </c>
    </row>
    <row r="4477" spans="1:2" x14ac:dyDescent="0.3">
      <c r="A4477" s="5">
        <v>41652</v>
      </c>
      <c r="B4477" s="10">
        <v>30105</v>
      </c>
    </row>
    <row r="4478" spans="1:2" x14ac:dyDescent="0.3">
      <c r="A4478" s="5">
        <v>41653</v>
      </c>
      <c r="B4478" s="10">
        <v>30025</v>
      </c>
    </row>
    <row r="4479" spans="1:2" x14ac:dyDescent="0.3">
      <c r="A4479" s="5">
        <v>41654</v>
      </c>
      <c r="B4479" s="10">
        <v>29863</v>
      </c>
    </row>
    <row r="4480" spans="1:2" x14ac:dyDescent="0.3">
      <c r="A4480" s="5">
        <v>41655</v>
      </c>
      <c r="B4480" s="10">
        <v>29692</v>
      </c>
    </row>
    <row r="4481" spans="1:2" x14ac:dyDescent="0.3">
      <c r="A4481" s="5">
        <v>41656</v>
      </c>
      <c r="B4481" s="10">
        <v>29681</v>
      </c>
    </row>
    <row r="4482" spans="1:2" x14ac:dyDescent="0.3">
      <c r="A4482" s="5">
        <v>41659</v>
      </c>
      <c r="B4482" s="10">
        <v>29682</v>
      </c>
    </row>
    <row r="4483" spans="1:2" x14ac:dyDescent="0.3">
      <c r="A4483" s="5">
        <v>41660</v>
      </c>
      <c r="B4483" s="10">
        <v>29405</v>
      </c>
    </row>
    <row r="4484" spans="1:2" x14ac:dyDescent="0.3">
      <c r="A4484" s="5">
        <v>41661</v>
      </c>
      <c r="B4484" s="10">
        <v>29325</v>
      </c>
    </row>
    <row r="4485" spans="1:2" x14ac:dyDescent="0.3">
      <c r="A4485" s="5">
        <v>41662</v>
      </c>
      <c r="B4485" s="10">
        <v>29074</v>
      </c>
    </row>
    <row r="4486" spans="1:2" x14ac:dyDescent="0.3">
      <c r="A4486" s="5">
        <v>41663</v>
      </c>
      <c r="B4486" s="10">
        <v>28872</v>
      </c>
    </row>
    <row r="4487" spans="1:2" x14ac:dyDescent="0.3">
      <c r="A4487" s="5">
        <v>41666</v>
      </c>
      <c r="B4487" s="10">
        <v>28704</v>
      </c>
    </row>
    <row r="4488" spans="1:2" x14ac:dyDescent="0.3">
      <c r="A4488" s="5">
        <v>41667</v>
      </c>
      <c r="B4488" s="10">
        <v>28445</v>
      </c>
    </row>
    <row r="4489" spans="1:2" x14ac:dyDescent="0.3">
      <c r="A4489" s="5">
        <v>41668</v>
      </c>
      <c r="B4489" s="10">
        <v>28201</v>
      </c>
    </row>
    <row r="4490" spans="1:2" x14ac:dyDescent="0.3">
      <c r="A4490" s="5">
        <v>41669</v>
      </c>
      <c r="B4490" s="10">
        <v>27822</v>
      </c>
    </row>
    <row r="4491" spans="1:2" x14ac:dyDescent="0.3">
      <c r="A4491" s="5">
        <v>41670</v>
      </c>
      <c r="B4491" s="10">
        <v>27748</v>
      </c>
    </row>
    <row r="4492" spans="1:2" x14ac:dyDescent="0.3">
      <c r="A4492" s="5">
        <v>41673</v>
      </c>
      <c r="B4492" s="10">
        <v>27795</v>
      </c>
    </row>
    <row r="4493" spans="1:2" x14ac:dyDescent="0.3">
      <c r="A4493" s="5">
        <v>41674</v>
      </c>
      <c r="B4493" s="10">
        <v>27779</v>
      </c>
    </row>
    <row r="4494" spans="1:2" x14ac:dyDescent="0.3">
      <c r="A4494" s="5">
        <v>41675</v>
      </c>
      <c r="B4494" s="10">
        <v>27774</v>
      </c>
    </row>
    <row r="4495" spans="1:2" x14ac:dyDescent="0.3">
      <c r="A4495" s="5">
        <v>41676</v>
      </c>
      <c r="B4495" s="10">
        <v>27735</v>
      </c>
    </row>
    <row r="4496" spans="1:2" x14ac:dyDescent="0.3">
      <c r="A4496" s="5">
        <v>41677</v>
      </c>
      <c r="B4496" s="10">
        <v>27784</v>
      </c>
    </row>
    <row r="4497" spans="1:2" x14ac:dyDescent="0.3">
      <c r="A4497" s="5">
        <v>41680</v>
      </c>
      <c r="B4497" s="10">
        <v>27644</v>
      </c>
    </row>
    <row r="4498" spans="1:2" x14ac:dyDescent="0.3">
      <c r="A4498" s="5">
        <v>41681</v>
      </c>
      <c r="B4498" s="10">
        <v>27709</v>
      </c>
    </row>
    <row r="4499" spans="1:2" x14ac:dyDescent="0.3">
      <c r="A4499" s="5">
        <v>41682</v>
      </c>
      <c r="B4499" s="10">
        <v>27728</v>
      </c>
    </row>
    <row r="4500" spans="1:2" x14ac:dyDescent="0.3">
      <c r="A4500" s="5">
        <v>41683</v>
      </c>
      <c r="B4500" s="10">
        <v>27754</v>
      </c>
    </row>
    <row r="4501" spans="1:2" x14ac:dyDescent="0.3">
      <c r="A4501" s="5">
        <v>41684</v>
      </c>
      <c r="B4501" s="10">
        <v>27712</v>
      </c>
    </row>
    <row r="4502" spans="1:2" x14ac:dyDescent="0.3">
      <c r="A4502" s="5">
        <v>41687</v>
      </c>
      <c r="B4502" s="10">
        <v>27728</v>
      </c>
    </row>
    <row r="4503" spans="1:2" x14ac:dyDescent="0.3">
      <c r="A4503" s="5">
        <v>41688</v>
      </c>
      <c r="B4503" s="10">
        <v>27718</v>
      </c>
    </row>
    <row r="4504" spans="1:2" x14ac:dyDescent="0.3">
      <c r="A4504" s="5">
        <v>41689</v>
      </c>
      <c r="B4504" s="10">
        <v>27716</v>
      </c>
    </row>
    <row r="4505" spans="1:2" x14ac:dyDescent="0.3">
      <c r="A4505" s="5">
        <v>41690</v>
      </c>
      <c r="B4505" s="10">
        <v>27606</v>
      </c>
    </row>
    <row r="4506" spans="1:2" x14ac:dyDescent="0.3">
      <c r="A4506" s="5">
        <v>41691</v>
      </c>
      <c r="B4506" s="10">
        <v>27588</v>
      </c>
    </row>
    <row r="4507" spans="1:2" x14ac:dyDescent="0.3">
      <c r="A4507" s="5">
        <v>41694</v>
      </c>
      <c r="B4507" s="10">
        <v>27575</v>
      </c>
    </row>
    <row r="4508" spans="1:2" x14ac:dyDescent="0.3">
      <c r="A4508" s="5">
        <v>41695</v>
      </c>
      <c r="B4508" s="10">
        <v>27575</v>
      </c>
    </row>
    <row r="4509" spans="1:2" x14ac:dyDescent="0.3">
      <c r="A4509" s="5">
        <v>41696</v>
      </c>
      <c r="B4509" s="10">
        <v>27482</v>
      </c>
    </row>
    <row r="4510" spans="1:2" x14ac:dyDescent="0.3">
      <c r="A4510" s="5">
        <v>41697</v>
      </c>
      <c r="B4510" s="10">
        <v>27373</v>
      </c>
    </row>
    <row r="4511" spans="1:2" x14ac:dyDescent="0.3">
      <c r="A4511" s="5">
        <v>41698</v>
      </c>
      <c r="B4511" s="10">
        <v>27546</v>
      </c>
    </row>
    <row r="4512" spans="1:2" x14ac:dyDescent="0.3">
      <c r="A4512" s="5">
        <v>41703</v>
      </c>
      <c r="B4512" s="10">
        <v>27646</v>
      </c>
    </row>
    <row r="4513" spans="1:2" x14ac:dyDescent="0.3">
      <c r="A4513" s="5">
        <v>41704</v>
      </c>
      <c r="B4513" s="10">
        <v>27644</v>
      </c>
    </row>
    <row r="4514" spans="1:2" x14ac:dyDescent="0.3">
      <c r="A4514" s="5">
        <v>41705</v>
      </c>
      <c r="B4514" s="10">
        <v>27636</v>
      </c>
    </row>
    <row r="4515" spans="1:2" x14ac:dyDescent="0.3">
      <c r="A4515" s="5">
        <v>41708</v>
      </c>
      <c r="B4515" s="10">
        <v>27610</v>
      </c>
    </row>
    <row r="4516" spans="1:2" x14ac:dyDescent="0.3">
      <c r="A4516" s="5">
        <v>41709</v>
      </c>
      <c r="B4516" s="10">
        <v>27618</v>
      </c>
    </row>
    <row r="4517" spans="1:2" x14ac:dyDescent="0.3">
      <c r="A4517" s="5">
        <v>41710</v>
      </c>
      <c r="B4517" s="10">
        <v>27462</v>
      </c>
    </row>
    <row r="4518" spans="1:2" x14ac:dyDescent="0.3">
      <c r="A4518" s="5">
        <v>41711</v>
      </c>
      <c r="B4518" s="10">
        <v>27472</v>
      </c>
    </row>
    <row r="4519" spans="1:2" x14ac:dyDescent="0.3">
      <c r="A4519" s="5">
        <v>41712</v>
      </c>
      <c r="B4519" s="10">
        <v>27471</v>
      </c>
    </row>
    <row r="4520" spans="1:2" x14ac:dyDescent="0.3">
      <c r="A4520" s="5">
        <v>41715</v>
      </c>
      <c r="B4520" s="10">
        <v>27318</v>
      </c>
    </row>
    <row r="4521" spans="1:2" x14ac:dyDescent="0.3">
      <c r="A4521" s="5">
        <v>41716</v>
      </c>
      <c r="B4521" s="10">
        <v>27208</v>
      </c>
    </row>
    <row r="4522" spans="1:2" x14ac:dyDescent="0.3">
      <c r="A4522" s="5">
        <v>41717</v>
      </c>
      <c r="B4522" s="10">
        <v>27165</v>
      </c>
    </row>
    <row r="4523" spans="1:2" x14ac:dyDescent="0.3">
      <c r="A4523" s="5">
        <v>41718</v>
      </c>
      <c r="B4523" s="10">
        <v>27133</v>
      </c>
    </row>
    <row r="4524" spans="1:2" x14ac:dyDescent="0.3">
      <c r="A4524" s="5">
        <v>41719</v>
      </c>
      <c r="B4524" s="10">
        <v>27156</v>
      </c>
    </row>
    <row r="4525" spans="1:2" x14ac:dyDescent="0.3">
      <c r="A4525" s="5">
        <v>41723</v>
      </c>
      <c r="B4525" s="10">
        <v>27089</v>
      </c>
    </row>
    <row r="4526" spans="1:2" x14ac:dyDescent="0.3">
      <c r="A4526" s="5">
        <v>41724</v>
      </c>
      <c r="B4526" s="10">
        <v>27106</v>
      </c>
    </row>
    <row r="4527" spans="1:2" x14ac:dyDescent="0.3">
      <c r="A4527" s="5">
        <v>41725</v>
      </c>
      <c r="B4527" s="10">
        <v>26939</v>
      </c>
    </row>
    <row r="4528" spans="1:2" x14ac:dyDescent="0.3">
      <c r="A4528" s="5">
        <v>41726</v>
      </c>
      <c r="B4528" s="10">
        <v>26910</v>
      </c>
    </row>
    <row r="4529" spans="1:2" x14ac:dyDescent="0.3">
      <c r="A4529" s="5">
        <v>41729</v>
      </c>
      <c r="B4529" s="10">
        <v>27007</v>
      </c>
    </row>
    <row r="4530" spans="1:2" x14ac:dyDescent="0.3">
      <c r="A4530" s="5">
        <v>41730</v>
      </c>
      <c r="B4530" s="10">
        <v>26989</v>
      </c>
    </row>
    <row r="4531" spans="1:2" x14ac:dyDescent="0.3">
      <c r="A4531" s="5">
        <v>41732</v>
      </c>
      <c r="B4531" s="10">
        <v>26729</v>
      </c>
    </row>
    <row r="4532" spans="1:2" x14ac:dyDescent="0.3">
      <c r="A4532" s="5">
        <v>41733</v>
      </c>
      <c r="B4532" s="10">
        <v>27213</v>
      </c>
    </row>
    <row r="4533" spans="1:2" x14ac:dyDescent="0.3">
      <c r="A4533" s="5">
        <v>41736</v>
      </c>
      <c r="B4533" s="10">
        <v>27331</v>
      </c>
    </row>
    <row r="4534" spans="1:2" x14ac:dyDescent="0.3">
      <c r="A4534" s="5">
        <v>41737</v>
      </c>
      <c r="B4534" s="10">
        <v>27469</v>
      </c>
    </row>
    <row r="4535" spans="1:2" x14ac:dyDescent="0.3">
      <c r="A4535" s="5">
        <v>41738</v>
      </c>
      <c r="B4535" s="10">
        <v>27608</v>
      </c>
    </row>
    <row r="4536" spans="1:2" x14ac:dyDescent="0.3">
      <c r="A4536" s="5">
        <v>41739</v>
      </c>
      <c r="B4536" s="10">
        <v>27636</v>
      </c>
    </row>
    <row r="4537" spans="1:2" x14ac:dyDescent="0.3">
      <c r="A4537" s="5">
        <v>41740</v>
      </c>
      <c r="B4537" s="10">
        <v>27743</v>
      </c>
    </row>
    <row r="4538" spans="1:2" x14ac:dyDescent="0.3">
      <c r="A4538" s="5">
        <v>41743</v>
      </c>
      <c r="B4538" s="10">
        <v>27756</v>
      </c>
    </row>
    <row r="4539" spans="1:2" x14ac:dyDescent="0.3">
      <c r="A4539" s="5">
        <v>41744</v>
      </c>
      <c r="B4539" s="10">
        <v>27768</v>
      </c>
    </row>
    <row r="4540" spans="1:2" x14ac:dyDescent="0.3">
      <c r="A4540" s="5">
        <v>41745</v>
      </c>
      <c r="B4540" s="10">
        <v>27813</v>
      </c>
    </row>
    <row r="4541" spans="1:2" x14ac:dyDescent="0.3">
      <c r="A4541" s="5">
        <v>41750</v>
      </c>
      <c r="B4541" s="10">
        <v>27817</v>
      </c>
    </row>
    <row r="4542" spans="1:2" x14ac:dyDescent="0.3">
      <c r="A4542" s="5">
        <v>41751</v>
      </c>
      <c r="B4542" s="10">
        <v>27820</v>
      </c>
    </row>
    <row r="4543" spans="1:2" x14ac:dyDescent="0.3">
      <c r="A4543" s="5">
        <v>41752</v>
      </c>
      <c r="B4543" s="10">
        <v>27831</v>
      </c>
    </row>
    <row r="4544" spans="1:2" x14ac:dyDescent="0.3">
      <c r="A4544" s="5">
        <v>41753</v>
      </c>
      <c r="B4544" s="10">
        <v>27903</v>
      </c>
    </row>
    <row r="4545" spans="1:2" x14ac:dyDescent="0.3">
      <c r="A4545" s="5">
        <v>41754</v>
      </c>
      <c r="B4545" s="10">
        <v>28105</v>
      </c>
    </row>
    <row r="4546" spans="1:2" x14ac:dyDescent="0.3">
      <c r="A4546" s="5">
        <v>41757</v>
      </c>
      <c r="B4546" s="10">
        <v>28172</v>
      </c>
    </row>
    <row r="4547" spans="1:2" x14ac:dyDescent="0.3">
      <c r="A4547" s="5">
        <v>41758</v>
      </c>
      <c r="B4547" s="10">
        <v>28112</v>
      </c>
    </row>
    <row r="4548" spans="1:2" x14ac:dyDescent="0.3">
      <c r="A4548" s="5">
        <v>41759</v>
      </c>
      <c r="B4548" s="10">
        <v>28220</v>
      </c>
    </row>
    <row r="4549" spans="1:2" x14ac:dyDescent="0.3">
      <c r="A4549" s="5">
        <v>41764</v>
      </c>
      <c r="B4549" s="10">
        <v>28249</v>
      </c>
    </row>
    <row r="4550" spans="1:2" x14ac:dyDescent="0.3">
      <c r="A4550" s="5">
        <v>41765</v>
      </c>
      <c r="B4550" s="10">
        <v>28297</v>
      </c>
    </row>
    <row r="4551" spans="1:2" x14ac:dyDescent="0.3">
      <c r="A4551" s="5">
        <v>41766</v>
      </c>
      <c r="B4551" s="10">
        <v>28307</v>
      </c>
    </row>
    <row r="4552" spans="1:2" x14ac:dyDescent="0.3">
      <c r="A4552" s="5">
        <v>41767</v>
      </c>
      <c r="B4552" s="10">
        <v>28323</v>
      </c>
    </row>
    <row r="4553" spans="1:2" x14ac:dyDescent="0.3">
      <c r="A4553" s="5">
        <v>41768</v>
      </c>
      <c r="B4553" s="10">
        <v>28336</v>
      </c>
    </row>
    <row r="4554" spans="1:2" x14ac:dyDescent="0.3">
      <c r="A4554" s="5">
        <v>41771</v>
      </c>
      <c r="B4554" s="10">
        <v>28356</v>
      </c>
    </row>
    <row r="4555" spans="1:2" x14ac:dyDescent="0.3">
      <c r="A4555" s="5">
        <v>41772</v>
      </c>
      <c r="B4555" s="10">
        <v>28358</v>
      </c>
    </row>
    <row r="4556" spans="1:2" x14ac:dyDescent="0.3">
      <c r="A4556" s="5">
        <v>41773</v>
      </c>
      <c r="B4556" s="10">
        <v>28373</v>
      </c>
    </row>
    <row r="4557" spans="1:2" x14ac:dyDescent="0.3">
      <c r="A4557" s="5">
        <v>41774</v>
      </c>
      <c r="B4557" s="10">
        <v>28383</v>
      </c>
    </row>
    <row r="4558" spans="1:2" x14ac:dyDescent="0.3">
      <c r="A4558" s="5">
        <v>41775</v>
      </c>
      <c r="B4558" s="10">
        <v>28391</v>
      </c>
    </row>
    <row r="4559" spans="1:2" x14ac:dyDescent="0.3">
      <c r="A4559" s="5">
        <v>41778</v>
      </c>
      <c r="B4559" s="10">
        <v>28390</v>
      </c>
    </row>
    <row r="4560" spans="1:2" x14ac:dyDescent="0.3">
      <c r="A4560" s="5">
        <v>41779</v>
      </c>
      <c r="B4560" s="10">
        <v>28398</v>
      </c>
    </row>
    <row r="4561" spans="1:2" x14ac:dyDescent="0.3">
      <c r="A4561" s="5">
        <v>41780</v>
      </c>
      <c r="B4561" s="10">
        <v>28350</v>
      </c>
    </row>
    <row r="4562" spans="1:2" x14ac:dyDescent="0.3">
      <c r="A4562" s="5">
        <v>41781</v>
      </c>
      <c r="B4562" s="10">
        <v>28433</v>
      </c>
    </row>
    <row r="4563" spans="1:2" x14ac:dyDescent="0.3">
      <c r="A4563" s="5">
        <v>41782</v>
      </c>
      <c r="B4563" s="10">
        <v>28514</v>
      </c>
    </row>
    <row r="4564" spans="1:2" x14ac:dyDescent="0.3">
      <c r="A4564" s="5">
        <v>41785</v>
      </c>
      <c r="B4564" s="10">
        <v>28514</v>
      </c>
    </row>
    <row r="4565" spans="1:2" x14ac:dyDescent="0.3">
      <c r="A4565" s="5">
        <v>41786</v>
      </c>
      <c r="B4565" s="10">
        <v>28499</v>
      </c>
    </row>
    <row r="4566" spans="1:2" x14ac:dyDescent="0.3">
      <c r="A4566" s="5">
        <v>41787</v>
      </c>
      <c r="B4566" s="10">
        <v>28541</v>
      </c>
    </row>
    <row r="4567" spans="1:2" x14ac:dyDescent="0.3">
      <c r="A4567" s="5">
        <v>41788</v>
      </c>
      <c r="B4567" s="10">
        <v>28520</v>
      </c>
    </row>
    <row r="4568" spans="1:2" x14ac:dyDescent="0.3">
      <c r="A4568" s="5">
        <v>41789</v>
      </c>
      <c r="B4568" s="10">
        <v>28542</v>
      </c>
    </row>
    <row r="4569" spans="1:2" x14ac:dyDescent="0.3">
      <c r="A4569" s="5">
        <v>41792</v>
      </c>
      <c r="B4569" s="10">
        <v>28599</v>
      </c>
    </row>
    <row r="4570" spans="1:2" x14ac:dyDescent="0.3">
      <c r="A4570" s="5">
        <v>41793</v>
      </c>
      <c r="B4570" s="10">
        <v>28627</v>
      </c>
    </row>
    <row r="4571" spans="1:2" x14ac:dyDescent="0.3">
      <c r="A4571" s="5">
        <v>41794</v>
      </c>
      <c r="B4571" s="10">
        <v>28639</v>
      </c>
    </row>
    <row r="4572" spans="1:2" x14ac:dyDescent="0.3">
      <c r="A4572" s="5">
        <v>41795</v>
      </c>
      <c r="B4572" s="10">
        <v>28635</v>
      </c>
    </row>
    <row r="4573" spans="1:2" x14ac:dyDescent="0.3">
      <c r="A4573" s="5">
        <v>41796</v>
      </c>
      <c r="B4573" s="10">
        <v>28623</v>
      </c>
    </row>
    <row r="4574" spans="1:2" x14ac:dyDescent="0.3">
      <c r="A4574" s="5">
        <v>41799</v>
      </c>
      <c r="B4574" s="10">
        <v>28789</v>
      </c>
    </row>
    <row r="4575" spans="1:2" x14ac:dyDescent="0.3">
      <c r="A4575" s="5">
        <v>41800</v>
      </c>
      <c r="B4575" s="10">
        <v>28781</v>
      </c>
    </row>
    <row r="4576" spans="1:2" x14ac:dyDescent="0.3">
      <c r="A4576" s="5">
        <v>41801</v>
      </c>
      <c r="B4576" s="10">
        <v>28800</v>
      </c>
    </row>
    <row r="4577" spans="1:2" x14ac:dyDescent="0.3">
      <c r="A4577" s="5">
        <v>41802</v>
      </c>
      <c r="B4577" s="10">
        <v>28820</v>
      </c>
    </row>
    <row r="4578" spans="1:2" x14ac:dyDescent="0.3">
      <c r="A4578" s="5">
        <v>41803</v>
      </c>
      <c r="B4578" s="10">
        <v>28844</v>
      </c>
    </row>
    <row r="4579" spans="1:2" x14ac:dyDescent="0.3">
      <c r="A4579" s="5">
        <v>41806</v>
      </c>
      <c r="B4579" s="10">
        <v>28834</v>
      </c>
    </row>
    <row r="4580" spans="1:2" x14ac:dyDescent="0.3">
      <c r="A4580" s="5">
        <v>41807</v>
      </c>
      <c r="B4580" s="10">
        <v>28841</v>
      </c>
    </row>
    <row r="4581" spans="1:2" x14ac:dyDescent="0.3">
      <c r="A4581" s="5">
        <v>41808</v>
      </c>
      <c r="B4581" s="10">
        <v>28872</v>
      </c>
    </row>
    <row r="4582" spans="1:2" x14ac:dyDescent="0.3">
      <c r="A4582" s="5">
        <v>41809</v>
      </c>
      <c r="B4582" s="10">
        <v>28884</v>
      </c>
    </row>
    <row r="4583" spans="1:2" x14ac:dyDescent="0.3">
      <c r="A4583" s="5">
        <v>41813</v>
      </c>
      <c r="B4583" s="10">
        <v>28893</v>
      </c>
    </row>
    <row r="4584" spans="1:2" x14ac:dyDescent="0.3">
      <c r="A4584" s="5">
        <v>41814</v>
      </c>
      <c r="B4584" s="10">
        <v>29025</v>
      </c>
    </row>
    <row r="4585" spans="1:2" x14ac:dyDescent="0.3">
      <c r="A4585" s="5">
        <v>41815</v>
      </c>
      <c r="B4585" s="10">
        <v>29073</v>
      </c>
    </row>
    <row r="4586" spans="1:2" x14ac:dyDescent="0.3">
      <c r="A4586" s="5">
        <v>41816</v>
      </c>
      <c r="B4586" s="10">
        <v>29133</v>
      </c>
    </row>
    <row r="4587" spans="1:2" x14ac:dyDescent="0.3">
      <c r="A4587" s="5">
        <v>41817</v>
      </c>
      <c r="B4587" s="10">
        <v>29255</v>
      </c>
    </row>
    <row r="4588" spans="1:2" x14ac:dyDescent="0.3">
      <c r="A4588" s="5">
        <v>41820</v>
      </c>
      <c r="B4588" s="10">
        <v>29278</v>
      </c>
    </row>
    <row r="4589" spans="1:2" x14ac:dyDescent="0.3">
      <c r="A4589" s="5">
        <v>41821</v>
      </c>
      <c r="B4589" s="10">
        <v>29339</v>
      </c>
    </row>
    <row r="4590" spans="1:2" x14ac:dyDescent="0.3">
      <c r="A4590" s="5">
        <v>41822</v>
      </c>
      <c r="B4590" s="10">
        <v>29352</v>
      </c>
    </row>
    <row r="4591" spans="1:2" x14ac:dyDescent="0.3">
      <c r="A4591" s="5">
        <v>41823</v>
      </c>
      <c r="B4591" s="10">
        <v>29478</v>
      </c>
    </row>
    <row r="4592" spans="1:2" x14ac:dyDescent="0.3">
      <c r="A4592" s="5">
        <v>41824</v>
      </c>
      <c r="B4592" s="10">
        <v>29478</v>
      </c>
    </row>
    <row r="4593" spans="1:2" x14ac:dyDescent="0.3">
      <c r="A4593" s="5">
        <v>41827</v>
      </c>
      <c r="B4593" s="10">
        <v>29537</v>
      </c>
    </row>
    <row r="4594" spans="1:2" x14ac:dyDescent="0.3">
      <c r="A4594" s="5">
        <v>41828</v>
      </c>
      <c r="B4594" s="10">
        <v>29545</v>
      </c>
    </row>
    <row r="4595" spans="1:2" x14ac:dyDescent="0.3">
      <c r="A4595" s="5">
        <v>41830</v>
      </c>
      <c r="B4595" s="10">
        <v>29621</v>
      </c>
    </row>
    <row r="4596" spans="1:2" x14ac:dyDescent="0.3">
      <c r="A4596" s="5">
        <v>41831</v>
      </c>
      <c r="B4596" s="10">
        <v>29632</v>
      </c>
    </row>
    <row r="4597" spans="1:2" x14ac:dyDescent="0.3">
      <c r="A4597" s="5">
        <v>41834</v>
      </c>
      <c r="B4597" s="10">
        <v>29626</v>
      </c>
    </row>
    <row r="4598" spans="1:2" x14ac:dyDescent="0.3">
      <c r="A4598" s="5">
        <v>41835</v>
      </c>
      <c r="B4598" s="10">
        <v>29633</v>
      </c>
    </row>
    <row r="4599" spans="1:2" x14ac:dyDescent="0.3">
      <c r="A4599" s="5">
        <v>41836</v>
      </c>
      <c r="B4599" s="10">
        <v>29637</v>
      </c>
    </row>
    <row r="4600" spans="1:2" x14ac:dyDescent="0.3">
      <c r="A4600" s="5">
        <v>41837</v>
      </c>
      <c r="B4600" s="10">
        <v>29672</v>
      </c>
    </row>
    <row r="4601" spans="1:2" x14ac:dyDescent="0.3">
      <c r="A4601" s="5">
        <v>41838</v>
      </c>
      <c r="B4601" s="10">
        <v>29676</v>
      </c>
    </row>
    <row r="4602" spans="1:2" x14ac:dyDescent="0.3">
      <c r="A4602" s="5">
        <v>41841</v>
      </c>
      <c r="B4602" s="10">
        <v>29692</v>
      </c>
    </row>
    <row r="4603" spans="1:2" x14ac:dyDescent="0.3">
      <c r="A4603" s="5">
        <v>41842</v>
      </c>
      <c r="B4603" s="10">
        <v>29694</v>
      </c>
    </row>
    <row r="4604" spans="1:2" x14ac:dyDescent="0.3">
      <c r="A4604" s="5">
        <v>41843</v>
      </c>
      <c r="B4604" s="10">
        <v>29700</v>
      </c>
    </row>
    <row r="4605" spans="1:2" x14ac:dyDescent="0.3">
      <c r="A4605" s="5">
        <v>41844</v>
      </c>
      <c r="B4605" s="10">
        <v>29713</v>
      </c>
    </row>
    <row r="4606" spans="1:2" x14ac:dyDescent="0.3">
      <c r="A4606" s="5">
        <v>41845</v>
      </c>
      <c r="B4606" s="10">
        <v>29704</v>
      </c>
    </row>
    <row r="4607" spans="1:2" x14ac:dyDescent="0.3">
      <c r="A4607" s="5">
        <v>41848</v>
      </c>
      <c r="B4607" s="10">
        <v>29018</v>
      </c>
    </row>
    <row r="4608" spans="1:2" x14ac:dyDescent="0.3">
      <c r="A4608" s="5">
        <v>41849</v>
      </c>
      <c r="B4608" s="10">
        <v>29018</v>
      </c>
    </row>
    <row r="4609" spans="1:2" x14ac:dyDescent="0.3">
      <c r="A4609" s="5">
        <v>41850</v>
      </c>
      <c r="B4609" s="10">
        <v>28801</v>
      </c>
    </row>
    <row r="4610" spans="1:2" x14ac:dyDescent="0.3">
      <c r="A4610" s="5">
        <v>41851</v>
      </c>
      <c r="B4610" s="10">
        <v>29003</v>
      </c>
    </row>
    <row r="4611" spans="1:2" x14ac:dyDescent="0.3">
      <c r="A4611" s="5">
        <v>41852</v>
      </c>
      <c r="B4611" s="10">
        <v>28997</v>
      </c>
    </row>
    <row r="4612" spans="1:2" x14ac:dyDescent="0.3">
      <c r="A4612" s="5">
        <v>41855</v>
      </c>
      <c r="B4612" s="10">
        <v>28893</v>
      </c>
    </row>
    <row r="4613" spans="1:2" x14ac:dyDescent="0.3">
      <c r="A4613" s="5">
        <v>41856</v>
      </c>
      <c r="B4613" s="10">
        <v>28928</v>
      </c>
    </row>
    <row r="4614" spans="1:2" x14ac:dyDescent="0.3">
      <c r="A4614" s="5">
        <v>41857</v>
      </c>
      <c r="B4614" s="10">
        <v>28932</v>
      </c>
    </row>
    <row r="4615" spans="1:2" x14ac:dyDescent="0.3">
      <c r="A4615" s="5">
        <v>41858</v>
      </c>
      <c r="B4615" s="10">
        <v>28957</v>
      </c>
    </row>
    <row r="4616" spans="1:2" x14ac:dyDescent="0.3">
      <c r="A4616" s="5">
        <v>41859</v>
      </c>
      <c r="B4616" s="10">
        <v>28962</v>
      </c>
    </row>
    <row r="4617" spans="1:2" x14ac:dyDescent="0.3">
      <c r="A4617" s="5">
        <v>41862</v>
      </c>
      <c r="B4617" s="10">
        <v>28961</v>
      </c>
    </row>
    <row r="4618" spans="1:2" x14ac:dyDescent="0.3">
      <c r="A4618" s="5">
        <v>41863</v>
      </c>
      <c r="B4618" s="10">
        <v>28962</v>
      </c>
    </row>
    <row r="4619" spans="1:2" x14ac:dyDescent="0.3">
      <c r="A4619" s="5">
        <v>41864</v>
      </c>
      <c r="B4619" s="10">
        <v>28970</v>
      </c>
    </row>
    <row r="4620" spans="1:2" x14ac:dyDescent="0.3">
      <c r="A4620" s="5">
        <v>41865</v>
      </c>
      <c r="B4620" s="10">
        <v>28971</v>
      </c>
    </row>
    <row r="4621" spans="1:2" x14ac:dyDescent="0.3">
      <c r="A4621" s="5">
        <v>41866</v>
      </c>
      <c r="B4621" s="10">
        <v>28953</v>
      </c>
    </row>
    <row r="4622" spans="1:2" x14ac:dyDescent="0.3">
      <c r="A4622" s="5">
        <v>41870</v>
      </c>
      <c r="B4622" s="10">
        <v>28952</v>
      </c>
    </row>
    <row r="4623" spans="1:2" x14ac:dyDescent="0.3">
      <c r="A4623" s="5">
        <v>41871</v>
      </c>
      <c r="B4623" s="10">
        <v>28923</v>
      </c>
    </row>
    <row r="4624" spans="1:2" x14ac:dyDescent="0.3">
      <c r="A4624" s="5">
        <v>41872</v>
      </c>
      <c r="B4624" s="10">
        <v>28859</v>
      </c>
    </row>
    <row r="4625" spans="1:2" x14ac:dyDescent="0.3">
      <c r="A4625" s="5">
        <v>41873</v>
      </c>
      <c r="B4625" s="10">
        <v>28781</v>
      </c>
    </row>
    <row r="4626" spans="1:2" x14ac:dyDescent="0.3">
      <c r="A4626" s="5">
        <v>41876</v>
      </c>
      <c r="B4626" s="10">
        <v>28675</v>
      </c>
    </row>
    <row r="4627" spans="1:2" x14ac:dyDescent="0.3">
      <c r="A4627" s="5">
        <v>41877</v>
      </c>
      <c r="B4627" s="10">
        <v>28587</v>
      </c>
    </row>
    <row r="4628" spans="1:2" x14ac:dyDescent="0.3">
      <c r="A4628" s="5">
        <v>41878</v>
      </c>
      <c r="B4628" s="10">
        <v>28606</v>
      </c>
    </row>
    <row r="4629" spans="1:2" x14ac:dyDescent="0.3">
      <c r="A4629" s="5">
        <v>41879</v>
      </c>
      <c r="B4629" s="10">
        <v>28635</v>
      </c>
    </row>
    <row r="4630" spans="1:2" x14ac:dyDescent="0.3">
      <c r="A4630" s="5">
        <v>41880</v>
      </c>
      <c r="B4630" s="10">
        <v>28620</v>
      </c>
    </row>
    <row r="4631" spans="1:2" x14ac:dyDescent="0.3">
      <c r="A4631" s="5">
        <v>41883</v>
      </c>
      <c r="B4631" s="10">
        <v>28614</v>
      </c>
    </row>
    <row r="4632" spans="1:2" x14ac:dyDescent="0.3">
      <c r="A4632" s="5">
        <v>41884</v>
      </c>
      <c r="B4632" s="10">
        <v>28551</v>
      </c>
    </row>
    <row r="4633" spans="1:2" x14ac:dyDescent="0.3">
      <c r="A4633" s="5">
        <v>41885</v>
      </c>
      <c r="B4633" s="10">
        <v>28507</v>
      </c>
    </row>
    <row r="4634" spans="1:2" x14ac:dyDescent="0.3">
      <c r="A4634" s="5">
        <v>41886</v>
      </c>
      <c r="B4634" s="10">
        <v>28471</v>
      </c>
    </row>
    <row r="4635" spans="1:2" x14ac:dyDescent="0.3">
      <c r="A4635" s="5">
        <v>41887</v>
      </c>
      <c r="B4635" s="10">
        <v>28385</v>
      </c>
    </row>
    <row r="4636" spans="1:2" x14ac:dyDescent="0.3">
      <c r="A4636" s="5">
        <v>41890</v>
      </c>
      <c r="B4636" s="10">
        <v>28337</v>
      </c>
    </row>
    <row r="4637" spans="1:2" x14ac:dyDescent="0.3">
      <c r="A4637" s="5">
        <v>41891</v>
      </c>
      <c r="B4637" s="10">
        <v>28432</v>
      </c>
    </row>
    <row r="4638" spans="1:2" x14ac:dyDescent="0.3">
      <c r="A4638" s="5">
        <v>41892</v>
      </c>
      <c r="B4638" s="10">
        <v>28414</v>
      </c>
    </row>
    <row r="4639" spans="1:2" x14ac:dyDescent="0.3">
      <c r="A4639" s="5">
        <v>41893</v>
      </c>
      <c r="B4639" s="10">
        <v>28412</v>
      </c>
    </row>
    <row r="4640" spans="1:2" x14ac:dyDescent="0.3">
      <c r="A4640" s="5">
        <v>41894</v>
      </c>
      <c r="B4640" s="10">
        <v>28394</v>
      </c>
    </row>
    <row r="4641" spans="1:2" x14ac:dyDescent="0.3">
      <c r="A4641" s="5">
        <v>41897</v>
      </c>
      <c r="B4641" s="10">
        <v>28228</v>
      </c>
    </row>
    <row r="4642" spans="1:2" x14ac:dyDescent="0.3">
      <c r="A4642" s="5">
        <v>41898</v>
      </c>
      <c r="B4642" s="10">
        <v>28283</v>
      </c>
    </row>
    <row r="4643" spans="1:2" x14ac:dyDescent="0.3">
      <c r="A4643" s="5">
        <v>41899</v>
      </c>
      <c r="B4643" s="10">
        <v>28272</v>
      </c>
    </row>
    <row r="4644" spans="1:2" x14ac:dyDescent="0.3">
      <c r="A4644" s="5">
        <v>41900</v>
      </c>
      <c r="B4644" s="10">
        <v>28275</v>
      </c>
    </row>
    <row r="4645" spans="1:2" x14ac:dyDescent="0.3">
      <c r="A4645" s="5">
        <v>41901</v>
      </c>
      <c r="B4645" s="10">
        <v>28224</v>
      </c>
    </row>
    <row r="4646" spans="1:2" x14ac:dyDescent="0.3">
      <c r="A4646" s="5">
        <v>41904</v>
      </c>
      <c r="B4646" s="10">
        <v>28221</v>
      </c>
    </row>
    <row r="4647" spans="1:2" x14ac:dyDescent="0.3">
      <c r="A4647" s="5">
        <v>41905</v>
      </c>
      <c r="B4647" s="10">
        <v>28222</v>
      </c>
    </row>
    <row r="4648" spans="1:2" x14ac:dyDescent="0.3">
      <c r="A4648" s="5">
        <v>41906</v>
      </c>
      <c r="B4648" s="10">
        <v>28215</v>
      </c>
    </row>
    <row r="4649" spans="1:2" x14ac:dyDescent="0.3">
      <c r="A4649" s="5">
        <v>41907</v>
      </c>
      <c r="B4649" s="10">
        <v>28183</v>
      </c>
    </row>
    <row r="4650" spans="1:2" x14ac:dyDescent="0.3">
      <c r="A4650" s="5">
        <v>41908</v>
      </c>
      <c r="B4650" s="10">
        <v>28008</v>
      </c>
    </row>
    <row r="4651" spans="1:2" x14ac:dyDescent="0.3">
      <c r="A4651" s="5">
        <v>41911</v>
      </c>
      <c r="B4651" s="10">
        <v>27881</v>
      </c>
    </row>
    <row r="4652" spans="1:2" x14ac:dyDescent="0.3">
      <c r="A4652" s="5">
        <v>41912</v>
      </c>
      <c r="B4652" s="10">
        <v>27866</v>
      </c>
    </row>
    <row r="4653" spans="1:2" x14ac:dyDescent="0.3">
      <c r="A4653" s="5">
        <v>41913</v>
      </c>
      <c r="B4653" s="10">
        <v>27921</v>
      </c>
    </row>
    <row r="4654" spans="1:2" x14ac:dyDescent="0.3">
      <c r="A4654" s="5">
        <v>41914</v>
      </c>
      <c r="B4654" s="10">
        <v>27948</v>
      </c>
    </row>
    <row r="4655" spans="1:2" x14ac:dyDescent="0.3">
      <c r="A4655" s="5">
        <v>41915</v>
      </c>
      <c r="B4655" s="10">
        <v>27785</v>
      </c>
    </row>
    <row r="4656" spans="1:2" x14ac:dyDescent="0.3">
      <c r="A4656" s="5">
        <v>41918</v>
      </c>
      <c r="B4656" s="10">
        <v>27762</v>
      </c>
    </row>
    <row r="4657" spans="1:2" x14ac:dyDescent="0.3">
      <c r="A4657" s="5">
        <v>41919</v>
      </c>
      <c r="B4657" s="10">
        <v>27734</v>
      </c>
    </row>
    <row r="4658" spans="1:2" x14ac:dyDescent="0.3">
      <c r="A4658" s="5">
        <v>41920</v>
      </c>
      <c r="B4658" s="10">
        <v>27676</v>
      </c>
    </row>
    <row r="4659" spans="1:2" x14ac:dyDescent="0.3">
      <c r="A4659" s="5">
        <v>41921</v>
      </c>
      <c r="B4659" s="10">
        <v>27620</v>
      </c>
    </row>
    <row r="4660" spans="1:2" x14ac:dyDescent="0.3">
      <c r="A4660" s="5">
        <v>41922</v>
      </c>
      <c r="B4660" s="10">
        <v>27591</v>
      </c>
    </row>
    <row r="4661" spans="1:2" x14ac:dyDescent="0.3">
      <c r="A4661" s="5">
        <v>41926</v>
      </c>
      <c r="B4661" s="10">
        <v>27589</v>
      </c>
    </row>
    <row r="4662" spans="1:2" x14ac:dyDescent="0.3">
      <c r="A4662" s="5">
        <v>41927</v>
      </c>
      <c r="B4662" s="10">
        <v>27437</v>
      </c>
    </row>
    <row r="4663" spans="1:2" x14ac:dyDescent="0.3">
      <c r="A4663" s="5">
        <v>41928</v>
      </c>
      <c r="B4663" s="10">
        <v>27446</v>
      </c>
    </row>
    <row r="4664" spans="1:2" x14ac:dyDescent="0.3">
      <c r="A4664" s="5">
        <v>41929</v>
      </c>
      <c r="B4664" s="10">
        <v>27299</v>
      </c>
    </row>
    <row r="4665" spans="1:2" x14ac:dyDescent="0.3">
      <c r="A4665" s="5">
        <v>41932</v>
      </c>
      <c r="B4665" s="10">
        <v>27282</v>
      </c>
    </row>
    <row r="4666" spans="1:2" x14ac:dyDescent="0.3">
      <c r="A4666" s="5">
        <v>41933</v>
      </c>
      <c r="B4666" s="10">
        <v>27359</v>
      </c>
    </row>
    <row r="4667" spans="1:2" x14ac:dyDescent="0.3">
      <c r="A4667" s="5">
        <v>41934</v>
      </c>
      <c r="B4667" s="10">
        <v>27377</v>
      </c>
    </row>
    <row r="4668" spans="1:2" x14ac:dyDescent="0.3">
      <c r="A4668" s="5">
        <v>41935</v>
      </c>
      <c r="B4668" s="10">
        <v>27402</v>
      </c>
    </row>
    <row r="4669" spans="1:2" x14ac:dyDescent="0.3">
      <c r="A4669" s="5">
        <v>41936</v>
      </c>
      <c r="B4669" s="10">
        <v>27412</v>
      </c>
    </row>
    <row r="4670" spans="1:2" x14ac:dyDescent="0.3">
      <c r="A4670" s="5">
        <v>41939</v>
      </c>
      <c r="B4670" s="10">
        <v>27338</v>
      </c>
    </row>
    <row r="4671" spans="1:2" x14ac:dyDescent="0.3">
      <c r="A4671" s="5">
        <v>41940</v>
      </c>
      <c r="B4671" s="10">
        <v>27356</v>
      </c>
    </row>
    <row r="4672" spans="1:2" x14ac:dyDescent="0.3">
      <c r="A4672" s="5">
        <v>41941</v>
      </c>
      <c r="B4672" s="10">
        <v>27346</v>
      </c>
    </row>
    <row r="4673" spans="1:2" x14ac:dyDescent="0.3">
      <c r="A4673" s="5">
        <v>41942</v>
      </c>
      <c r="B4673" s="10">
        <v>28109</v>
      </c>
    </row>
    <row r="4674" spans="1:2" x14ac:dyDescent="0.3">
      <c r="A4674" s="5">
        <v>41943</v>
      </c>
      <c r="B4674" s="10">
        <v>28111</v>
      </c>
    </row>
    <row r="4675" spans="1:2" x14ac:dyDescent="0.3">
      <c r="A4675" s="5">
        <v>41946</v>
      </c>
      <c r="B4675" s="10">
        <v>28077</v>
      </c>
    </row>
    <row r="4676" spans="1:2" x14ac:dyDescent="0.3">
      <c r="A4676" s="5">
        <v>41947</v>
      </c>
      <c r="B4676" s="10">
        <v>28068</v>
      </c>
    </row>
    <row r="4677" spans="1:2" x14ac:dyDescent="0.3">
      <c r="A4677" s="5">
        <v>41948</v>
      </c>
      <c r="B4677" s="10">
        <v>28075</v>
      </c>
    </row>
    <row r="4678" spans="1:2" x14ac:dyDescent="0.3">
      <c r="A4678" s="5">
        <v>41950</v>
      </c>
      <c r="B4678" s="10">
        <v>28108</v>
      </c>
    </row>
    <row r="4679" spans="1:2" x14ac:dyDescent="0.3">
      <c r="A4679" s="5">
        <v>41953</v>
      </c>
      <c r="B4679" s="10">
        <v>28170</v>
      </c>
    </row>
    <row r="4680" spans="1:2" x14ac:dyDescent="0.3">
      <c r="A4680" s="5">
        <v>41954</v>
      </c>
      <c r="B4680" s="10">
        <v>28172</v>
      </c>
    </row>
    <row r="4681" spans="1:2" x14ac:dyDescent="0.3">
      <c r="A4681" s="5">
        <v>41955</v>
      </c>
      <c r="B4681" s="10">
        <v>28176</v>
      </c>
    </row>
    <row r="4682" spans="1:2" x14ac:dyDescent="0.3">
      <c r="A4682" s="5">
        <v>41956</v>
      </c>
      <c r="B4682" s="10">
        <v>28207</v>
      </c>
    </row>
    <row r="4683" spans="1:2" x14ac:dyDescent="0.3">
      <c r="A4683" s="5">
        <v>41957</v>
      </c>
      <c r="B4683" s="10">
        <v>28288</v>
      </c>
    </row>
    <row r="4684" spans="1:2" x14ac:dyDescent="0.3">
      <c r="A4684" s="5">
        <v>41960</v>
      </c>
      <c r="B4684" s="10">
        <v>28793</v>
      </c>
    </row>
    <row r="4685" spans="1:2" x14ac:dyDescent="0.3">
      <c r="A4685" s="5">
        <v>41961</v>
      </c>
      <c r="B4685" s="10">
        <v>28816</v>
      </c>
    </row>
    <row r="4686" spans="1:2" x14ac:dyDescent="0.3">
      <c r="A4686" s="5">
        <v>41962</v>
      </c>
      <c r="B4686" s="10">
        <v>28817</v>
      </c>
    </row>
    <row r="4687" spans="1:2" x14ac:dyDescent="0.3">
      <c r="A4687" s="5">
        <v>41963</v>
      </c>
      <c r="B4687" s="10">
        <v>28816</v>
      </c>
    </row>
    <row r="4688" spans="1:2" x14ac:dyDescent="0.3">
      <c r="A4688" s="5">
        <v>41964</v>
      </c>
      <c r="B4688" s="10">
        <v>28812</v>
      </c>
    </row>
    <row r="4689" spans="1:2" x14ac:dyDescent="0.3">
      <c r="A4689" s="5">
        <v>41968</v>
      </c>
      <c r="B4689" s="10">
        <v>28889</v>
      </c>
    </row>
    <row r="4690" spans="1:2" x14ac:dyDescent="0.3">
      <c r="A4690" s="5">
        <v>41969</v>
      </c>
      <c r="B4690" s="10">
        <v>28895</v>
      </c>
    </row>
    <row r="4691" spans="1:2" x14ac:dyDescent="0.3">
      <c r="A4691" s="5">
        <v>41970</v>
      </c>
      <c r="B4691" s="10">
        <v>28872</v>
      </c>
    </row>
    <row r="4692" spans="1:2" x14ac:dyDescent="0.3">
      <c r="A4692" s="5">
        <v>41971</v>
      </c>
      <c r="B4692" s="10">
        <v>28911</v>
      </c>
    </row>
    <row r="4693" spans="1:2" x14ac:dyDescent="0.3">
      <c r="A4693" s="5">
        <v>41974</v>
      </c>
      <c r="B4693" s="10">
        <v>28941</v>
      </c>
    </row>
    <row r="4694" spans="1:2" x14ac:dyDescent="0.3">
      <c r="A4694" s="5">
        <v>41975</v>
      </c>
      <c r="B4694" s="10">
        <v>28897</v>
      </c>
    </row>
    <row r="4695" spans="1:2" x14ac:dyDescent="0.3">
      <c r="A4695" s="5">
        <v>41976</v>
      </c>
      <c r="B4695" s="10">
        <v>28909</v>
      </c>
    </row>
    <row r="4696" spans="1:2" x14ac:dyDescent="0.3">
      <c r="A4696" s="5">
        <v>41977</v>
      </c>
      <c r="B4696" s="10">
        <v>28905</v>
      </c>
    </row>
    <row r="4697" spans="1:2" x14ac:dyDescent="0.3">
      <c r="A4697" s="5">
        <v>41978</v>
      </c>
      <c r="B4697" s="10">
        <v>28931</v>
      </c>
    </row>
    <row r="4698" spans="1:2" x14ac:dyDescent="0.3">
      <c r="A4698" s="5">
        <v>41982</v>
      </c>
      <c r="B4698" s="10">
        <v>29189</v>
      </c>
    </row>
    <row r="4699" spans="1:2" x14ac:dyDescent="0.3">
      <c r="A4699" s="5">
        <v>41983</v>
      </c>
      <c r="B4699" s="10">
        <v>29212</v>
      </c>
    </row>
    <row r="4700" spans="1:2" x14ac:dyDescent="0.3">
      <c r="A4700" s="5">
        <v>41984</v>
      </c>
      <c r="B4700" s="10">
        <v>30185</v>
      </c>
    </row>
    <row r="4701" spans="1:2" x14ac:dyDescent="0.3">
      <c r="A4701" s="5">
        <v>41985</v>
      </c>
      <c r="B4701" s="10">
        <v>30269</v>
      </c>
    </row>
    <row r="4702" spans="1:2" x14ac:dyDescent="0.3">
      <c r="A4702" s="5">
        <v>41988</v>
      </c>
      <c r="B4702" s="10">
        <v>30271</v>
      </c>
    </row>
    <row r="4703" spans="1:2" x14ac:dyDescent="0.3">
      <c r="A4703" s="5">
        <v>41989</v>
      </c>
      <c r="B4703" s="10">
        <v>30442</v>
      </c>
    </row>
    <row r="4704" spans="1:2" x14ac:dyDescent="0.3">
      <c r="A4704" s="5">
        <v>41990</v>
      </c>
      <c r="B4704" s="10">
        <v>30715</v>
      </c>
    </row>
    <row r="4705" spans="1:2" x14ac:dyDescent="0.3">
      <c r="A4705" s="5">
        <v>41991</v>
      </c>
      <c r="B4705" s="10">
        <v>30823</v>
      </c>
    </row>
    <row r="4706" spans="1:2" x14ac:dyDescent="0.3">
      <c r="A4706" s="5">
        <v>41992</v>
      </c>
      <c r="B4706" s="10">
        <v>30855</v>
      </c>
    </row>
    <row r="4707" spans="1:2" x14ac:dyDescent="0.3">
      <c r="A4707" s="5">
        <v>41995</v>
      </c>
      <c r="B4707" s="10">
        <v>30930</v>
      </c>
    </row>
    <row r="4708" spans="1:2" x14ac:dyDescent="0.3">
      <c r="A4708" s="5">
        <v>41996</v>
      </c>
      <c r="B4708" s="10">
        <v>31076</v>
      </c>
    </row>
    <row r="4709" spans="1:2" x14ac:dyDescent="0.3">
      <c r="A4709" s="5">
        <v>41997</v>
      </c>
      <c r="B4709" s="10">
        <v>31116</v>
      </c>
    </row>
    <row r="4710" spans="1:2" x14ac:dyDescent="0.3">
      <c r="A4710" s="5">
        <v>42002</v>
      </c>
      <c r="B4710" s="10">
        <v>31159</v>
      </c>
    </row>
    <row r="4711" spans="1:2" x14ac:dyDescent="0.3">
      <c r="A4711" s="5">
        <v>42003</v>
      </c>
      <c r="B4711" s="10">
        <v>31407</v>
      </c>
    </row>
    <row r="4712" spans="1:2" x14ac:dyDescent="0.3">
      <c r="A4712" s="5">
        <v>42006</v>
      </c>
      <c r="B4712" s="10">
        <v>31337</v>
      </c>
    </row>
    <row r="4713" spans="1:2" x14ac:dyDescent="0.3">
      <c r="A4713" s="5">
        <v>42009</v>
      </c>
      <c r="B4713" s="10">
        <v>31313</v>
      </c>
    </row>
    <row r="4714" spans="1:2" x14ac:dyDescent="0.3">
      <c r="A4714" s="5">
        <v>42010</v>
      </c>
      <c r="B4714" s="10">
        <v>31315</v>
      </c>
    </row>
    <row r="4715" spans="1:2" x14ac:dyDescent="0.3">
      <c r="A4715" s="5">
        <v>42011</v>
      </c>
      <c r="B4715" s="10">
        <v>31248</v>
      </c>
    </row>
    <row r="4716" spans="1:2" x14ac:dyDescent="0.3">
      <c r="A4716" s="5">
        <v>42012</v>
      </c>
      <c r="B4716" s="10">
        <v>31073</v>
      </c>
    </row>
    <row r="4717" spans="1:2" x14ac:dyDescent="0.3">
      <c r="A4717" s="5">
        <v>42013</v>
      </c>
      <c r="B4717" s="10">
        <v>31076</v>
      </c>
    </row>
    <row r="4718" spans="1:2" x14ac:dyDescent="0.3">
      <c r="A4718" s="5">
        <v>42016</v>
      </c>
      <c r="B4718" s="10">
        <v>31103</v>
      </c>
    </row>
    <row r="4719" spans="1:2" x14ac:dyDescent="0.3">
      <c r="A4719" s="5">
        <v>42017</v>
      </c>
      <c r="B4719" s="10">
        <v>31281</v>
      </c>
    </row>
    <row r="4720" spans="1:2" x14ac:dyDescent="0.3">
      <c r="A4720" s="5">
        <v>42018</v>
      </c>
      <c r="B4720" s="10">
        <v>31298</v>
      </c>
    </row>
    <row r="4721" spans="1:2" x14ac:dyDescent="0.3">
      <c r="A4721" s="5">
        <v>42019</v>
      </c>
      <c r="B4721" s="10">
        <v>31318</v>
      </c>
    </row>
    <row r="4722" spans="1:2" x14ac:dyDescent="0.3">
      <c r="A4722" s="5">
        <v>42020</v>
      </c>
      <c r="B4722" s="10">
        <v>31311</v>
      </c>
    </row>
    <row r="4723" spans="1:2" x14ac:dyDescent="0.3">
      <c r="A4723" s="5">
        <v>42023</v>
      </c>
      <c r="B4723" s="10">
        <v>31315</v>
      </c>
    </row>
    <row r="4724" spans="1:2" x14ac:dyDescent="0.3">
      <c r="A4724" s="5">
        <v>42024</v>
      </c>
      <c r="B4724" s="10">
        <v>31276</v>
      </c>
    </row>
    <row r="4725" spans="1:2" x14ac:dyDescent="0.3">
      <c r="A4725" s="5">
        <v>42025</v>
      </c>
      <c r="B4725" s="10">
        <v>31262</v>
      </c>
    </row>
    <row r="4726" spans="1:2" x14ac:dyDescent="0.3">
      <c r="A4726" s="5">
        <v>42026</v>
      </c>
      <c r="B4726" s="10">
        <v>31265</v>
      </c>
    </row>
    <row r="4727" spans="1:2" x14ac:dyDescent="0.3">
      <c r="A4727" s="5">
        <v>42027</v>
      </c>
      <c r="B4727" s="10">
        <v>31229</v>
      </c>
    </row>
    <row r="4728" spans="1:2" x14ac:dyDescent="0.3">
      <c r="A4728" s="5">
        <v>42030</v>
      </c>
      <c r="B4728" s="10">
        <v>31287</v>
      </c>
    </row>
    <row r="4729" spans="1:2" x14ac:dyDescent="0.3">
      <c r="A4729" s="5">
        <v>42031</v>
      </c>
      <c r="B4729" s="10">
        <v>31300</v>
      </c>
    </row>
    <row r="4730" spans="1:2" x14ac:dyDescent="0.3">
      <c r="A4730" s="5">
        <v>42032</v>
      </c>
      <c r="B4730" s="10">
        <v>31304</v>
      </c>
    </row>
    <row r="4731" spans="1:2" x14ac:dyDescent="0.3">
      <c r="A4731" s="5">
        <v>42033</v>
      </c>
      <c r="B4731" s="10">
        <v>31350</v>
      </c>
    </row>
    <row r="4732" spans="1:2" x14ac:dyDescent="0.3">
      <c r="A4732" s="5">
        <v>42034</v>
      </c>
      <c r="B4732" s="10">
        <v>31452</v>
      </c>
    </row>
    <row r="4733" spans="1:2" x14ac:dyDescent="0.3">
      <c r="A4733" s="5">
        <v>42037</v>
      </c>
      <c r="B4733" s="10">
        <v>31403</v>
      </c>
    </row>
    <row r="4734" spans="1:2" x14ac:dyDescent="0.3">
      <c r="A4734" s="5">
        <v>42038</v>
      </c>
      <c r="B4734" s="10">
        <v>31240</v>
      </c>
    </row>
    <row r="4735" spans="1:2" x14ac:dyDescent="0.3">
      <c r="A4735" s="5">
        <v>42039</v>
      </c>
      <c r="B4735" s="10">
        <v>31239</v>
      </c>
    </row>
    <row r="4736" spans="1:2" x14ac:dyDescent="0.3">
      <c r="A4736" s="5">
        <v>42040</v>
      </c>
      <c r="B4736" s="10">
        <v>31269</v>
      </c>
    </row>
    <row r="4737" spans="1:2" x14ac:dyDescent="0.3">
      <c r="A4737" s="5">
        <v>42041</v>
      </c>
      <c r="B4737" s="10">
        <v>31284</v>
      </c>
    </row>
    <row r="4738" spans="1:2" x14ac:dyDescent="0.3">
      <c r="A4738" s="5">
        <v>42044</v>
      </c>
      <c r="B4738" s="10">
        <v>31291</v>
      </c>
    </row>
    <row r="4739" spans="1:2" x14ac:dyDescent="0.3">
      <c r="A4739" s="5">
        <v>42045</v>
      </c>
      <c r="B4739" s="10">
        <v>31315</v>
      </c>
    </row>
    <row r="4740" spans="1:2" x14ac:dyDescent="0.3">
      <c r="A4740" s="5">
        <v>42046</v>
      </c>
      <c r="B4740" s="10">
        <v>31316</v>
      </c>
    </row>
    <row r="4741" spans="1:2" x14ac:dyDescent="0.3">
      <c r="A4741" s="5">
        <v>42047</v>
      </c>
      <c r="B4741" s="10">
        <v>31353</v>
      </c>
    </row>
    <row r="4742" spans="1:2" x14ac:dyDescent="0.3">
      <c r="A4742" s="5">
        <v>42048</v>
      </c>
      <c r="B4742" s="10">
        <v>31354</v>
      </c>
    </row>
    <row r="4743" spans="1:2" x14ac:dyDescent="0.3">
      <c r="A4743" s="5">
        <v>42053</v>
      </c>
      <c r="B4743" s="10">
        <v>31333</v>
      </c>
    </row>
    <row r="4744" spans="1:2" x14ac:dyDescent="0.3">
      <c r="A4744" s="5">
        <v>42054</v>
      </c>
      <c r="B4744" s="10">
        <v>31344</v>
      </c>
    </row>
    <row r="4745" spans="1:2" x14ac:dyDescent="0.3">
      <c r="A4745" s="5">
        <v>42055</v>
      </c>
      <c r="B4745" s="10">
        <v>31360</v>
      </c>
    </row>
    <row r="4746" spans="1:2" x14ac:dyDescent="0.3">
      <c r="A4746" s="5">
        <v>42058</v>
      </c>
      <c r="B4746" s="10">
        <v>31381</v>
      </c>
    </row>
    <row r="4747" spans="1:2" x14ac:dyDescent="0.3">
      <c r="A4747" s="5">
        <v>42059</v>
      </c>
      <c r="B4747" s="10">
        <v>31403</v>
      </c>
    </row>
    <row r="4748" spans="1:2" x14ac:dyDescent="0.3">
      <c r="A4748" s="5">
        <v>42060</v>
      </c>
      <c r="B4748" s="10">
        <v>31406</v>
      </c>
    </row>
    <row r="4749" spans="1:2" x14ac:dyDescent="0.3">
      <c r="A4749" s="5">
        <v>42061</v>
      </c>
      <c r="B4749" s="10">
        <v>31412</v>
      </c>
    </row>
    <row r="4750" spans="1:2" x14ac:dyDescent="0.3">
      <c r="A4750" s="5">
        <v>42062</v>
      </c>
      <c r="B4750" s="10">
        <v>31470</v>
      </c>
    </row>
    <row r="4751" spans="1:2" x14ac:dyDescent="0.3">
      <c r="A4751" s="5">
        <v>42065</v>
      </c>
      <c r="B4751" s="10">
        <v>31467</v>
      </c>
    </row>
    <row r="4752" spans="1:2" x14ac:dyDescent="0.3">
      <c r="A4752" s="5">
        <v>42066</v>
      </c>
      <c r="B4752" s="10">
        <v>31458</v>
      </c>
    </row>
    <row r="4753" spans="1:2" x14ac:dyDescent="0.3">
      <c r="A4753" s="5">
        <v>42067</v>
      </c>
      <c r="B4753" s="10">
        <v>31449</v>
      </c>
    </row>
    <row r="4754" spans="1:2" x14ac:dyDescent="0.3">
      <c r="A4754" s="5">
        <v>42068</v>
      </c>
      <c r="B4754" s="10">
        <v>31440</v>
      </c>
    </row>
    <row r="4755" spans="1:2" x14ac:dyDescent="0.3">
      <c r="A4755" s="5">
        <v>42069</v>
      </c>
      <c r="B4755" s="10">
        <v>31405</v>
      </c>
    </row>
    <row r="4756" spans="1:2" x14ac:dyDescent="0.3">
      <c r="A4756" s="5">
        <v>42072</v>
      </c>
      <c r="B4756" s="10">
        <v>31395</v>
      </c>
    </row>
    <row r="4757" spans="1:2" x14ac:dyDescent="0.3">
      <c r="A4757" s="5">
        <v>42073</v>
      </c>
      <c r="B4757" s="10">
        <v>31393</v>
      </c>
    </row>
    <row r="4758" spans="1:2" x14ac:dyDescent="0.3">
      <c r="A4758" s="5">
        <v>42074</v>
      </c>
      <c r="B4758" s="10">
        <v>31368</v>
      </c>
    </row>
    <row r="4759" spans="1:2" x14ac:dyDescent="0.3">
      <c r="A4759" s="5">
        <v>42075</v>
      </c>
      <c r="B4759" s="10">
        <v>31380</v>
      </c>
    </row>
    <row r="4760" spans="1:2" x14ac:dyDescent="0.3">
      <c r="A4760" s="5">
        <v>42076</v>
      </c>
      <c r="B4760" s="10">
        <v>31391</v>
      </c>
    </row>
    <row r="4761" spans="1:2" x14ac:dyDescent="0.3">
      <c r="A4761" s="5">
        <v>42079</v>
      </c>
      <c r="B4761" s="10">
        <v>31428</v>
      </c>
    </row>
    <row r="4762" spans="1:2" x14ac:dyDescent="0.3">
      <c r="A4762" s="5">
        <v>42080</v>
      </c>
      <c r="B4762" s="10">
        <v>31419</v>
      </c>
    </row>
    <row r="4763" spans="1:2" x14ac:dyDescent="0.3">
      <c r="A4763" s="5">
        <v>42081</v>
      </c>
      <c r="B4763" s="10">
        <v>31423</v>
      </c>
    </row>
    <row r="4764" spans="1:2" x14ac:dyDescent="0.3">
      <c r="A4764" s="5">
        <v>42082</v>
      </c>
      <c r="B4764" s="10">
        <v>31431</v>
      </c>
    </row>
    <row r="4765" spans="1:2" x14ac:dyDescent="0.3">
      <c r="A4765" s="5">
        <v>42083</v>
      </c>
      <c r="B4765" s="10">
        <v>31441</v>
      </c>
    </row>
    <row r="4766" spans="1:2" x14ac:dyDescent="0.3">
      <c r="A4766" s="5">
        <v>42088</v>
      </c>
      <c r="B4766" s="10">
        <v>31457</v>
      </c>
    </row>
    <row r="4767" spans="1:2" x14ac:dyDescent="0.3">
      <c r="A4767" s="5">
        <v>42089</v>
      </c>
      <c r="B4767" s="10">
        <v>31465</v>
      </c>
    </row>
    <row r="4768" spans="1:2" x14ac:dyDescent="0.3">
      <c r="A4768" s="5">
        <v>42090</v>
      </c>
      <c r="B4768" s="10">
        <v>31464</v>
      </c>
    </row>
    <row r="4769" spans="1:2" x14ac:dyDescent="0.3">
      <c r="A4769" s="5">
        <v>42093</v>
      </c>
      <c r="B4769" s="10">
        <v>31460</v>
      </c>
    </row>
    <row r="4770" spans="1:2" x14ac:dyDescent="0.3">
      <c r="A4770" s="5">
        <v>42094</v>
      </c>
      <c r="B4770" s="10">
        <v>31490</v>
      </c>
    </row>
    <row r="4771" spans="1:2" x14ac:dyDescent="0.3">
      <c r="A4771" s="5">
        <v>42095</v>
      </c>
      <c r="B4771" s="10">
        <v>31505</v>
      </c>
    </row>
    <row r="4772" spans="1:2" x14ac:dyDescent="0.3">
      <c r="A4772" s="5">
        <v>42100</v>
      </c>
      <c r="B4772" s="10">
        <v>31510</v>
      </c>
    </row>
    <row r="4773" spans="1:2" x14ac:dyDescent="0.3">
      <c r="A4773" s="5">
        <v>42101</v>
      </c>
      <c r="B4773" s="10">
        <v>31513</v>
      </c>
    </row>
    <row r="4774" spans="1:2" x14ac:dyDescent="0.3">
      <c r="A4774" s="5">
        <v>42102</v>
      </c>
      <c r="B4774" s="10">
        <v>31516</v>
      </c>
    </row>
    <row r="4775" spans="1:2" x14ac:dyDescent="0.3">
      <c r="A4775" s="5">
        <v>42103</v>
      </c>
      <c r="B4775" s="10">
        <v>31516</v>
      </c>
    </row>
    <row r="4776" spans="1:2" x14ac:dyDescent="0.3">
      <c r="A4776" s="5">
        <v>42104</v>
      </c>
      <c r="B4776" s="10">
        <v>31524</v>
      </c>
    </row>
    <row r="4777" spans="1:2" x14ac:dyDescent="0.3">
      <c r="A4777" s="5">
        <v>42107</v>
      </c>
      <c r="B4777" s="10">
        <v>31524</v>
      </c>
    </row>
    <row r="4778" spans="1:2" x14ac:dyDescent="0.3">
      <c r="A4778" s="5">
        <v>42108</v>
      </c>
      <c r="B4778" s="10">
        <v>31523</v>
      </c>
    </row>
    <row r="4779" spans="1:2" x14ac:dyDescent="0.3">
      <c r="A4779" s="5">
        <v>42109</v>
      </c>
      <c r="B4779" s="10">
        <v>31507</v>
      </c>
    </row>
    <row r="4780" spans="1:2" x14ac:dyDescent="0.3">
      <c r="A4780" s="5">
        <v>42110</v>
      </c>
      <c r="B4780" s="10">
        <v>31515</v>
      </c>
    </row>
    <row r="4781" spans="1:2" x14ac:dyDescent="0.3">
      <c r="A4781" s="5">
        <v>42111</v>
      </c>
      <c r="B4781" s="10">
        <v>31419</v>
      </c>
    </row>
    <row r="4782" spans="1:2" x14ac:dyDescent="0.3">
      <c r="A4782" s="5">
        <v>42114</v>
      </c>
      <c r="B4782" s="10">
        <v>31424</v>
      </c>
    </row>
    <row r="4783" spans="1:2" x14ac:dyDescent="0.3">
      <c r="A4783" s="5">
        <v>42115</v>
      </c>
      <c r="B4783" s="10">
        <v>31440</v>
      </c>
    </row>
    <row r="4784" spans="1:2" x14ac:dyDescent="0.3">
      <c r="A4784" s="5">
        <v>42116</v>
      </c>
      <c r="B4784" s="10">
        <v>31438</v>
      </c>
    </row>
    <row r="4785" spans="1:2" x14ac:dyDescent="0.3">
      <c r="A4785" s="5">
        <v>42117</v>
      </c>
      <c r="B4785" s="10">
        <v>32688</v>
      </c>
    </row>
    <row r="4786" spans="1:2" x14ac:dyDescent="0.3">
      <c r="A4786" s="5">
        <v>42118</v>
      </c>
      <c r="B4786" s="10">
        <v>32687</v>
      </c>
    </row>
    <row r="4787" spans="1:2" x14ac:dyDescent="0.3">
      <c r="A4787" s="5">
        <v>42121</v>
      </c>
      <c r="B4787" s="10">
        <v>32687</v>
      </c>
    </row>
    <row r="4788" spans="1:2" x14ac:dyDescent="0.3">
      <c r="A4788" s="5">
        <v>42122</v>
      </c>
      <c r="B4788" s="10">
        <v>33221</v>
      </c>
    </row>
    <row r="4789" spans="1:2" x14ac:dyDescent="0.3">
      <c r="A4789" s="5">
        <v>42123</v>
      </c>
      <c r="B4789" s="10">
        <v>33910</v>
      </c>
    </row>
    <row r="4790" spans="1:2" x14ac:dyDescent="0.3">
      <c r="A4790" s="5">
        <v>42124</v>
      </c>
      <c r="B4790" s="10">
        <v>33909</v>
      </c>
    </row>
    <row r="4791" spans="1:2" x14ac:dyDescent="0.3">
      <c r="A4791" s="5">
        <v>42128</v>
      </c>
      <c r="B4791" s="10">
        <v>33910</v>
      </c>
    </row>
    <row r="4792" spans="1:2" x14ac:dyDescent="0.3">
      <c r="A4792" s="5">
        <v>42129</v>
      </c>
      <c r="B4792" s="10">
        <v>33901</v>
      </c>
    </row>
    <row r="4793" spans="1:2" x14ac:dyDescent="0.3">
      <c r="A4793" s="5">
        <v>42130</v>
      </c>
      <c r="B4793" s="10">
        <v>33905</v>
      </c>
    </row>
    <row r="4794" spans="1:2" x14ac:dyDescent="0.3">
      <c r="A4794" s="5">
        <v>42131</v>
      </c>
      <c r="B4794" s="10">
        <v>33874</v>
      </c>
    </row>
    <row r="4795" spans="1:2" x14ac:dyDescent="0.3">
      <c r="A4795" s="5">
        <v>42132</v>
      </c>
      <c r="B4795" s="10">
        <v>33852</v>
      </c>
    </row>
    <row r="4796" spans="1:2" x14ac:dyDescent="0.3">
      <c r="A4796" s="5">
        <v>42135</v>
      </c>
      <c r="B4796" s="10">
        <v>33856</v>
      </c>
    </row>
    <row r="4797" spans="1:2" x14ac:dyDescent="0.3">
      <c r="A4797" s="5">
        <v>42136</v>
      </c>
      <c r="B4797" s="10">
        <v>33866</v>
      </c>
    </row>
    <row r="4798" spans="1:2" x14ac:dyDescent="0.3">
      <c r="A4798" s="5">
        <v>42137</v>
      </c>
      <c r="B4798" s="10">
        <v>33860</v>
      </c>
    </row>
    <row r="4799" spans="1:2" x14ac:dyDescent="0.3">
      <c r="A4799" s="5">
        <v>42138</v>
      </c>
      <c r="B4799" s="10">
        <v>33861</v>
      </c>
    </row>
    <row r="4800" spans="1:2" x14ac:dyDescent="0.3">
      <c r="A4800" s="5">
        <v>42139</v>
      </c>
      <c r="B4800" s="10">
        <v>33866</v>
      </c>
    </row>
    <row r="4801" spans="1:2" x14ac:dyDescent="0.3">
      <c r="A4801" s="5">
        <v>42142</v>
      </c>
      <c r="B4801" s="10">
        <v>33871</v>
      </c>
    </row>
    <row r="4802" spans="1:2" x14ac:dyDescent="0.3">
      <c r="A4802" s="5">
        <v>42143</v>
      </c>
      <c r="B4802" s="10">
        <v>33868</v>
      </c>
    </row>
    <row r="4803" spans="1:2" x14ac:dyDescent="0.3">
      <c r="A4803" s="5">
        <v>42144</v>
      </c>
      <c r="B4803" s="10">
        <v>33873</v>
      </c>
    </row>
    <row r="4804" spans="1:2" x14ac:dyDescent="0.3">
      <c r="A4804" s="5">
        <v>42145</v>
      </c>
      <c r="B4804" s="10">
        <v>33875</v>
      </c>
    </row>
    <row r="4805" spans="1:2" x14ac:dyDescent="0.3">
      <c r="A4805" s="5">
        <v>42146</v>
      </c>
      <c r="B4805" s="10">
        <v>33881</v>
      </c>
    </row>
    <row r="4806" spans="1:2" x14ac:dyDescent="0.3">
      <c r="A4806" s="5">
        <v>42150</v>
      </c>
      <c r="B4806" s="10">
        <v>33818</v>
      </c>
    </row>
    <row r="4807" spans="1:2" x14ac:dyDescent="0.3">
      <c r="A4807" s="5">
        <v>42151</v>
      </c>
      <c r="B4807" s="10">
        <v>33817</v>
      </c>
    </row>
    <row r="4808" spans="1:2" x14ac:dyDescent="0.3">
      <c r="A4808" s="5">
        <v>42152</v>
      </c>
      <c r="B4808" s="10">
        <v>33272</v>
      </c>
    </row>
    <row r="4809" spans="1:2" x14ac:dyDescent="0.3">
      <c r="A4809" s="5">
        <v>42153</v>
      </c>
      <c r="B4809" s="10">
        <v>33283</v>
      </c>
    </row>
    <row r="4810" spans="1:2" x14ac:dyDescent="0.3">
      <c r="A4810" s="5">
        <v>42156</v>
      </c>
      <c r="B4810" s="10">
        <v>33283</v>
      </c>
    </row>
    <row r="4811" spans="1:2" x14ac:dyDescent="0.3">
      <c r="A4811" s="5">
        <v>42157</v>
      </c>
      <c r="B4811" s="10">
        <v>33288</v>
      </c>
    </row>
    <row r="4812" spans="1:2" x14ac:dyDescent="0.3">
      <c r="A4812" s="5">
        <v>42158</v>
      </c>
      <c r="B4812" s="10">
        <v>33280</v>
      </c>
    </row>
    <row r="4813" spans="1:2" x14ac:dyDescent="0.3">
      <c r="A4813" s="5">
        <v>42159</v>
      </c>
      <c r="B4813" s="10">
        <v>33306</v>
      </c>
    </row>
    <row r="4814" spans="1:2" x14ac:dyDescent="0.3">
      <c r="A4814" s="5">
        <v>42160</v>
      </c>
      <c r="B4814" s="10">
        <v>33285</v>
      </c>
    </row>
    <row r="4815" spans="1:2" x14ac:dyDescent="0.3">
      <c r="A4815" s="5">
        <v>42163</v>
      </c>
      <c r="B4815" s="10">
        <v>33288</v>
      </c>
    </row>
    <row r="4816" spans="1:2" x14ac:dyDescent="0.3">
      <c r="A4816" s="5">
        <v>42164</v>
      </c>
      <c r="B4816" s="10">
        <v>33795</v>
      </c>
    </row>
    <row r="4817" spans="1:2" x14ac:dyDescent="0.3">
      <c r="A4817" s="5">
        <v>42165</v>
      </c>
      <c r="B4817" s="10">
        <v>33807</v>
      </c>
    </row>
    <row r="4818" spans="1:2" x14ac:dyDescent="0.3">
      <c r="A4818" s="5">
        <v>42166</v>
      </c>
      <c r="B4818" s="10">
        <v>33813</v>
      </c>
    </row>
    <row r="4819" spans="1:2" x14ac:dyDescent="0.3">
      <c r="A4819" s="5">
        <v>42167</v>
      </c>
      <c r="B4819" s="10">
        <v>33813</v>
      </c>
    </row>
    <row r="4820" spans="1:2" x14ac:dyDescent="0.3">
      <c r="A4820" s="5">
        <v>42170</v>
      </c>
      <c r="B4820" s="10">
        <v>33817</v>
      </c>
    </row>
    <row r="4821" spans="1:2" x14ac:dyDescent="0.3">
      <c r="A4821" s="5">
        <v>42171</v>
      </c>
      <c r="B4821" s="10">
        <v>33816</v>
      </c>
    </row>
    <row r="4822" spans="1:2" x14ac:dyDescent="0.3">
      <c r="A4822" s="5">
        <v>42172</v>
      </c>
      <c r="B4822" s="10">
        <v>33818</v>
      </c>
    </row>
    <row r="4823" spans="1:2" x14ac:dyDescent="0.3">
      <c r="A4823" s="5">
        <v>42173</v>
      </c>
      <c r="B4823" s="10">
        <v>33824</v>
      </c>
    </row>
    <row r="4824" spans="1:2" x14ac:dyDescent="0.3">
      <c r="A4824" s="5">
        <v>42174</v>
      </c>
      <c r="B4824" s="10">
        <v>33829</v>
      </c>
    </row>
    <row r="4825" spans="1:2" x14ac:dyDescent="0.3">
      <c r="A4825" s="5">
        <v>42177</v>
      </c>
      <c r="B4825" s="10">
        <v>33821</v>
      </c>
    </row>
    <row r="4826" spans="1:2" x14ac:dyDescent="0.3">
      <c r="A4826" s="5">
        <v>42178</v>
      </c>
      <c r="B4826" s="10">
        <v>33816</v>
      </c>
    </row>
    <row r="4827" spans="1:2" x14ac:dyDescent="0.3">
      <c r="A4827" s="5">
        <v>42179</v>
      </c>
      <c r="B4827" s="10">
        <v>33821</v>
      </c>
    </row>
    <row r="4828" spans="1:2" x14ac:dyDescent="0.3">
      <c r="A4828" s="5">
        <v>42180</v>
      </c>
      <c r="B4828" s="10">
        <v>33835</v>
      </c>
    </row>
    <row r="4829" spans="1:2" x14ac:dyDescent="0.3">
      <c r="A4829" s="5">
        <v>42181</v>
      </c>
      <c r="B4829" s="10">
        <v>33833</v>
      </c>
    </row>
    <row r="4830" spans="1:2" x14ac:dyDescent="0.3">
      <c r="A4830" s="5">
        <v>42184</v>
      </c>
      <c r="B4830" s="10">
        <v>33842</v>
      </c>
    </row>
    <row r="4831" spans="1:2" x14ac:dyDescent="0.3">
      <c r="A4831" s="5">
        <v>42185</v>
      </c>
      <c r="B4831" s="10">
        <v>33851</v>
      </c>
    </row>
    <row r="4832" spans="1:2" x14ac:dyDescent="0.3">
      <c r="A4832" s="5">
        <v>42186</v>
      </c>
      <c r="B4832" s="10">
        <v>33847</v>
      </c>
    </row>
    <row r="4833" spans="1:2" x14ac:dyDescent="0.3">
      <c r="A4833" s="5">
        <v>42187</v>
      </c>
      <c r="B4833" s="10">
        <v>33850</v>
      </c>
    </row>
    <row r="4834" spans="1:2" x14ac:dyDescent="0.3">
      <c r="A4834" s="5">
        <v>42188</v>
      </c>
      <c r="B4834" s="10">
        <v>33849</v>
      </c>
    </row>
    <row r="4835" spans="1:2" x14ac:dyDescent="0.3">
      <c r="A4835" s="5">
        <v>42191</v>
      </c>
      <c r="B4835" s="10">
        <v>33834</v>
      </c>
    </row>
    <row r="4836" spans="1:2" x14ac:dyDescent="0.3">
      <c r="A4836" s="5">
        <v>42192</v>
      </c>
      <c r="B4836" s="10">
        <v>33829</v>
      </c>
    </row>
    <row r="4837" spans="1:2" x14ac:dyDescent="0.3">
      <c r="A4837" s="5">
        <v>42193</v>
      </c>
      <c r="B4837" s="10">
        <v>33829</v>
      </c>
    </row>
    <row r="4838" spans="1:2" x14ac:dyDescent="0.3">
      <c r="A4838" s="5">
        <v>42195</v>
      </c>
      <c r="B4838" s="10">
        <v>33834</v>
      </c>
    </row>
    <row r="4839" spans="1:2" x14ac:dyDescent="0.3">
      <c r="A4839" s="5">
        <v>42198</v>
      </c>
      <c r="B4839" s="10">
        <v>33841</v>
      </c>
    </row>
    <row r="4840" spans="1:2" x14ac:dyDescent="0.3">
      <c r="A4840" s="5">
        <v>42199</v>
      </c>
      <c r="B4840" s="10">
        <v>33837</v>
      </c>
    </row>
    <row r="4841" spans="1:2" x14ac:dyDescent="0.3">
      <c r="A4841" s="5">
        <v>42200</v>
      </c>
      <c r="B4841" s="10">
        <v>33843</v>
      </c>
    </row>
    <row r="4842" spans="1:2" x14ac:dyDescent="0.3">
      <c r="A4842" s="5">
        <v>42201</v>
      </c>
      <c r="B4842" s="10">
        <v>33843</v>
      </c>
    </row>
    <row r="4843" spans="1:2" x14ac:dyDescent="0.3">
      <c r="A4843" s="5">
        <v>42202</v>
      </c>
      <c r="B4843" s="10">
        <v>33853</v>
      </c>
    </row>
    <row r="4844" spans="1:2" x14ac:dyDescent="0.3">
      <c r="A4844" s="5">
        <v>42205</v>
      </c>
      <c r="B4844" s="10">
        <v>33845</v>
      </c>
    </row>
    <row r="4845" spans="1:2" x14ac:dyDescent="0.3">
      <c r="A4845" s="5">
        <v>42206</v>
      </c>
      <c r="B4845" s="10">
        <v>33861</v>
      </c>
    </row>
    <row r="4846" spans="1:2" x14ac:dyDescent="0.3">
      <c r="A4846" s="5">
        <v>42207</v>
      </c>
      <c r="B4846" s="10">
        <v>33928</v>
      </c>
    </row>
    <row r="4847" spans="1:2" x14ac:dyDescent="0.3">
      <c r="A4847" s="5">
        <v>42208</v>
      </c>
      <c r="B4847" s="10">
        <v>33929</v>
      </c>
    </row>
    <row r="4848" spans="1:2" x14ac:dyDescent="0.3">
      <c r="A4848" s="5">
        <v>42209</v>
      </c>
      <c r="B4848" s="10">
        <v>33933</v>
      </c>
    </row>
    <row r="4849" spans="1:2" x14ac:dyDescent="0.3">
      <c r="A4849" s="5">
        <v>42212</v>
      </c>
      <c r="B4849" s="10">
        <v>33931</v>
      </c>
    </row>
    <row r="4850" spans="1:2" x14ac:dyDescent="0.3">
      <c r="A4850" s="5">
        <v>42213</v>
      </c>
      <c r="B4850" s="10">
        <v>33933</v>
      </c>
    </row>
    <row r="4851" spans="1:2" x14ac:dyDescent="0.3">
      <c r="A4851" s="5">
        <v>42214</v>
      </c>
      <c r="B4851" s="10">
        <v>33931</v>
      </c>
    </row>
    <row r="4852" spans="1:2" x14ac:dyDescent="0.3">
      <c r="A4852" s="5">
        <v>42215</v>
      </c>
      <c r="B4852" s="10">
        <v>33927</v>
      </c>
    </row>
    <row r="4853" spans="1:2" x14ac:dyDescent="0.3">
      <c r="A4853" s="5">
        <v>42216</v>
      </c>
      <c r="B4853" s="10">
        <v>33943</v>
      </c>
    </row>
    <row r="4854" spans="1:2" x14ac:dyDescent="0.3">
      <c r="A4854" s="5">
        <v>42219</v>
      </c>
      <c r="B4854" s="10">
        <v>33915</v>
      </c>
    </row>
    <row r="4855" spans="1:2" x14ac:dyDescent="0.3">
      <c r="A4855" s="5">
        <v>42220</v>
      </c>
      <c r="B4855" s="10">
        <v>33888</v>
      </c>
    </row>
    <row r="4856" spans="1:2" x14ac:dyDescent="0.3">
      <c r="A4856" s="5">
        <v>42221</v>
      </c>
      <c r="B4856" s="10">
        <v>33849</v>
      </c>
    </row>
    <row r="4857" spans="1:2" x14ac:dyDescent="0.3">
      <c r="A4857" s="5">
        <v>42222</v>
      </c>
      <c r="B4857" s="10">
        <v>33837</v>
      </c>
    </row>
    <row r="4858" spans="1:2" x14ac:dyDescent="0.3">
      <c r="A4858" s="5">
        <v>42223</v>
      </c>
      <c r="B4858" s="10">
        <v>33837</v>
      </c>
    </row>
    <row r="4859" spans="1:2" x14ac:dyDescent="0.3">
      <c r="A4859" s="5">
        <v>42226</v>
      </c>
      <c r="B4859" s="10">
        <v>33842</v>
      </c>
    </row>
    <row r="4860" spans="1:2" x14ac:dyDescent="0.3">
      <c r="A4860" s="5">
        <v>42227</v>
      </c>
      <c r="B4860" s="10">
        <v>33712</v>
      </c>
    </row>
    <row r="4861" spans="1:2" x14ac:dyDescent="0.3">
      <c r="A4861" s="5">
        <v>42228</v>
      </c>
      <c r="B4861" s="10">
        <v>33692</v>
      </c>
    </row>
    <row r="4862" spans="1:2" x14ac:dyDescent="0.3">
      <c r="A4862" s="5">
        <v>42229</v>
      </c>
      <c r="B4862" s="10">
        <v>33632</v>
      </c>
    </row>
    <row r="4863" spans="1:2" x14ac:dyDescent="0.3">
      <c r="A4863" s="5">
        <v>42230</v>
      </c>
      <c r="B4863" s="10">
        <v>33653</v>
      </c>
    </row>
    <row r="4864" spans="1:2" x14ac:dyDescent="0.3">
      <c r="A4864" s="5">
        <v>42234</v>
      </c>
      <c r="B4864" s="10">
        <v>33663</v>
      </c>
    </row>
    <row r="4865" spans="1:2" x14ac:dyDescent="0.3">
      <c r="A4865" s="5">
        <v>42235</v>
      </c>
      <c r="B4865" s="10">
        <v>33664</v>
      </c>
    </row>
    <row r="4866" spans="1:2" x14ac:dyDescent="0.3">
      <c r="A4866" s="5">
        <v>42236</v>
      </c>
      <c r="B4866" s="10">
        <v>33674</v>
      </c>
    </row>
    <row r="4867" spans="1:2" x14ac:dyDescent="0.3">
      <c r="A4867" s="5">
        <v>42237</v>
      </c>
      <c r="B4867" s="10">
        <v>33684</v>
      </c>
    </row>
    <row r="4868" spans="1:2" x14ac:dyDescent="0.3">
      <c r="A4868" s="5">
        <v>42240</v>
      </c>
      <c r="B4868" s="10">
        <v>33674</v>
      </c>
    </row>
    <row r="4869" spans="1:2" x14ac:dyDescent="0.3">
      <c r="A4869" s="5">
        <v>42241</v>
      </c>
      <c r="B4869" s="10">
        <v>33634</v>
      </c>
    </row>
    <row r="4870" spans="1:2" x14ac:dyDescent="0.3">
      <c r="A4870" s="5">
        <v>42242</v>
      </c>
      <c r="B4870" s="10">
        <v>33606</v>
      </c>
    </row>
    <row r="4871" spans="1:2" x14ac:dyDescent="0.3">
      <c r="A4871" s="5">
        <v>42243</v>
      </c>
      <c r="B4871" s="10">
        <v>33599</v>
      </c>
    </row>
    <row r="4872" spans="1:2" x14ac:dyDescent="0.3">
      <c r="A4872" s="5">
        <v>42244</v>
      </c>
      <c r="B4872" s="10">
        <v>33598</v>
      </c>
    </row>
    <row r="4873" spans="1:2" x14ac:dyDescent="0.3">
      <c r="A4873" s="5">
        <v>42247</v>
      </c>
      <c r="B4873" s="10">
        <v>33606</v>
      </c>
    </row>
    <row r="4874" spans="1:2" x14ac:dyDescent="0.3">
      <c r="A4874" s="5">
        <v>42248</v>
      </c>
      <c r="B4874" s="10">
        <v>33582</v>
      </c>
    </row>
    <row r="4875" spans="1:2" x14ac:dyDescent="0.3">
      <c r="A4875" s="5">
        <v>42249</v>
      </c>
      <c r="B4875" s="10">
        <v>33569</v>
      </c>
    </row>
    <row r="4876" spans="1:2" x14ac:dyDescent="0.3">
      <c r="A4876" s="5">
        <v>42250</v>
      </c>
      <c r="B4876" s="10">
        <v>33542</v>
      </c>
    </row>
    <row r="4877" spans="1:2" x14ac:dyDescent="0.3">
      <c r="A4877" s="5">
        <v>42251</v>
      </c>
      <c r="B4877" s="10">
        <v>33552</v>
      </c>
    </row>
    <row r="4878" spans="1:2" x14ac:dyDescent="0.3">
      <c r="A4878" s="5">
        <v>42254</v>
      </c>
      <c r="B4878" s="10">
        <v>33546</v>
      </c>
    </row>
    <row r="4879" spans="1:2" x14ac:dyDescent="0.3">
      <c r="A4879" s="5">
        <v>42255</v>
      </c>
      <c r="B4879" s="10">
        <v>33521</v>
      </c>
    </row>
    <row r="4880" spans="1:2" x14ac:dyDescent="0.3">
      <c r="A4880" s="5">
        <v>42256</v>
      </c>
      <c r="B4880" s="10">
        <v>33500</v>
      </c>
    </row>
    <row r="4881" spans="1:2" x14ac:dyDescent="0.3">
      <c r="A4881" s="5">
        <v>42257</v>
      </c>
      <c r="B4881" s="10">
        <v>33499</v>
      </c>
    </row>
    <row r="4882" spans="1:2" x14ac:dyDescent="0.3">
      <c r="A4882" s="5">
        <v>42258</v>
      </c>
      <c r="B4882" s="10">
        <v>33505</v>
      </c>
    </row>
    <row r="4883" spans="1:2" x14ac:dyDescent="0.3">
      <c r="A4883" s="5">
        <v>42261</v>
      </c>
      <c r="B4883" s="10">
        <v>33492</v>
      </c>
    </row>
    <row r="4884" spans="1:2" x14ac:dyDescent="0.3">
      <c r="A4884" s="5">
        <v>42262</v>
      </c>
      <c r="B4884" s="10">
        <v>33453</v>
      </c>
    </row>
    <row r="4885" spans="1:2" x14ac:dyDescent="0.3">
      <c r="A4885" s="5">
        <v>42263</v>
      </c>
      <c r="B4885" s="10">
        <v>33445</v>
      </c>
    </row>
    <row r="4886" spans="1:2" x14ac:dyDescent="0.3">
      <c r="A4886" s="5">
        <v>42264</v>
      </c>
      <c r="B4886" s="10">
        <v>33452</v>
      </c>
    </row>
    <row r="4887" spans="1:2" x14ac:dyDescent="0.3">
      <c r="A4887" s="5">
        <v>42265</v>
      </c>
      <c r="B4887" s="10">
        <v>33425</v>
      </c>
    </row>
    <row r="4888" spans="1:2" x14ac:dyDescent="0.3">
      <c r="A4888" s="5">
        <v>42268</v>
      </c>
      <c r="B4888" s="10">
        <v>33396</v>
      </c>
    </row>
    <row r="4889" spans="1:2" x14ac:dyDescent="0.3">
      <c r="A4889" s="5">
        <v>42269</v>
      </c>
      <c r="B4889" s="10">
        <v>33401</v>
      </c>
    </row>
    <row r="4890" spans="1:2" x14ac:dyDescent="0.3">
      <c r="A4890" s="5">
        <v>42270</v>
      </c>
      <c r="B4890" s="10">
        <v>33338</v>
      </c>
    </row>
    <row r="4891" spans="1:2" x14ac:dyDescent="0.3">
      <c r="A4891" s="5">
        <v>42271</v>
      </c>
      <c r="B4891" s="10">
        <v>33343</v>
      </c>
    </row>
    <row r="4892" spans="1:2" x14ac:dyDescent="0.3">
      <c r="A4892" s="5">
        <v>42272</v>
      </c>
      <c r="B4892" s="10">
        <v>33104</v>
      </c>
    </row>
    <row r="4893" spans="1:2" x14ac:dyDescent="0.3">
      <c r="A4893" s="5">
        <v>42275</v>
      </c>
      <c r="B4893" s="10">
        <v>33318</v>
      </c>
    </row>
    <row r="4894" spans="1:2" x14ac:dyDescent="0.3">
      <c r="A4894" s="5">
        <v>42276</v>
      </c>
      <c r="B4894" s="10">
        <v>33288</v>
      </c>
    </row>
    <row r="4895" spans="1:2" x14ac:dyDescent="0.3">
      <c r="A4895" s="5">
        <v>42277</v>
      </c>
      <c r="B4895" s="10">
        <v>33257</v>
      </c>
    </row>
    <row r="4896" spans="1:2" x14ac:dyDescent="0.3">
      <c r="A4896" s="5">
        <v>42278</v>
      </c>
      <c r="B4896" s="10">
        <v>32471</v>
      </c>
    </row>
    <row r="4897" spans="1:2" x14ac:dyDescent="0.3">
      <c r="A4897" s="5">
        <v>42279</v>
      </c>
      <c r="B4897" s="10">
        <v>32462</v>
      </c>
    </row>
    <row r="4898" spans="1:2" x14ac:dyDescent="0.3">
      <c r="A4898" s="5">
        <v>42282</v>
      </c>
      <c r="B4898" s="10">
        <v>27713</v>
      </c>
    </row>
    <row r="4899" spans="1:2" x14ac:dyDescent="0.3">
      <c r="A4899" s="5">
        <v>42283</v>
      </c>
      <c r="B4899" s="10">
        <v>27722</v>
      </c>
    </row>
    <row r="4900" spans="1:2" x14ac:dyDescent="0.3">
      <c r="A4900" s="5">
        <v>42284</v>
      </c>
      <c r="B4900" s="10">
        <v>27691</v>
      </c>
    </row>
    <row r="4901" spans="1:2" x14ac:dyDescent="0.3">
      <c r="A4901" s="5">
        <v>42285</v>
      </c>
      <c r="B4901" s="10">
        <v>27747</v>
      </c>
    </row>
    <row r="4902" spans="1:2" x14ac:dyDescent="0.3">
      <c r="A4902" s="5">
        <v>42286</v>
      </c>
      <c r="B4902" s="10">
        <v>27758</v>
      </c>
    </row>
    <row r="4903" spans="1:2" x14ac:dyDescent="0.3">
      <c r="A4903" s="5">
        <v>42290</v>
      </c>
      <c r="B4903" s="10">
        <v>27753</v>
      </c>
    </row>
    <row r="4904" spans="1:2" x14ac:dyDescent="0.3">
      <c r="A4904" s="5">
        <v>42291</v>
      </c>
      <c r="B4904" s="10">
        <v>27755</v>
      </c>
    </row>
    <row r="4905" spans="1:2" x14ac:dyDescent="0.3">
      <c r="A4905" s="5">
        <v>42292</v>
      </c>
      <c r="B4905" s="10">
        <v>27636</v>
      </c>
    </row>
    <row r="4906" spans="1:2" x14ac:dyDescent="0.3">
      <c r="A4906" s="5">
        <v>42293</v>
      </c>
      <c r="B4906" s="10">
        <v>27635</v>
      </c>
    </row>
    <row r="4907" spans="1:2" x14ac:dyDescent="0.3">
      <c r="A4907" s="5">
        <v>42296</v>
      </c>
      <c r="B4907" s="10">
        <v>27389</v>
      </c>
    </row>
    <row r="4908" spans="1:2" x14ac:dyDescent="0.3">
      <c r="A4908" s="5">
        <v>42297</v>
      </c>
      <c r="B4908" s="10">
        <v>27389</v>
      </c>
    </row>
    <row r="4909" spans="1:2" x14ac:dyDescent="0.3">
      <c r="A4909" s="5">
        <v>42298</v>
      </c>
      <c r="B4909" s="10">
        <v>27335</v>
      </c>
    </row>
    <row r="4910" spans="1:2" x14ac:dyDescent="0.3">
      <c r="A4910" s="5">
        <v>42299</v>
      </c>
      <c r="B4910" s="10">
        <v>27300</v>
      </c>
    </row>
    <row r="4911" spans="1:2" x14ac:dyDescent="0.3">
      <c r="A4911" s="5">
        <v>42300</v>
      </c>
      <c r="B4911" s="10">
        <v>27305</v>
      </c>
    </row>
    <row r="4912" spans="1:2" x14ac:dyDescent="0.3">
      <c r="A4912" s="5">
        <v>42303</v>
      </c>
      <c r="B4912" s="10">
        <v>27162</v>
      </c>
    </row>
    <row r="4913" spans="1:2" x14ac:dyDescent="0.3">
      <c r="A4913" s="5">
        <v>42304</v>
      </c>
      <c r="B4913" s="10">
        <v>27060</v>
      </c>
    </row>
    <row r="4914" spans="1:2" x14ac:dyDescent="0.3">
      <c r="A4914" s="5">
        <v>42305</v>
      </c>
      <c r="B4914" s="10">
        <v>27037</v>
      </c>
    </row>
    <row r="4915" spans="1:2" x14ac:dyDescent="0.3">
      <c r="A4915" s="5">
        <v>42306</v>
      </c>
      <c r="B4915" s="10">
        <v>26965</v>
      </c>
    </row>
    <row r="4916" spans="1:2" x14ac:dyDescent="0.3">
      <c r="A4916" s="5">
        <v>42307</v>
      </c>
      <c r="B4916" s="10">
        <v>26970</v>
      </c>
    </row>
    <row r="4917" spans="1:2" x14ac:dyDescent="0.3">
      <c r="A4917" s="5">
        <v>42310</v>
      </c>
      <c r="B4917" s="10">
        <v>26938</v>
      </c>
    </row>
    <row r="4918" spans="1:2" x14ac:dyDescent="0.3">
      <c r="A4918" s="5">
        <v>42311</v>
      </c>
      <c r="B4918" s="10">
        <v>26877</v>
      </c>
    </row>
    <row r="4919" spans="1:2" x14ac:dyDescent="0.3">
      <c r="A4919" s="5">
        <v>42312</v>
      </c>
      <c r="B4919" s="10">
        <v>26807</v>
      </c>
    </row>
    <row r="4920" spans="1:2" x14ac:dyDescent="0.3">
      <c r="A4920" s="5">
        <v>42313</v>
      </c>
      <c r="B4920" s="10">
        <v>26710</v>
      </c>
    </row>
    <row r="4921" spans="1:2" x14ac:dyDescent="0.3">
      <c r="A4921" s="5">
        <v>42317</v>
      </c>
      <c r="B4921" s="10">
        <v>26440</v>
      </c>
    </row>
    <row r="4922" spans="1:2" x14ac:dyDescent="0.3">
      <c r="A4922" s="5">
        <v>42318</v>
      </c>
      <c r="B4922" s="10">
        <v>26391</v>
      </c>
    </row>
    <row r="4923" spans="1:2" x14ac:dyDescent="0.3">
      <c r="A4923" s="5">
        <v>42319</v>
      </c>
      <c r="B4923" s="10">
        <v>26278</v>
      </c>
    </row>
    <row r="4924" spans="1:2" x14ac:dyDescent="0.3">
      <c r="A4924" s="5">
        <v>42320</v>
      </c>
      <c r="B4924" s="10">
        <v>26246</v>
      </c>
    </row>
    <row r="4925" spans="1:2" x14ac:dyDescent="0.3">
      <c r="A4925" s="5">
        <v>42321</v>
      </c>
      <c r="B4925" s="10">
        <v>26203</v>
      </c>
    </row>
    <row r="4926" spans="1:2" x14ac:dyDescent="0.3">
      <c r="A4926" s="5">
        <v>42324</v>
      </c>
      <c r="B4926" s="10">
        <v>26111</v>
      </c>
    </row>
    <row r="4927" spans="1:2" x14ac:dyDescent="0.3">
      <c r="A4927" s="5">
        <v>42325</v>
      </c>
      <c r="B4927" s="10">
        <v>25924</v>
      </c>
    </row>
    <row r="4928" spans="1:2" x14ac:dyDescent="0.3">
      <c r="A4928" s="5">
        <v>42326</v>
      </c>
      <c r="B4928" s="10">
        <v>25933</v>
      </c>
    </row>
    <row r="4929" spans="1:2" x14ac:dyDescent="0.3">
      <c r="A4929" s="5">
        <v>42327</v>
      </c>
      <c r="B4929" s="10">
        <v>25889</v>
      </c>
    </row>
    <row r="4930" spans="1:2" x14ac:dyDescent="0.3">
      <c r="A4930" s="5">
        <v>42328</v>
      </c>
      <c r="B4930" s="10">
        <v>25841</v>
      </c>
    </row>
    <row r="4931" spans="1:2" x14ac:dyDescent="0.3">
      <c r="A4931" s="5">
        <v>42331</v>
      </c>
      <c r="B4931" s="10">
        <v>25812</v>
      </c>
    </row>
    <row r="4932" spans="1:2" x14ac:dyDescent="0.3">
      <c r="A4932" s="5">
        <v>42332</v>
      </c>
      <c r="B4932" s="10">
        <v>25782</v>
      </c>
    </row>
    <row r="4933" spans="1:2" x14ac:dyDescent="0.3">
      <c r="A4933" s="5">
        <v>42333</v>
      </c>
      <c r="B4933" s="10">
        <v>25768</v>
      </c>
    </row>
    <row r="4934" spans="1:2" x14ac:dyDescent="0.3">
      <c r="A4934" s="5">
        <v>42334</v>
      </c>
      <c r="B4934" s="10">
        <v>25761</v>
      </c>
    </row>
    <row r="4935" spans="1:2" x14ac:dyDescent="0.3">
      <c r="A4935" s="5">
        <v>42338</v>
      </c>
      <c r="B4935" s="10">
        <v>25615</v>
      </c>
    </row>
    <row r="4936" spans="1:2" x14ac:dyDescent="0.3">
      <c r="A4936" s="5">
        <v>42339</v>
      </c>
      <c r="B4936" s="10">
        <v>25410</v>
      </c>
    </row>
    <row r="4937" spans="1:2" x14ac:dyDescent="0.3">
      <c r="A4937" s="5">
        <v>42340</v>
      </c>
      <c r="B4937" s="10">
        <v>25184</v>
      </c>
    </row>
    <row r="4938" spans="1:2" x14ac:dyDescent="0.3">
      <c r="A4938" s="5">
        <v>42341</v>
      </c>
      <c r="B4938" s="10">
        <v>25046</v>
      </c>
    </row>
    <row r="4939" spans="1:2" x14ac:dyDescent="0.3">
      <c r="A4939" s="5">
        <v>42342</v>
      </c>
      <c r="B4939" s="10">
        <v>25030</v>
      </c>
    </row>
    <row r="4940" spans="1:2" x14ac:dyDescent="0.3">
      <c r="A4940" s="5">
        <v>42347</v>
      </c>
      <c r="B4940" s="10">
        <v>25092</v>
      </c>
    </row>
    <row r="4941" spans="1:2" x14ac:dyDescent="0.3">
      <c r="A4941" s="5">
        <v>42348</v>
      </c>
      <c r="B4941" s="10">
        <v>24862</v>
      </c>
    </row>
    <row r="4942" spans="1:2" x14ac:dyDescent="0.3">
      <c r="A4942" s="5">
        <v>42349</v>
      </c>
      <c r="B4942" s="10">
        <v>24661</v>
      </c>
    </row>
    <row r="4943" spans="1:2" x14ac:dyDescent="0.3">
      <c r="A4943" s="5">
        <v>42352</v>
      </c>
      <c r="B4943" s="10">
        <v>24473</v>
      </c>
    </row>
    <row r="4944" spans="1:2" x14ac:dyDescent="0.3">
      <c r="A4944" s="5">
        <v>42353</v>
      </c>
      <c r="B4944" s="10">
        <v>24290</v>
      </c>
    </row>
    <row r="4945" spans="1:2" x14ac:dyDescent="0.3">
      <c r="A4945" s="5">
        <v>42354</v>
      </c>
      <c r="B4945" s="10">
        <v>24164</v>
      </c>
    </row>
    <row r="4946" spans="1:2" x14ac:dyDescent="0.3">
      <c r="A4946" s="5">
        <v>42355</v>
      </c>
      <c r="B4946" s="10">
        <v>24141</v>
      </c>
    </row>
    <row r="4947" spans="1:2" x14ac:dyDescent="0.3">
      <c r="A4947" s="5">
        <v>42356</v>
      </c>
      <c r="B4947" s="10">
        <v>24396</v>
      </c>
    </row>
    <row r="4948" spans="1:2" x14ac:dyDescent="0.3">
      <c r="A4948" s="5">
        <v>42359</v>
      </c>
      <c r="B4948" s="10">
        <v>24417</v>
      </c>
    </row>
    <row r="4949" spans="1:2" x14ac:dyDescent="0.3">
      <c r="A4949" s="5">
        <v>42360</v>
      </c>
      <c r="B4949" s="10">
        <v>24441</v>
      </c>
    </row>
    <row r="4950" spans="1:2" x14ac:dyDescent="0.3">
      <c r="A4950" s="5">
        <v>42361</v>
      </c>
      <c r="B4950" s="10">
        <v>24720</v>
      </c>
    </row>
    <row r="4951" spans="1:2" x14ac:dyDescent="0.3">
      <c r="A4951" s="5">
        <v>42362</v>
      </c>
      <c r="B4951" s="10">
        <v>24858</v>
      </c>
    </row>
    <row r="4952" spans="1:2" x14ac:dyDescent="0.3">
      <c r="A4952" s="5">
        <v>42366</v>
      </c>
      <c r="B4952" s="10">
        <v>25077</v>
      </c>
    </row>
    <row r="4953" spans="1:2" x14ac:dyDescent="0.3">
      <c r="A4953" s="5">
        <v>42367</v>
      </c>
      <c r="B4953" s="10">
        <v>25267</v>
      </c>
    </row>
    <row r="4954" spans="1:2" x14ac:dyDescent="0.3">
      <c r="A4954" s="5">
        <v>42368</v>
      </c>
      <c r="B4954" s="10">
        <v>25385</v>
      </c>
    </row>
    <row r="4955" spans="1:2" x14ac:dyDescent="0.3">
      <c r="A4955" s="5">
        <v>42369</v>
      </c>
      <c r="B4955" s="10">
        <v>25563</v>
      </c>
    </row>
    <row r="4956" spans="1:2" x14ac:dyDescent="0.3">
      <c r="A4956" s="5">
        <v>42373</v>
      </c>
      <c r="B4956" s="10">
        <v>25515</v>
      </c>
    </row>
    <row r="4957" spans="1:2" x14ac:dyDescent="0.3">
      <c r="A4957" s="5">
        <v>42374</v>
      </c>
      <c r="B4957" s="10">
        <v>25512</v>
      </c>
    </row>
    <row r="4958" spans="1:2" x14ac:dyDescent="0.3">
      <c r="A4958" s="5">
        <v>42375</v>
      </c>
      <c r="B4958" s="10">
        <v>25668</v>
      </c>
    </row>
    <row r="4959" spans="1:2" x14ac:dyDescent="0.3">
      <c r="A4959" s="5">
        <v>42376</v>
      </c>
      <c r="B4959" s="10">
        <v>25671</v>
      </c>
    </row>
    <row r="4960" spans="1:2" x14ac:dyDescent="0.3">
      <c r="A4960" s="5">
        <v>42377</v>
      </c>
      <c r="B4960" s="10">
        <v>25559</v>
      </c>
    </row>
    <row r="4961" spans="1:2" x14ac:dyDescent="0.3">
      <c r="A4961" s="5">
        <v>42380</v>
      </c>
      <c r="B4961" s="10">
        <v>25710</v>
      </c>
    </row>
    <row r="4962" spans="1:2" x14ac:dyDescent="0.3">
      <c r="A4962" s="5">
        <v>42381</v>
      </c>
      <c r="B4962" s="10">
        <v>25610</v>
      </c>
    </row>
    <row r="4963" spans="1:2" x14ac:dyDescent="0.3">
      <c r="A4963" s="5">
        <v>42382</v>
      </c>
      <c r="B4963" s="10">
        <v>25591</v>
      </c>
    </row>
    <row r="4964" spans="1:2" x14ac:dyDescent="0.3">
      <c r="A4964" s="5">
        <v>42383</v>
      </c>
      <c r="B4964" s="10">
        <v>25543</v>
      </c>
    </row>
    <row r="4965" spans="1:2" x14ac:dyDescent="0.3">
      <c r="A4965" s="5">
        <v>42384</v>
      </c>
      <c r="B4965" s="10">
        <v>25645</v>
      </c>
    </row>
    <row r="4966" spans="1:2" x14ac:dyDescent="0.3">
      <c r="A4966" s="5">
        <v>42387</v>
      </c>
      <c r="B4966" s="10">
        <v>25665</v>
      </c>
    </row>
    <row r="4967" spans="1:2" x14ac:dyDescent="0.3">
      <c r="A4967" s="5">
        <v>42388</v>
      </c>
      <c r="B4967" s="10">
        <v>25587</v>
      </c>
    </row>
    <row r="4968" spans="1:2" x14ac:dyDescent="0.3">
      <c r="A4968" s="5">
        <v>42389</v>
      </c>
      <c r="B4968" s="10">
        <v>25546</v>
      </c>
    </row>
    <row r="4969" spans="1:2" x14ac:dyDescent="0.3">
      <c r="A4969" s="5">
        <v>42390</v>
      </c>
      <c r="B4969" s="10">
        <v>25369</v>
      </c>
    </row>
    <row r="4970" spans="1:2" x14ac:dyDescent="0.3">
      <c r="A4970" s="5">
        <v>42391</v>
      </c>
      <c r="B4970" s="10">
        <v>25375</v>
      </c>
    </row>
    <row r="4971" spans="1:2" x14ac:dyDescent="0.3">
      <c r="A4971" s="5">
        <v>42394</v>
      </c>
      <c r="B4971" s="10">
        <v>25389</v>
      </c>
    </row>
    <row r="4972" spans="1:2" x14ac:dyDescent="0.3">
      <c r="A4972" s="5">
        <v>42395</v>
      </c>
      <c r="B4972" s="10">
        <v>25414</v>
      </c>
    </row>
    <row r="4973" spans="1:2" x14ac:dyDescent="0.3">
      <c r="A4973" s="5">
        <v>42396</v>
      </c>
      <c r="B4973" s="10">
        <v>25322</v>
      </c>
    </row>
    <row r="4974" spans="1:2" x14ac:dyDescent="0.3">
      <c r="A4974" s="5">
        <v>42397</v>
      </c>
      <c r="B4974" s="10">
        <v>25243</v>
      </c>
    </row>
    <row r="4975" spans="1:2" x14ac:dyDescent="0.3">
      <c r="A4975" s="5">
        <v>42398</v>
      </c>
      <c r="B4975" s="10">
        <v>30074</v>
      </c>
    </row>
    <row r="4976" spans="1:2" x14ac:dyDescent="0.3">
      <c r="A4976" s="5">
        <v>42401</v>
      </c>
      <c r="B4976" s="10">
        <v>29985</v>
      </c>
    </row>
    <row r="4977" spans="1:2" x14ac:dyDescent="0.3">
      <c r="A4977" s="5">
        <v>42402</v>
      </c>
      <c r="B4977" s="10">
        <v>29928</v>
      </c>
    </row>
    <row r="4978" spans="1:2" x14ac:dyDescent="0.3">
      <c r="A4978" s="5">
        <v>42403</v>
      </c>
      <c r="B4978" s="10">
        <v>29892</v>
      </c>
    </row>
    <row r="4979" spans="1:2" x14ac:dyDescent="0.3">
      <c r="A4979" s="5">
        <v>42404</v>
      </c>
      <c r="B4979" s="10">
        <v>29835</v>
      </c>
    </row>
    <row r="4980" spans="1:2" x14ac:dyDescent="0.3">
      <c r="A4980" s="5">
        <v>42405</v>
      </c>
      <c r="B4980" s="10">
        <v>29674</v>
      </c>
    </row>
    <row r="4981" spans="1:2" x14ac:dyDescent="0.3">
      <c r="A4981" s="5">
        <v>42410</v>
      </c>
      <c r="B4981" s="10">
        <v>29732</v>
      </c>
    </row>
    <row r="4982" spans="1:2" x14ac:dyDescent="0.3">
      <c r="A4982" s="5">
        <v>42411</v>
      </c>
      <c r="B4982" s="10">
        <v>29833</v>
      </c>
    </row>
    <row r="4983" spans="1:2" x14ac:dyDescent="0.3">
      <c r="A4983" s="5">
        <v>42412</v>
      </c>
      <c r="B4983" s="10">
        <v>29656</v>
      </c>
    </row>
    <row r="4984" spans="1:2" x14ac:dyDescent="0.3">
      <c r="A4984" s="5">
        <v>42415</v>
      </c>
      <c r="B4984" s="10">
        <v>29676</v>
      </c>
    </row>
    <row r="4985" spans="1:2" x14ac:dyDescent="0.3">
      <c r="A4985" s="5">
        <v>42416</v>
      </c>
      <c r="B4985" s="10">
        <v>29437</v>
      </c>
    </row>
    <row r="4986" spans="1:2" x14ac:dyDescent="0.3">
      <c r="A4986" s="5">
        <v>42417</v>
      </c>
      <c r="B4986" s="10">
        <v>29317</v>
      </c>
    </row>
    <row r="4987" spans="1:2" x14ac:dyDescent="0.3">
      <c r="A4987" s="5">
        <v>42418</v>
      </c>
      <c r="B4987" s="10">
        <v>29273</v>
      </c>
    </row>
    <row r="4988" spans="1:2" x14ac:dyDescent="0.3">
      <c r="A4988" s="5">
        <v>42419</v>
      </c>
      <c r="B4988" s="10">
        <v>29178</v>
      </c>
    </row>
    <row r="4989" spans="1:2" x14ac:dyDescent="0.3">
      <c r="A4989" s="5">
        <v>42422</v>
      </c>
      <c r="B4989" s="10">
        <v>29068</v>
      </c>
    </row>
    <row r="4990" spans="1:2" x14ac:dyDescent="0.3">
      <c r="A4990" s="5">
        <v>42423</v>
      </c>
      <c r="B4990" s="10">
        <v>28890</v>
      </c>
    </row>
    <row r="4991" spans="1:2" x14ac:dyDescent="0.3">
      <c r="A4991" s="5">
        <v>42424</v>
      </c>
      <c r="B4991" s="10">
        <v>28860</v>
      </c>
    </row>
    <row r="4992" spans="1:2" x14ac:dyDescent="0.3">
      <c r="A4992" s="5">
        <v>42425</v>
      </c>
      <c r="B4992" s="10">
        <v>28767</v>
      </c>
    </row>
    <row r="4993" spans="1:2" x14ac:dyDescent="0.3">
      <c r="A4993" s="5">
        <v>42426</v>
      </c>
      <c r="B4993" s="10">
        <v>28551</v>
      </c>
    </row>
    <row r="4994" spans="1:2" x14ac:dyDescent="0.3">
      <c r="A4994" s="5">
        <v>42429</v>
      </c>
      <c r="B4994" s="10">
        <v>28399</v>
      </c>
    </row>
    <row r="4995" spans="1:2" x14ac:dyDescent="0.3">
      <c r="A4995" s="5">
        <v>42430</v>
      </c>
      <c r="B4995" s="10">
        <v>28195</v>
      </c>
    </row>
    <row r="4996" spans="1:2" x14ac:dyDescent="0.3">
      <c r="A4996" s="5">
        <v>42431</v>
      </c>
      <c r="B4996" s="10">
        <v>28124</v>
      </c>
    </row>
    <row r="4997" spans="1:2" x14ac:dyDescent="0.3">
      <c r="A4997" s="5">
        <v>42432</v>
      </c>
      <c r="B4997" s="10">
        <v>28121</v>
      </c>
    </row>
    <row r="4998" spans="1:2" x14ac:dyDescent="0.3">
      <c r="A4998" s="5">
        <v>42433</v>
      </c>
      <c r="B4998" s="10">
        <v>28215</v>
      </c>
    </row>
    <row r="4999" spans="1:2" x14ac:dyDescent="0.3">
      <c r="A4999" s="5">
        <v>42436</v>
      </c>
      <c r="B4999" s="10">
        <v>28167</v>
      </c>
    </row>
    <row r="5000" spans="1:2" x14ac:dyDescent="0.3">
      <c r="A5000" s="5">
        <v>42437</v>
      </c>
      <c r="B5000" s="10">
        <v>28164</v>
      </c>
    </row>
    <row r="5001" spans="1:2" x14ac:dyDescent="0.3">
      <c r="A5001" s="5">
        <v>42438</v>
      </c>
      <c r="B5001" s="10">
        <v>28113</v>
      </c>
    </row>
    <row r="5002" spans="1:2" x14ac:dyDescent="0.3">
      <c r="A5002" s="5">
        <v>42439</v>
      </c>
      <c r="B5002" s="10">
        <v>28130</v>
      </c>
    </row>
    <row r="5003" spans="1:2" x14ac:dyDescent="0.3">
      <c r="A5003" s="5">
        <v>42440</v>
      </c>
      <c r="B5003" s="10">
        <v>28145</v>
      </c>
    </row>
    <row r="5004" spans="1:2" x14ac:dyDescent="0.3">
      <c r="A5004" s="5">
        <v>42443</v>
      </c>
      <c r="B5004" s="10">
        <v>28029</v>
      </c>
    </row>
    <row r="5005" spans="1:2" x14ac:dyDescent="0.3">
      <c r="A5005" s="5">
        <v>42444</v>
      </c>
      <c r="B5005" s="10">
        <v>27849</v>
      </c>
    </row>
    <row r="5006" spans="1:2" x14ac:dyDescent="0.3">
      <c r="A5006" s="5">
        <v>42445</v>
      </c>
      <c r="B5006" s="10">
        <v>29080</v>
      </c>
    </row>
    <row r="5007" spans="1:2" x14ac:dyDescent="0.3">
      <c r="A5007" s="5">
        <v>42446</v>
      </c>
      <c r="B5007" s="10">
        <v>29238</v>
      </c>
    </row>
    <row r="5008" spans="1:2" x14ac:dyDescent="0.3">
      <c r="A5008" s="5">
        <v>42447</v>
      </c>
      <c r="B5008" s="10">
        <v>29195</v>
      </c>
    </row>
    <row r="5009" spans="1:2" x14ac:dyDescent="0.3">
      <c r="A5009" s="5">
        <v>42450</v>
      </c>
      <c r="B5009" s="10">
        <v>29149</v>
      </c>
    </row>
    <row r="5010" spans="1:2" x14ac:dyDescent="0.3">
      <c r="A5010" s="5">
        <v>42451</v>
      </c>
      <c r="B5010" s="10">
        <v>29117</v>
      </c>
    </row>
    <row r="5011" spans="1:2" x14ac:dyDescent="0.3">
      <c r="A5011" s="5">
        <v>42452</v>
      </c>
      <c r="B5011" s="10">
        <v>29886</v>
      </c>
    </row>
    <row r="5012" spans="1:2" x14ac:dyDescent="0.3">
      <c r="A5012" s="5">
        <v>42457</v>
      </c>
      <c r="B5012" s="10">
        <v>29842</v>
      </c>
    </row>
    <row r="5013" spans="1:2" x14ac:dyDescent="0.3">
      <c r="A5013" s="5">
        <v>42458</v>
      </c>
      <c r="B5013" s="10">
        <v>29881</v>
      </c>
    </row>
    <row r="5014" spans="1:2" x14ac:dyDescent="0.3">
      <c r="A5014" s="5">
        <v>42459</v>
      </c>
      <c r="B5014" s="10">
        <v>29852</v>
      </c>
    </row>
    <row r="5015" spans="1:2" x14ac:dyDescent="0.3">
      <c r="A5015" s="5">
        <v>42460</v>
      </c>
      <c r="B5015" s="10">
        <v>29572</v>
      </c>
    </row>
    <row r="5016" spans="1:2" x14ac:dyDescent="0.3">
      <c r="A5016" s="5">
        <v>42461</v>
      </c>
      <c r="B5016" s="10">
        <v>29407</v>
      </c>
    </row>
    <row r="5017" spans="1:2" x14ac:dyDescent="0.3">
      <c r="A5017" s="5">
        <v>42464</v>
      </c>
      <c r="B5017" s="10">
        <v>29421</v>
      </c>
    </row>
    <row r="5018" spans="1:2" x14ac:dyDescent="0.3">
      <c r="A5018" s="5">
        <v>42465</v>
      </c>
      <c r="B5018" s="10">
        <v>29544</v>
      </c>
    </row>
    <row r="5019" spans="1:2" x14ac:dyDescent="0.3">
      <c r="A5019" s="5">
        <v>42466</v>
      </c>
      <c r="B5019" s="10">
        <v>29462</v>
      </c>
    </row>
    <row r="5020" spans="1:2" x14ac:dyDescent="0.3">
      <c r="A5020" s="5">
        <v>42467</v>
      </c>
      <c r="B5020" s="10">
        <v>29557</v>
      </c>
    </row>
    <row r="5021" spans="1:2" x14ac:dyDescent="0.3">
      <c r="A5021" s="5">
        <v>42468</v>
      </c>
      <c r="B5021" s="10">
        <v>29512</v>
      </c>
    </row>
    <row r="5022" spans="1:2" x14ac:dyDescent="0.3">
      <c r="A5022" s="5">
        <v>42471</v>
      </c>
      <c r="B5022" s="10">
        <v>29524</v>
      </c>
    </row>
    <row r="5023" spans="1:2" x14ac:dyDescent="0.3">
      <c r="A5023" s="5">
        <v>42472</v>
      </c>
      <c r="B5023" s="10">
        <v>29528</v>
      </c>
    </row>
    <row r="5024" spans="1:2" x14ac:dyDescent="0.3">
      <c r="A5024" s="5">
        <v>42473</v>
      </c>
      <c r="B5024" s="10">
        <v>29442</v>
      </c>
    </row>
    <row r="5025" spans="1:2" x14ac:dyDescent="0.3">
      <c r="A5025" s="5">
        <v>42474</v>
      </c>
      <c r="B5025" s="10">
        <v>29353</v>
      </c>
    </row>
    <row r="5026" spans="1:2" x14ac:dyDescent="0.3">
      <c r="A5026" s="5">
        <v>42475</v>
      </c>
      <c r="B5026" s="10">
        <v>29239</v>
      </c>
    </row>
    <row r="5027" spans="1:2" x14ac:dyDescent="0.3">
      <c r="A5027" s="5">
        <v>42478</v>
      </c>
      <c r="B5027" s="10">
        <v>29224</v>
      </c>
    </row>
    <row r="5028" spans="1:2" x14ac:dyDescent="0.3">
      <c r="A5028" s="5">
        <v>42479</v>
      </c>
      <c r="B5028" s="10">
        <v>29295</v>
      </c>
    </row>
    <row r="5029" spans="1:2" x14ac:dyDescent="0.3">
      <c r="A5029" s="5">
        <v>42480</v>
      </c>
      <c r="B5029" s="10">
        <v>29254</v>
      </c>
    </row>
    <row r="5030" spans="1:2" x14ac:dyDescent="0.3">
      <c r="A5030" s="5">
        <v>42481</v>
      </c>
      <c r="B5030" s="10">
        <v>29186</v>
      </c>
    </row>
    <row r="5031" spans="1:2" x14ac:dyDescent="0.3">
      <c r="A5031" s="5">
        <v>42482</v>
      </c>
      <c r="B5031" s="10">
        <v>35043</v>
      </c>
    </row>
    <row r="5032" spans="1:2" x14ac:dyDescent="0.3">
      <c r="A5032" s="5">
        <v>42485</v>
      </c>
      <c r="B5032" s="10">
        <v>35009</v>
      </c>
    </row>
    <row r="5033" spans="1:2" x14ac:dyDescent="0.3">
      <c r="A5033" s="5">
        <v>42486</v>
      </c>
      <c r="B5033" s="10">
        <v>34906</v>
      </c>
    </row>
    <row r="5034" spans="1:2" x14ac:dyDescent="0.3">
      <c r="A5034" s="5">
        <v>42487</v>
      </c>
      <c r="B5034" s="10">
        <v>34741</v>
      </c>
    </row>
    <row r="5035" spans="1:2" x14ac:dyDescent="0.3">
      <c r="A5035" s="5">
        <v>42488</v>
      </c>
      <c r="B5035" s="10">
        <v>34655</v>
      </c>
    </row>
    <row r="5036" spans="1:2" x14ac:dyDescent="0.3">
      <c r="A5036" s="5">
        <v>42489</v>
      </c>
      <c r="B5036" s="10">
        <v>34380</v>
      </c>
    </row>
    <row r="5037" spans="1:2" x14ac:dyDescent="0.3">
      <c r="A5037" s="5">
        <v>42492</v>
      </c>
      <c r="B5037" s="10">
        <v>34314</v>
      </c>
    </row>
    <row r="5038" spans="1:2" x14ac:dyDescent="0.3">
      <c r="A5038" s="5">
        <v>42493</v>
      </c>
      <c r="B5038" s="10">
        <v>34220</v>
      </c>
    </row>
    <row r="5039" spans="1:2" x14ac:dyDescent="0.3">
      <c r="A5039" s="5">
        <v>42494</v>
      </c>
      <c r="B5039" s="10">
        <v>31518</v>
      </c>
    </row>
    <row r="5040" spans="1:2" x14ac:dyDescent="0.3">
      <c r="A5040" s="5">
        <v>42495</v>
      </c>
      <c r="B5040" s="10">
        <v>31392</v>
      </c>
    </row>
    <row r="5041" spans="1:2" x14ac:dyDescent="0.3">
      <c r="A5041" s="5">
        <v>42496</v>
      </c>
      <c r="B5041" s="10">
        <v>31311</v>
      </c>
    </row>
    <row r="5042" spans="1:2" x14ac:dyDescent="0.3">
      <c r="A5042" s="5">
        <v>42499</v>
      </c>
      <c r="B5042" s="10">
        <v>30986</v>
      </c>
    </row>
    <row r="5043" spans="1:2" x14ac:dyDescent="0.3">
      <c r="A5043" s="5">
        <v>42500</v>
      </c>
      <c r="B5043" s="10">
        <v>31077</v>
      </c>
    </row>
    <row r="5044" spans="1:2" x14ac:dyDescent="0.3">
      <c r="A5044" s="5">
        <v>42501</v>
      </c>
      <c r="B5044" s="10">
        <v>31176</v>
      </c>
    </row>
    <row r="5045" spans="1:2" x14ac:dyDescent="0.3">
      <c r="A5045" s="5">
        <v>42502</v>
      </c>
      <c r="B5045" s="10">
        <v>31079</v>
      </c>
    </row>
    <row r="5046" spans="1:2" x14ac:dyDescent="0.3">
      <c r="A5046" s="5">
        <v>42503</v>
      </c>
      <c r="B5046" s="10">
        <v>31348</v>
      </c>
    </row>
    <row r="5047" spans="1:2" x14ac:dyDescent="0.3">
      <c r="A5047" s="5">
        <v>42506</v>
      </c>
      <c r="B5047" s="10">
        <v>31356</v>
      </c>
    </row>
    <row r="5048" spans="1:2" x14ac:dyDescent="0.3">
      <c r="A5048" s="5">
        <v>42507</v>
      </c>
      <c r="B5048" s="10">
        <v>31632</v>
      </c>
    </row>
    <row r="5049" spans="1:2" x14ac:dyDescent="0.3">
      <c r="A5049" s="5">
        <v>42508</v>
      </c>
      <c r="B5049" s="10">
        <v>31645</v>
      </c>
    </row>
    <row r="5050" spans="1:2" x14ac:dyDescent="0.3">
      <c r="A5050" s="5">
        <v>42509</v>
      </c>
      <c r="B5050" s="10">
        <v>32088</v>
      </c>
    </row>
    <row r="5051" spans="1:2" x14ac:dyDescent="0.3">
      <c r="A5051" s="5">
        <v>42510</v>
      </c>
      <c r="B5051" s="10">
        <v>32033</v>
      </c>
    </row>
    <row r="5052" spans="1:2" x14ac:dyDescent="0.3">
      <c r="A5052" s="5">
        <v>42513</v>
      </c>
      <c r="B5052" s="10">
        <v>32268</v>
      </c>
    </row>
    <row r="5053" spans="1:2" x14ac:dyDescent="0.3">
      <c r="A5053" s="5">
        <v>42514</v>
      </c>
      <c r="B5053" s="10">
        <v>31643</v>
      </c>
    </row>
    <row r="5054" spans="1:2" x14ac:dyDescent="0.3">
      <c r="A5054" s="5">
        <v>42516</v>
      </c>
      <c r="B5054" s="10">
        <v>30829</v>
      </c>
    </row>
    <row r="5055" spans="1:2" x14ac:dyDescent="0.3">
      <c r="A5055" s="5">
        <v>42517</v>
      </c>
      <c r="B5055" s="10">
        <v>30391</v>
      </c>
    </row>
    <row r="5056" spans="1:2" x14ac:dyDescent="0.3">
      <c r="A5056" s="5">
        <v>42520</v>
      </c>
      <c r="B5056" s="10">
        <v>30348</v>
      </c>
    </row>
    <row r="5057" spans="1:2" x14ac:dyDescent="0.3">
      <c r="A5057" s="5">
        <v>42521</v>
      </c>
      <c r="B5057" s="10">
        <v>30171</v>
      </c>
    </row>
    <row r="5058" spans="1:2" x14ac:dyDescent="0.3">
      <c r="A5058" s="5">
        <v>42522</v>
      </c>
      <c r="B5058" s="10">
        <v>30742</v>
      </c>
    </row>
    <row r="5059" spans="1:2" x14ac:dyDescent="0.3">
      <c r="A5059" s="5">
        <v>42523</v>
      </c>
      <c r="B5059" s="10">
        <v>30757</v>
      </c>
    </row>
    <row r="5060" spans="1:2" x14ac:dyDescent="0.3">
      <c r="A5060" s="5">
        <v>42524</v>
      </c>
      <c r="B5060" s="10">
        <v>31033</v>
      </c>
    </row>
    <row r="5061" spans="1:2" x14ac:dyDescent="0.3">
      <c r="A5061" s="5">
        <v>42527</v>
      </c>
      <c r="B5061" s="10">
        <v>30936</v>
      </c>
    </row>
    <row r="5062" spans="1:2" x14ac:dyDescent="0.3">
      <c r="A5062" s="5">
        <v>42528</v>
      </c>
      <c r="B5062" s="10">
        <v>30849</v>
      </c>
    </row>
    <row r="5063" spans="1:2" x14ac:dyDescent="0.3">
      <c r="A5063" s="5">
        <v>42529</v>
      </c>
      <c r="B5063" s="10">
        <v>30987</v>
      </c>
    </row>
    <row r="5064" spans="1:2" x14ac:dyDescent="0.3">
      <c r="A5064" s="5">
        <v>42530</v>
      </c>
      <c r="B5064" s="10">
        <v>30981</v>
      </c>
    </row>
    <row r="5065" spans="1:2" x14ac:dyDescent="0.3">
      <c r="A5065" s="5">
        <v>42531</v>
      </c>
      <c r="B5065" s="10">
        <v>31354</v>
      </c>
    </row>
    <row r="5066" spans="1:2" x14ac:dyDescent="0.3">
      <c r="A5066" s="5">
        <v>42534</v>
      </c>
      <c r="B5066" s="10">
        <v>31263</v>
      </c>
    </row>
    <row r="5067" spans="1:2" x14ac:dyDescent="0.3">
      <c r="A5067" s="5">
        <v>42535</v>
      </c>
      <c r="B5067" s="10">
        <v>31219</v>
      </c>
    </row>
    <row r="5068" spans="1:2" x14ac:dyDescent="0.3">
      <c r="A5068" s="5">
        <v>42536</v>
      </c>
      <c r="B5068" s="10">
        <v>32190</v>
      </c>
    </row>
    <row r="5069" spans="1:2" x14ac:dyDescent="0.3">
      <c r="A5069" s="5">
        <v>42537</v>
      </c>
      <c r="B5069" s="10">
        <v>32137</v>
      </c>
    </row>
    <row r="5070" spans="1:2" x14ac:dyDescent="0.3">
      <c r="A5070" s="5">
        <v>42542</v>
      </c>
      <c r="B5070" s="10">
        <v>32095</v>
      </c>
    </row>
    <row r="5071" spans="1:2" x14ac:dyDescent="0.3">
      <c r="A5071" s="5">
        <v>42543</v>
      </c>
      <c r="B5071" s="10">
        <v>32045</v>
      </c>
    </row>
    <row r="5072" spans="1:2" x14ac:dyDescent="0.3">
      <c r="A5072" s="5">
        <v>42544</v>
      </c>
      <c r="B5072" s="10">
        <v>32024</v>
      </c>
    </row>
    <row r="5073" spans="1:2" x14ac:dyDescent="0.3">
      <c r="A5073" s="5">
        <v>42545</v>
      </c>
      <c r="B5073" s="10">
        <v>31858</v>
      </c>
    </row>
    <row r="5074" spans="1:2" x14ac:dyDescent="0.3">
      <c r="A5074" s="5">
        <v>42548</v>
      </c>
      <c r="B5074" s="10">
        <v>31708</v>
      </c>
    </row>
    <row r="5075" spans="1:2" x14ac:dyDescent="0.3">
      <c r="A5075" s="5">
        <v>42549</v>
      </c>
      <c r="B5075" s="10">
        <v>31707</v>
      </c>
    </row>
    <row r="5076" spans="1:2" x14ac:dyDescent="0.3">
      <c r="A5076" s="5">
        <v>42550</v>
      </c>
      <c r="B5076" s="10">
        <v>31112</v>
      </c>
    </row>
    <row r="5077" spans="1:2" x14ac:dyDescent="0.3">
      <c r="A5077" s="5">
        <v>42551</v>
      </c>
      <c r="B5077" s="10">
        <v>30507</v>
      </c>
    </row>
    <row r="5078" spans="1:2" x14ac:dyDescent="0.3">
      <c r="A5078" s="5">
        <v>42552</v>
      </c>
      <c r="B5078" s="10">
        <v>30749</v>
      </c>
    </row>
    <row r="5079" spans="1:2" x14ac:dyDescent="0.3">
      <c r="A5079" s="5">
        <v>42555</v>
      </c>
      <c r="B5079" s="10">
        <v>30768</v>
      </c>
    </row>
    <row r="5080" spans="1:2" x14ac:dyDescent="0.3">
      <c r="A5080" s="5">
        <v>42556</v>
      </c>
      <c r="B5080" s="10">
        <v>30737</v>
      </c>
    </row>
    <row r="5081" spans="1:2" x14ac:dyDescent="0.3">
      <c r="A5081" s="5">
        <v>42557</v>
      </c>
      <c r="B5081" s="10">
        <v>33425</v>
      </c>
    </row>
    <row r="5082" spans="1:2" x14ac:dyDescent="0.3">
      <c r="A5082" s="5">
        <v>42558</v>
      </c>
      <c r="B5082" s="10">
        <v>33673</v>
      </c>
    </row>
    <row r="5083" spans="1:2" x14ac:dyDescent="0.3">
      <c r="A5083" s="5">
        <v>42562</v>
      </c>
      <c r="B5083" s="10">
        <v>33647</v>
      </c>
    </row>
    <row r="5084" spans="1:2" x14ac:dyDescent="0.3">
      <c r="A5084" s="5">
        <v>42563</v>
      </c>
      <c r="B5084" s="10">
        <v>33886</v>
      </c>
    </row>
    <row r="5085" spans="1:2" x14ac:dyDescent="0.3">
      <c r="A5085" s="5">
        <v>42564</v>
      </c>
      <c r="B5085" s="10">
        <v>33986</v>
      </c>
    </row>
    <row r="5086" spans="1:2" x14ac:dyDescent="0.3">
      <c r="A5086" s="5">
        <v>42565</v>
      </c>
      <c r="B5086" s="10">
        <v>33977</v>
      </c>
    </row>
    <row r="5087" spans="1:2" x14ac:dyDescent="0.3">
      <c r="A5087" s="5">
        <v>42566</v>
      </c>
      <c r="B5087" s="10">
        <v>33927</v>
      </c>
    </row>
    <row r="5088" spans="1:2" x14ac:dyDescent="0.3">
      <c r="A5088" s="5">
        <v>42569</v>
      </c>
      <c r="B5088" s="10">
        <v>33845</v>
      </c>
    </row>
    <row r="5089" spans="1:2" x14ac:dyDescent="0.3">
      <c r="A5089" s="5">
        <v>42570</v>
      </c>
      <c r="B5089" s="10">
        <v>34039</v>
      </c>
    </row>
    <row r="5090" spans="1:2" x14ac:dyDescent="0.3">
      <c r="A5090" s="5">
        <v>42571</v>
      </c>
      <c r="B5090" s="10">
        <v>33900</v>
      </c>
    </row>
    <row r="5091" spans="1:2" x14ac:dyDescent="0.3">
      <c r="A5091" s="5">
        <v>42572</v>
      </c>
      <c r="B5091" s="10">
        <v>33849</v>
      </c>
    </row>
    <row r="5092" spans="1:2" x14ac:dyDescent="0.3">
      <c r="A5092" s="5">
        <v>42573</v>
      </c>
      <c r="B5092" s="10">
        <v>33784</v>
      </c>
    </row>
    <row r="5093" spans="1:2" x14ac:dyDescent="0.3">
      <c r="A5093" s="5">
        <v>42576</v>
      </c>
      <c r="B5093" s="10">
        <v>33691</v>
      </c>
    </row>
    <row r="5094" spans="1:2" x14ac:dyDescent="0.3">
      <c r="A5094" s="5">
        <v>42577</v>
      </c>
      <c r="B5094" s="10">
        <v>34290</v>
      </c>
    </row>
    <row r="5095" spans="1:2" x14ac:dyDescent="0.3">
      <c r="A5095" s="5">
        <v>42578</v>
      </c>
      <c r="B5095" s="10">
        <v>34274</v>
      </c>
    </row>
    <row r="5096" spans="1:2" x14ac:dyDescent="0.3">
      <c r="A5096" s="5">
        <v>42579</v>
      </c>
      <c r="B5096" s="10">
        <v>34244</v>
      </c>
    </row>
    <row r="5097" spans="1:2" x14ac:dyDescent="0.3">
      <c r="A5097" s="5">
        <v>42580</v>
      </c>
      <c r="B5097" s="10">
        <v>32511</v>
      </c>
    </row>
    <row r="5098" spans="1:2" x14ac:dyDescent="0.3">
      <c r="A5098" s="5">
        <v>42583</v>
      </c>
      <c r="B5098" s="10">
        <v>32628</v>
      </c>
    </row>
    <row r="5099" spans="1:2" x14ac:dyDescent="0.3">
      <c r="A5099" s="5">
        <v>42584</v>
      </c>
      <c r="B5099" s="10">
        <v>32618</v>
      </c>
    </row>
    <row r="5100" spans="1:2" x14ac:dyDescent="0.3">
      <c r="A5100" s="5">
        <v>42585</v>
      </c>
      <c r="B5100" s="10">
        <v>32497</v>
      </c>
    </row>
    <row r="5101" spans="1:2" x14ac:dyDescent="0.3">
      <c r="A5101" s="5">
        <v>42586</v>
      </c>
      <c r="B5101" s="10">
        <v>32479</v>
      </c>
    </row>
    <row r="5102" spans="1:2" x14ac:dyDescent="0.3">
      <c r="A5102" s="5">
        <v>42587</v>
      </c>
      <c r="B5102" s="10">
        <v>32453</v>
      </c>
    </row>
    <row r="5103" spans="1:2" x14ac:dyDescent="0.3">
      <c r="A5103" s="5">
        <v>42590</v>
      </c>
      <c r="B5103" s="10">
        <v>32488</v>
      </c>
    </row>
    <row r="5104" spans="1:2" x14ac:dyDescent="0.3">
      <c r="A5104" s="5">
        <v>42591</v>
      </c>
      <c r="B5104" s="10">
        <v>32535</v>
      </c>
    </row>
    <row r="5105" spans="1:2" x14ac:dyDescent="0.3">
      <c r="A5105" s="5">
        <v>42592</v>
      </c>
      <c r="B5105" s="10">
        <v>32566</v>
      </c>
    </row>
    <row r="5106" spans="1:2" x14ac:dyDescent="0.3">
      <c r="A5106" s="5">
        <v>42593</v>
      </c>
      <c r="B5106" s="10">
        <v>32425</v>
      </c>
    </row>
    <row r="5107" spans="1:2" x14ac:dyDescent="0.3">
      <c r="A5107" s="5">
        <v>42594</v>
      </c>
      <c r="B5107" s="10">
        <v>32251</v>
      </c>
    </row>
    <row r="5108" spans="1:2" x14ac:dyDescent="0.3">
      <c r="A5108" s="5">
        <v>42598</v>
      </c>
      <c r="B5108" s="10">
        <v>32239</v>
      </c>
    </row>
    <row r="5109" spans="1:2" x14ac:dyDescent="0.3">
      <c r="A5109" s="5">
        <v>42599</v>
      </c>
      <c r="B5109" s="10">
        <v>32087</v>
      </c>
    </row>
    <row r="5110" spans="1:2" x14ac:dyDescent="0.3">
      <c r="A5110" s="5">
        <v>42600</v>
      </c>
      <c r="B5110" s="10">
        <v>32338</v>
      </c>
    </row>
    <row r="5111" spans="1:2" x14ac:dyDescent="0.3">
      <c r="A5111" s="5">
        <v>42601</v>
      </c>
      <c r="B5111" s="10">
        <v>31963</v>
      </c>
    </row>
    <row r="5112" spans="1:2" x14ac:dyDescent="0.3">
      <c r="A5112" s="5">
        <v>42604</v>
      </c>
      <c r="B5112" s="10">
        <v>31965</v>
      </c>
    </row>
    <row r="5113" spans="1:2" x14ac:dyDescent="0.3">
      <c r="A5113" s="5">
        <v>42605</v>
      </c>
      <c r="B5113" s="10">
        <v>31931</v>
      </c>
    </row>
    <row r="5114" spans="1:2" x14ac:dyDescent="0.3">
      <c r="A5114" s="5">
        <v>42606</v>
      </c>
      <c r="B5114" s="10">
        <v>31847</v>
      </c>
    </row>
    <row r="5115" spans="1:2" x14ac:dyDescent="0.3">
      <c r="A5115" s="5">
        <v>42607</v>
      </c>
      <c r="B5115" s="10">
        <v>31924</v>
      </c>
    </row>
    <row r="5116" spans="1:2" x14ac:dyDescent="0.3">
      <c r="A5116" s="5">
        <v>42608</v>
      </c>
      <c r="B5116" s="10">
        <v>31809</v>
      </c>
    </row>
    <row r="5117" spans="1:2" x14ac:dyDescent="0.3">
      <c r="A5117" s="5">
        <v>42611</v>
      </c>
      <c r="B5117" s="10">
        <v>31557</v>
      </c>
    </row>
    <row r="5118" spans="1:2" x14ac:dyDescent="0.3">
      <c r="A5118" s="5">
        <v>42612</v>
      </c>
      <c r="B5118" s="10">
        <v>31432</v>
      </c>
    </row>
    <row r="5119" spans="1:2" x14ac:dyDescent="0.3">
      <c r="A5119" s="5">
        <v>42613</v>
      </c>
      <c r="B5119" s="10">
        <v>31150</v>
      </c>
    </row>
    <row r="5120" spans="1:2" x14ac:dyDescent="0.3">
      <c r="A5120" s="5">
        <v>42614</v>
      </c>
      <c r="B5120" s="10">
        <v>31102</v>
      </c>
    </row>
    <row r="5121" spans="1:2" x14ac:dyDescent="0.3">
      <c r="A5121" s="5">
        <v>42615</v>
      </c>
      <c r="B5121" s="10">
        <v>31070</v>
      </c>
    </row>
    <row r="5122" spans="1:2" x14ac:dyDescent="0.3">
      <c r="A5122" s="5">
        <v>42618</v>
      </c>
      <c r="B5122" s="10">
        <v>31126</v>
      </c>
    </row>
    <row r="5123" spans="1:2" x14ac:dyDescent="0.3">
      <c r="A5123" s="5">
        <v>42619</v>
      </c>
      <c r="B5123" s="10">
        <v>31324</v>
      </c>
    </row>
    <row r="5124" spans="1:2" x14ac:dyDescent="0.3">
      <c r="A5124" s="5">
        <v>42620</v>
      </c>
      <c r="B5124" s="10">
        <v>31330</v>
      </c>
    </row>
    <row r="5125" spans="1:2" x14ac:dyDescent="0.3">
      <c r="A5125" s="5">
        <v>42621</v>
      </c>
      <c r="B5125" s="10">
        <v>31265</v>
      </c>
    </row>
    <row r="5126" spans="1:2" x14ac:dyDescent="0.3">
      <c r="A5126" s="5">
        <v>42622</v>
      </c>
      <c r="B5126" s="10">
        <v>31274</v>
      </c>
    </row>
    <row r="5127" spans="1:2" x14ac:dyDescent="0.3">
      <c r="A5127" s="5">
        <v>42625</v>
      </c>
      <c r="B5127" s="10">
        <v>31250</v>
      </c>
    </row>
    <row r="5128" spans="1:2" x14ac:dyDescent="0.3">
      <c r="A5128" s="5">
        <v>42626</v>
      </c>
      <c r="B5128" s="10">
        <v>31084</v>
      </c>
    </row>
    <row r="5129" spans="1:2" x14ac:dyDescent="0.3">
      <c r="A5129" s="5">
        <v>42627</v>
      </c>
      <c r="B5129" s="10">
        <v>31028</v>
      </c>
    </row>
    <row r="5130" spans="1:2" x14ac:dyDescent="0.3">
      <c r="A5130" s="5">
        <v>42628</v>
      </c>
      <c r="B5130" s="10">
        <v>30873</v>
      </c>
    </row>
    <row r="5131" spans="1:2" x14ac:dyDescent="0.3">
      <c r="A5131" s="5">
        <v>42629</v>
      </c>
      <c r="B5131" s="10">
        <v>30813</v>
      </c>
    </row>
    <row r="5132" spans="1:2" x14ac:dyDescent="0.3">
      <c r="A5132" s="5">
        <v>42632</v>
      </c>
      <c r="B5132" s="10">
        <v>30743</v>
      </c>
    </row>
    <row r="5133" spans="1:2" x14ac:dyDescent="0.3">
      <c r="A5133" s="5">
        <v>42633</v>
      </c>
      <c r="B5133" s="10">
        <v>30697</v>
      </c>
    </row>
    <row r="5134" spans="1:2" x14ac:dyDescent="0.3">
      <c r="A5134" s="5">
        <v>42634</v>
      </c>
      <c r="B5134" s="10">
        <v>30710</v>
      </c>
    </row>
    <row r="5135" spans="1:2" x14ac:dyDescent="0.3">
      <c r="A5135" s="5">
        <v>42635</v>
      </c>
      <c r="B5135" s="10">
        <v>30736</v>
      </c>
    </row>
    <row r="5136" spans="1:2" x14ac:dyDescent="0.3">
      <c r="A5136" s="5">
        <v>42636</v>
      </c>
      <c r="B5136" s="10">
        <v>30748</v>
      </c>
    </row>
    <row r="5137" spans="1:2" x14ac:dyDescent="0.3">
      <c r="A5137" s="5">
        <v>42639</v>
      </c>
      <c r="B5137" s="10">
        <v>30708</v>
      </c>
    </row>
    <row r="5138" spans="1:2" x14ac:dyDescent="0.3">
      <c r="A5138" s="5">
        <v>42640</v>
      </c>
      <c r="B5138" s="10">
        <v>30596</v>
      </c>
    </row>
    <row r="5139" spans="1:2" x14ac:dyDescent="0.3">
      <c r="A5139" s="5">
        <v>42641</v>
      </c>
      <c r="B5139" s="10">
        <v>30389</v>
      </c>
    </row>
    <row r="5140" spans="1:2" x14ac:dyDescent="0.3">
      <c r="A5140" s="5">
        <v>42642</v>
      </c>
      <c r="B5140" s="10">
        <v>30009</v>
      </c>
    </row>
    <row r="5141" spans="1:2" x14ac:dyDescent="0.3">
      <c r="A5141" s="5">
        <v>42643</v>
      </c>
      <c r="B5141" s="10">
        <v>29902</v>
      </c>
    </row>
    <row r="5142" spans="1:2" x14ac:dyDescent="0.3">
      <c r="A5142" s="5">
        <v>42646</v>
      </c>
      <c r="B5142" s="10">
        <v>32296</v>
      </c>
    </row>
    <row r="5143" spans="1:2" x14ac:dyDescent="0.3">
      <c r="A5143" s="5">
        <v>42647</v>
      </c>
      <c r="B5143" s="10">
        <v>32469</v>
      </c>
    </row>
    <row r="5144" spans="1:2" x14ac:dyDescent="0.3">
      <c r="A5144" s="5">
        <v>42648</v>
      </c>
      <c r="B5144" s="10">
        <v>32510</v>
      </c>
    </row>
    <row r="5145" spans="1:2" x14ac:dyDescent="0.3">
      <c r="A5145" s="5">
        <v>42649</v>
      </c>
      <c r="B5145" s="10">
        <v>32469</v>
      </c>
    </row>
    <row r="5146" spans="1:2" x14ac:dyDescent="0.3">
      <c r="A5146" s="5">
        <v>42650</v>
      </c>
      <c r="B5146" s="10">
        <v>32533</v>
      </c>
    </row>
    <row r="5147" spans="1:2" x14ac:dyDescent="0.3">
      <c r="A5147" s="5">
        <v>42654</v>
      </c>
      <c r="B5147" s="10">
        <v>32457</v>
      </c>
    </row>
    <row r="5148" spans="1:2" x14ac:dyDescent="0.3">
      <c r="A5148" s="5">
        <v>42655</v>
      </c>
      <c r="B5148" s="10">
        <v>35553</v>
      </c>
    </row>
    <row r="5149" spans="1:2" x14ac:dyDescent="0.3">
      <c r="A5149" s="5">
        <v>42656</v>
      </c>
      <c r="B5149" s="10">
        <v>35482</v>
      </c>
    </row>
    <row r="5150" spans="1:2" x14ac:dyDescent="0.3">
      <c r="A5150" s="5">
        <v>42657</v>
      </c>
      <c r="B5150" s="10">
        <v>35545</v>
      </c>
    </row>
    <row r="5151" spans="1:2" x14ac:dyDescent="0.3">
      <c r="A5151" s="5">
        <v>42660</v>
      </c>
      <c r="B5151" s="10">
        <v>39331</v>
      </c>
    </row>
    <row r="5152" spans="1:2" x14ac:dyDescent="0.3">
      <c r="A5152" s="5">
        <v>42661</v>
      </c>
      <c r="B5152" s="10">
        <v>39715</v>
      </c>
    </row>
    <row r="5153" spans="1:2" x14ac:dyDescent="0.3">
      <c r="A5153" s="5">
        <v>42662</v>
      </c>
      <c r="B5153" s="10">
        <v>39651</v>
      </c>
    </row>
    <row r="5154" spans="1:2" x14ac:dyDescent="0.3">
      <c r="A5154" s="5">
        <v>42663</v>
      </c>
      <c r="B5154" s="10">
        <v>40632</v>
      </c>
    </row>
    <row r="5155" spans="1:2" x14ac:dyDescent="0.3">
      <c r="A5155" s="5">
        <v>42664</v>
      </c>
      <c r="B5155" s="10">
        <v>40264</v>
      </c>
    </row>
    <row r="5156" spans="1:2" x14ac:dyDescent="0.3">
      <c r="A5156" s="5">
        <v>42667</v>
      </c>
      <c r="B5156" s="10">
        <v>40572</v>
      </c>
    </row>
    <row r="5157" spans="1:2" x14ac:dyDescent="0.3">
      <c r="A5157" s="5">
        <v>42668</v>
      </c>
      <c r="B5157" s="10">
        <v>40840</v>
      </c>
    </row>
    <row r="5158" spans="1:2" x14ac:dyDescent="0.3">
      <c r="A5158" s="5">
        <v>42669</v>
      </c>
      <c r="B5158" s="10">
        <v>40885</v>
      </c>
    </row>
    <row r="5159" spans="1:2" x14ac:dyDescent="0.3">
      <c r="A5159" s="5">
        <v>42670</v>
      </c>
      <c r="B5159" s="10">
        <v>39841</v>
      </c>
    </row>
    <row r="5160" spans="1:2" x14ac:dyDescent="0.3">
      <c r="A5160" s="5">
        <v>42671</v>
      </c>
      <c r="B5160" s="10">
        <v>40020</v>
      </c>
    </row>
    <row r="5161" spans="1:2" x14ac:dyDescent="0.3">
      <c r="A5161" s="5">
        <v>42674</v>
      </c>
      <c r="B5161" s="10">
        <v>37210</v>
      </c>
    </row>
    <row r="5162" spans="1:2" x14ac:dyDescent="0.3">
      <c r="A5162" s="5">
        <v>42675</v>
      </c>
      <c r="B5162" s="10">
        <v>37533</v>
      </c>
    </row>
    <row r="5163" spans="1:2" x14ac:dyDescent="0.3">
      <c r="A5163" s="5">
        <v>42676</v>
      </c>
      <c r="B5163" s="10">
        <v>37622</v>
      </c>
    </row>
    <row r="5164" spans="1:2" x14ac:dyDescent="0.3">
      <c r="A5164" s="5">
        <v>42677</v>
      </c>
      <c r="B5164" s="10">
        <v>37616</v>
      </c>
    </row>
    <row r="5165" spans="1:2" x14ac:dyDescent="0.3">
      <c r="A5165" s="5">
        <v>42678</v>
      </c>
      <c r="B5165" s="10">
        <v>37940</v>
      </c>
    </row>
    <row r="5166" spans="1:2" x14ac:dyDescent="0.3">
      <c r="A5166" s="5">
        <v>42681</v>
      </c>
      <c r="B5166" s="10">
        <v>37691</v>
      </c>
    </row>
    <row r="5167" spans="1:2" x14ac:dyDescent="0.3">
      <c r="A5167" s="5">
        <v>42682</v>
      </c>
      <c r="B5167" s="10">
        <v>38070</v>
      </c>
    </row>
    <row r="5168" spans="1:2" x14ac:dyDescent="0.3">
      <c r="A5168" s="5">
        <v>42683</v>
      </c>
      <c r="B5168" s="10">
        <v>38058</v>
      </c>
    </row>
    <row r="5169" spans="1:2" x14ac:dyDescent="0.3">
      <c r="A5169" s="5">
        <v>42684</v>
      </c>
      <c r="B5169" s="10">
        <v>38016</v>
      </c>
    </row>
    <row r="5170" spans="1:2" x14ac:dyDescent="0.3">
      <c r="A5170" s="5">
        <v>42685</v>
      </c>
      <c r="B5170" s="10">
        <v>37958</v>
      </c>
    </row>
    <row r="5171" spans="1:2" x14ac:dyDescent="0.3">
      <c r="A5171" s="5">
        <v>42688</v>
      </c>
      <c r="B5171" s="10">
        <v>37938</v>
      </c>
    </row>
    <row r="5172" spans="1:2" x14ac:dyDescent="0.3">
      <c r="A5172" s="5">
        <v>42689</v>
      </c>
      <c r="B5172" s="10">
        <v>37901</v>
      </c>
    </row>
    <row r="5173" spans="1:2" x14ac:dyDescent="0.3">
      <c r="A5173" s="5">
        <v>42690</v>
      </c>
      <c r="B5173" s="10">
        <v>37875</v>
      </c>
    </row>
    <row r="5174" spans="1:2" x14ac:dyDescent="0.3">
      <c r="A5174" s="5">
        <v>42691</v>
      </c>
      <c r="B5174" s="10">
        <v>37426</v>
      </c>
    </row>
    <row r="5175" spans="1:2" x14ac:dyDescent="0.3">
      <c r="A5175" s="5">
        <v>42692</v>
      </c>
      <c r="B5175" s="10">
        <v>37283</v>
      </c>
    </row>
    <row r="5176" spans="1:2" x14ac:dyDescent="0.3">
      <c r="A5176" s="5">
        <v>42695</v>
      </c>
      <c r="B5176" s="10">
        <v>37461</v>
      </c>
    </row>
    <row r="5177" spans="1:2" x14ac:dyDescent="0.3">
      <c r="A5177" s="5">
        <v>42696</v>
      </c>
      <c r="B5177" s="10">
        <v>37610</v>
      </c>
    </row>
    <row r="5178" spans="1:2" x14ac:dyDescent="0.3">
      <c r="A5178" s="5">
        <v>42697</v>
      </c>
      <c r="B5178" s="10">
        <v>37554</v>
      </c>
    </row>
    <row r="5179" spans="1:2" x14ac:dyDescent="0.3">
      <c r="A5179" s="5">
        <v>42698</v>
      </c>
      <c r="B5179" s="10">
        <v>37575</v>
      </c>
    </row>
    <row r="5180" spans="1:2" x14ac:dyDescent="0.3">
      <c r="A5180" s="5">
        <v>42699</v>
      </c>
      <c r="B5180" s="10">
        <v>37682</v>
      </c>
    </row>
    <row r="5181" spans="1:2" x14ac:dyDescent="0.3">
      <c r="A5181" s="5">
        <v>42703</v>
      </c>
      <c r="B5181" s="10">
        <v>37561</v>
      </c>
    </row>
    <row r="5182" spans="1:2" x14ac:dyDescent="0.3">
      <c r="A5182" s="5">
        <v>42704</v>
      </c>
      <c r="B5182" s="10">
        <v>37378</v>
      </c>
    </row>
    <row r="5183" spans="1:2" x14ac:dyDescent="0.3">
      <c r="A5183" s="5">
        <v>42705</v>
      </c>
      <c r="B5183" s="10">
        <v>37275</v>
      </c>
    </row>
    <row r="5184" spans="1:2" x14ac:dyDescent="0.3">
      <c r="A5184" s="5">
        <v>42706</v>
      </c>
      <c r="B5184" s="10">
        <v>37536</v>
      </c>
    </row>
    <row r="5185" spans="1:2" x14ac:dyDescent="0.3">
      <c r="A5185" s="5">
        <v>42709</v>
      </c>
      <c r="B5185" s="10">
        <v>37537</v>
      </c>
    </row>
    <row r="5186" spans="1:2" x14ac:dyDescent="0.3">
      <c r="A5186" s="5">
        <v>42710</v>
      </c>
      <c r="B5186" s="10">
        <v>37592</v>
      </c>
    </row>
    <row r="5187" spans="1:2" x14ac:dyDescent="0.3">
      <c r="A5187" s="5">
        <v>42711</v>
      </c>
      <c r="B5187" s="10">
        <v>37811</v>
      </c>
    </row>
    <row r="5188" spans="1:2" x14ac:dyDescent="0.3">
      <c r="A5188" s="5">
        <v>42716</v>
      </c>
      <c r="B5188" s="10">
        <v>36776</v>
      </c>
    </row>
    <row r="5189" spans="1:2" x14ac:dyDescent="0.3">
      <c r="A5189" s="5">
        <v>42717</v>
      </c>
      <c r="B5189" s="10">
        <v>36869</v>
      </c>
    </row>
    <row r="5190" spans="1:2" x14ac:dyDescent="0.3">
      <c r="A5190" s="5">
        <v>42718</v>
      </c>
      <c r="B5190" s="10">
        <v>37007</v>
      </c>
    </row>
    <row r="5191" spans="1:2" x14ac:dyDescent="0.3">
      <c r="A5191" s="5">
        <v>42719</v>
      </c>
      <c r="B5191" s="10">
        <v>36878</v>
      </c>
    </row>
    <row r="5192" spans="1:2" x14ac:dyDescent="0.3">
      <c r="A5192" s="5">
        <v>42720</v>
      </c>
      <c r="B5192" s="10">
        <v>37086</v>
      </c>
    </row>
    <row r="5193" spans="1:2" x14ac:dyDescent="0.3">
      <c r="A5193" s="5">
        <v>42723</v>
      </c>
      <c r="B5193" s="10">
        <v>37203</v>
      </c>
    </row>
    <row r="5194" spans="1:2" x14ac:dyDescent="0.3">
      <c r="A5194" s="5">
        <v>42724</v>
      </c>
      <c r="B5194" s="10">
        <v>37930</v>
      </c>
    </row>
    <row r="5195" spans="1:2" x14ac:dyDescent="0.3">
      <c r="A5195" s="5">
        <v>42725</v>
      </c>
      <c r="B5195" s="10">
        <v>38189</v>
      </c>
    </row>
    <row r="5196" spans="1:2" x14ac:dyDescent="0.3">
      <c r="A5196" s="5">
        <v>42726</v>
      </c>
      <c r="B5196" s="10">
        <v>38173</v>
      </c>
    </row>
    <row r="5197" spans="1:2" x14ac:dyDescent="0.3">
      <c r="A5197" s="5">
        <v>42727</v>
      </c>
      <c r="B5197" s="10">
        <v>38511</v>
      </c>
    </row>
    <row r="5198" spans="1:2" x14ac:dyDescent="0.3">
      <c r="A5198" s="5">
        <v>42730</v>
      </c>
      <c r="B5198" s="10">
        <v>38509</v>
      </c>
    </row>
    <row r="5199" spans="1:2" x14ac:dyDescent="0.3">
      <c r="A5199" s="5">
        <v>42731</v>
      </c>
      <c r="B5199" s="10">
        <v>38956</v>
      </c>
    </row>
    <row r="5200" spans="1:2" x14ac:dyDescent="0.3">
      <c r="A5200" s="5">
        <v>42732</v>
      </c>
      <c r="B5200" s="10">
        <v>39204</v>
      </c>
    </row>
    <row r="5201" spans="1:2" x14ac:dyDescent="0.3">
      <c r="A5201" s="5">
        <v>42733</v>
      </c>
      <c r="B5201" s="10">
        <v>39362</v>
      </c>
    </row>
    <row r="5202" spans="1:2" x14ac:dyDescent="0.3">
      <c r="A5202" s="5">
        <v>42734</v>
      </c>
      <c r="B5202" s="10">
        <v>39308</v>
      </c>
    </row>
    <row r="5203" spans="1:2" x14ac:dyDescent="0.3">
      <c r="A5203" s="5">
        <v>42737</v>
      </c>
      <c r="B5203" s="10">
        <v>39296</v>
      </c>
    </row>
    <row r="5204" spans="1:2" x14ac:dyDescent="0.3">
      <c r="A5204" s="5">
        <v>42738</v>
      </c>
      <c r="B5204" s="10">
        <v>39486</v>
      </c>
    </row>
    <row r="5205" spans="1:2" x14ac:dyDescent="0.3">
      <c r="A5205" s="5">
        <v>42739</v>
      </c>
      <c r="B5205" s="10">
        <v>39580</v>
      </c>
    </row>
    <row r="5206" spans="1:2" x14ac:dyDescent="0.3">
      <c r="A5206" s="5">
        <v>42740</v>
      </c>
      <c r="B5206" s="10">
        <v>39856</v>
      </c>
    </row>
    <row r="5207" spans="1:2" x14ac:dyDescent="0.3">
      <c r="A5207" s="5">
        <v>42741</v>
      </c>
      <c r="B5207" s="10">
        <v>39802</v>
      </c>
    </row>
    <row r="5208" spans="1:2" x14ac:dyDescent="0.3">
      <c r="A5208" s="5">
        <v>42744</v>
      </c>
      <c r="B5208" s="10">
        <v>39661</v>
      </c>
    </row>
    <row r="5209" spans="1:2" x14ac:dyDescent="0.3">
      <c r="A5209" s="5">
        <v>42745</v>
      </c>
      <c r="B5209" s="10">
        <v>39702</v>
      </c>
    </row>
    <row r="5210" spans="1:2" x14ac:dyDescent="0.3">
      <c r="A5210" s="5">
        <v>42746</v>
      </c>
      <c r="B5210" s="10">
        <v>39665</v>
      </c>
    </row>
    <row r="5211" spans="1:2" x14ac:dyDescent="0.3">
      <c r="A5211" s="5">
        <v>42747</v>
      </c>
      <c r="B5211" s="10">
        <v>39890</v>
      </c>
    </row>
    <row r="5212" spans="1:2" x14ac:dyDescent="0.3">
      <c r="A5212" s="5">
        <v>42748</v>
      </c>
      <c r="B5212" s="10">
        <v>40114</v>
      </c>
    </row>
    <row r="5213" spans="1:2" x14ac:dyDescent="0.3">
      <c r="A5213" s="5">
        <v>42751</v>
      </c>
      <c r="B5213" s="10">
        <v>40135</v>
      </c>
    </row>
    <row r="5214" spans="1:2" x14ac:dyDescent="0.3">
      <c r="A5214" s="5">
        <v>42752</v>
      </c>
      <c r="B5214" s="10">
        <v>40202</v>
      </c>
    </row>
    <row r="5215" spans="1:2" x14ac:dyDescent="0.3">
      <c r="A5215" s="5">
        <v>42753</v>
      </c>
      <c r="B5215" s="10">
        <v>40184</v>
      </c>
    </row>
    <row r="5216" spans="1:2" x14ac:dyDescent="0.3">
      <c r="A5216" s="5">
        <v>42754</v>
      </c>
      <c r="B5216" s="10">
        <v>40051</v>
      </c>
    </row>
    <row r="5217" spans="1:2" x14ac:dyDescent="0.3">
      <c r="A5217" s="5">
        <v>42755</v>
      </c>
      <c r="B5217" s="10">
        <v>40003</v>
      </c>
    </row>
    <row r="5218" spans="1:2" x14ac:dyDescent="0.3">
      <c r="A5218" s="5">
        <v>42758</v>
      </c>
      <c r="B5218" s="10">
        <v>40002</v>
      </c>
    </row>
    <row r="5219" spans="1:2" x14ac:dyDescent="0.3">
      <c r="A5219" s="5">
        <v>42759</v>
      </c>
      <c r="B5219" s="10">
        <v>39915</v>
      </c>
    </row>
    <row r="5220" spans="1:2" x14ac:dyDescent="0.3">
      <c r="A5220" s="5">
        <v>42760</v>
      </c>
      <c r="B5220" s="10">
        <v>39884</v>
      </c>
    </row>
    <row r="5221" spans="1:2" x14ac:dyDescent="0.3">
      <c r="A5221" s="5">
        <v>42761</v>
      </c>
      <c r="B5221" s="10">
        <v>46634</v>
      </c>
    </row>
    <row r="5222" spans="1:2" x14ac:dyDescent="0.3">
      <c r="A5222" s="5">
        <v>42762</v>
      </c>
      <c r="B5222" s="10">
        <v>46651</v>
      </c>
    </row>
    <row r="5223" spans="1:2" x14ac:dyDescent="0.3">
      <c r="A5223" s="5">
        <v>42765</v>
      </c>
      <c r="B5223" s="10">
        <v>46847</v>
      </c>
    </row>
    <row r="5224" spans="1:2" x14ac:dyDescent="0.3">
      <c r="A5224" s="5">
        <v>42766</v>
      </c>
      <c r="B5224" s="10">
        <v>46887</v>
      </c>
    </row>
    <row r="5225" spans="1:2" x14ac:dyDescent="0.3">
      <c r="A5225" s="5">
        <v>42767</v>
      </c>
      <c r="B5225" s="10">
        <v>46750</v>
      </c>
    </row>
    <row r="5226" spans="1:2" x14ac:dyDescent="0.3">
      <c r="A5226" s="5">
        <v>42768</v>
      </c>
      <c r="B5226" s="10">
        <v>46647</v>
      </c>
    </row>
    <row r="5227" spans="1:2" x14ac:dyDescent="0.3">
      <c r="A5227" s="5">
        <v>42769</v>
      </c>
      <c r="B5227" s="10">
        <v>46653</v>
      </c>
    </row>
    <row r="5228" spans="1:2" x14ac:dyDescent="0.3">
      <c r="A5228" s="5">
        <v>42772</v>
      </c>
      <c r="B5228" s="10">
        <v>46705</v>
      </c>
    </row>
    <row r="5229" spans="1:2" x14ac:dyDescent="0.3">
      <c r="A5229" s="5">
        <v>42773</v>
      </c>
      <c r="B5229" s="10">
        <v>46743</v>
      </c>
    </row>
    <row r="5230" spans="1:2" x14ac:dyDescent="0.3">
      <c r="A5230" s="5">
        <v>42774</v>
      </c>
      <c r="B5230" s="10">
        <v>47178</v>
      </c>
    </row>
    <row r="5231" spans="1:2" x14ac:dyDescent="0.3">
      <c r="A5231" s="5">
        <v>42775</v>
      </c>
      <c r="B5231" s="10">
        <v>47178</v>
      </c>
    </row>
    <row r="5232" spans="1:2" x14ac:dyDescent="0.3">
      <c r="A5232" s="5">
        <v>42776</v>
      </c>
      <c r="B5232" s="10">
        <v>47431</v>
      </c>
    </row>
    <row r="5233" spans="1:2" x14ac:dyDescent="0.3">
      <c r="A5233" s="5">
        <v>42779</v>
      </c>
      <c r="B5233" s="10">
        <v>47360</v>
      </c>
    </row>
    <row r="5234" spans="1:2" x14ac:dyDescent="0.3">
      <c r="A5234" s="5">
        <v>42780</v>
      </c>
      <c r="B5234" s="10">
        <v>47188</v>
      </c>
    </row>
    <row r="5235" spans="1:2" x14ac:dyDescent="0.3">
      <c r="A5235" s="5">
        <v>42781</v>
      </c>
      <c r="B5235" s="10">
        <v>48624</v>
      </c>
    </row>
    <row r="5236" spans="1:2" x14ac:dyDescent="0.3">
      <c r="A5236" s="5">
        <v>42782</v>
      </c>
      <c r="B5236" s="10">
        <v>48702</v>
      </c>
    </row>
    <row r="5237" spans="1:2" x14ac:dyDescent="0.3">
      <c r="A5237" s="5">
        <v>42783</v>
      </c>
      <c r="B5237" s="10">
        <v>49085</v>
      </c>
    </row>
    <row r="5238" spans="1:2" x14ac:dyDescent="0.3">
      <c r="A5238" s="5">
        <v>42786</v>
      </c>
      <c r="B5238" s="10">
        <v>49052</v>
      </c>
    </row>
    <row r="5239" spans="1:2" x14ac:dyDescent="0.3">
      <c r="A5239" s="5">
        <v>42787</v>
      </c>
      <c r="B5239" s="10">
        <v>50751</v>
      </c>
    </row>
    <row r="5240" spans="1:2" x14ac:dyDescent="0.3">
      <c r="A5240" s="5">
        <v>42788</v>
      </c>
      <c r="B5240" s="10">
        <v>50768</v>
      </c>
    </row>
    <row r="5241" spans="1:2" x14ac:dyDescent="0.3">
      <c r="A5241" s="5">
        <v>42789</v>
      </c>
      <c r="B5241" s="10">
        <v>50801</v>
      </c>
    </row>
    <row r="5242" spans="1:2" x14ac:dyDescent="0.3">
      <c r="A5242" s="5">
        <v>42790</v>
      </c>
      <c r="B5242" s="10">
        <v>50608</v>
      </c>
    </row>
    <row r="5243" spans="1:2" x14ac:dyDescent="0.3">
      <c r="A5243" s="5">
        <v>42795</v>
      </c>
      <c r="B5243" s="10">
        <v>50551</v>
      </c>
    </row>
    <row r="5244" spans="1:2" x14ac:dyDescent="0.3">
      <c r="A5244" s="5">
        <v>42796</v>
      </c>
      <c r="B5244" s="10">
        <v>51114</v>
      </c>
    </row>
    <row r="5245" spans="1:2" x14ac:dyDescent="0.3">
      <c r="A5245" s="5">
        <v>42797</v>
      </c>
      <c r="B5245" s="10">
        <v>51010</v>
      </c>
    </row>
    <row r="5246" spans="1:2" x14ac:dyDescent="0.3">
      <c r="A5246" s="5">
        <v>42800</v>
      </c>
      <c r="B5246" s="10">
        <v>51495</v>
      </c>
    </row>
    <row r="5247" spans="1:2" x14ac:dyDescent="0.3">
      <c r="A5247" s="5">
        <v>42801</v>
      </c>
      <c r="B5247" s="10">
        <v>51457</v>
      </c>
    </row>
    <row r="5248" spans="1:2" x14ac:dyDescent="0.3">
      <c r="A5248" s="5">
        <v>42802</v>
      </c>
      <c r="B5248" s="10">
        <v>51494</v>
      </c>
    </row>
    <row r="5249" spans="1:2" x14ac:dyDescent="0.3">
      <c r="A5249" s="5">
        <v>42803</v>
      </c>
      <c r="B5249" s="10">
        <v>51599</v>
      </c>
    </row>
    <row r="5250" spans="1:2" x14ac:dyDescent="0.3">
      <c r="A5250" s="5">
        <v>42804</v>
      </c>
      <c r="B5250" s="10">
        <v>51651</v>
      </c>
    </row>
    <row r="5251" spans="1:2" x14ac:dyDescent="0.3">
      <c r="A5251" s="5">
        <v>42807</v>
      </c>
      <c r="B5251" s="10">
        <v>51816</v>
      </c>
    </row>
    <row r="5252" spans="1:2" x14ac:dyDescent="0.3">
      <c r="A5252" s="5">
        <v>42808</v>
      </c>
      <c r="B5252" s="10">
        <v>51772</v>
      </c>
    </row>
    <row r="5253" spans="1:2" x14ac:dyDescent="0.3">
      <c r="A5253" s="5">
        <v>42809</v>
      </c>
      <c r="B5253" s="10">
        <v>51618</v>
      </c>
    </row>
    <row r="5254" spans="1:2" x14ac:dyDescent="0.3">
      <c r="A5254" s="5">
        <v>42810</v>
      </c>
      <c r="B5254" s="10">
        <v>51649</v>
      </c>
    </row>
    <row r="5255" spans="1:2" x14ac:dyDescent="0.3">
      <c r="A5255" s="5">
        <v>42811</v>
      </c>
      <c r="B5255" s="10">
        <v>51667</v>
      </c>
    </row>
    <row r="5256" spans="1:2" x14ac:dyDescent="0.3">
      <c r="A5256" s="5">
        <v>42814</v>
      </c>
      <c r="B5256" s="10">
        <v>51929</v>
      </c>
    </row>
    <row r="5257" spans="1:2" x14ac:dyDescent="0.3">
      <c r="A5257" s="5">
        <v>42815</v>
      </c>
      <c r="B5257" s="10">
        <v>51950</v>
      </c>
    </row>
    <row r="5258" spans="1:2" x14ac:dyDescent="0.3">
      <c r="A5258" s="5">
        <v>42816</v>
      </c>
      <c r="B5258" s="10">
        <v>51926</v>
      </c>
    </row>
    <row r="5259" spans="1:2" x14ac:dyDescent="0.3">
      <c r="A5259" s="5">
        <v>42817</v>
      </c>
      <c r="B5259" s="10">
        <v>51745</v>
      </c>
    </row>
    <row r="5260" spans="1:2" x14ac:dyDescent="0.3">
      <c r="A5260" s="5">
        <v>42821</v>
      </c>
      <c r="B5260" s="10">
        <v>51661</v>
      </c>
    </row>
    <row r="5261" spans="1:2" x14ac:dyDescent="0.3">
      <c r="A5261" s="5">
        <v>42822</v>
      </c>
      <c r="B5261" s="10">
        <v>51515</v>
      </c>
    </row>
    <row r="5262" spans="1:2" x14ac:dyDescent="0.3">
      <c r="A5262" s="5">
        <v>42823</v>
      </c>
      <c r="B5262" s="10">
        <v>51190</v>
      </c>
    </row>
    <row r="5263" spans="1:2" x14ac:dyDescent="0.3">
      <c r="A5263" s="5">
        <v>42824</v>
      </c>
      <c r="B5263" s="10">
        <v>50907</v>
      </c>
    </row>
    <row r="5264" spans="1:2" x14ac:dyDescent="0.3">
      <c r="A5264" s="5">
        <v>42825</v>
      </c>
      <c r="B5264" s="10">
        <v>50522</v>
      </c>
    </row>
    <row r="5265" spans="1:2" x14ac:dyDescent="0.3">
      <c r="A5265" s="5">
        <v>42828</v>
      </c>
      <c r="B5265" s="10">
        <v>51851</v>
      </c>
    </row>
    <row r="5266" spans="1:2" x14ac:dyDescent="0.3">
      <c r="A5266" s="5">
        <v>42829</v>
      </c>
      <c r="B5266" s="10">
        <v>51885</v>
      </c>
    </row>
    <row r="5267" spans="1:2" x14ac:dyDescent="0.3">
      <c r="A5267" s="5">
        <v>42830</v>
      </c>
      <c r="B5267" s="10">
        <v>51926</v>
      </c>
    </row>
    <row r="5268" spans="1:2" x14ac:dyDescent="0.3">
      <c r="A5268" s="5">
        <v>42831</v>
      </c>
      <c r="B5268" s="10">
        <v>52008</v>
      </c>
    </row>
    <row r="5269" spans="1:2" x14ac:dyDescent="0.3">
      <c r="A5269" s="5">
        <v>42832</v>
      </c>
      <c r="B5269" s="10">
        <v>52091</v>
      </c>
    </row>
    <row r="5270" spans="1:2" x14ac:dyDescent="0.3">
      <c r="A5270" s="5">
        <v>42835</v>
      </c>
      <c r="B5270" s="10">
        <v>52088</v>
      </c>
    </row>
    <row r="5271" spans="1:2" x14ac:dyDescent="0.3">
      <c r="A5271" s="5">
        <v>42836</v>
      </c>
      <c r="B5271" s="10">
        <v>52246</v>
      </c>
    </row>
    <row r="5272" spans="1:2" x14ac:dyDescent="0.3">
      <c r="A5272" s="5">
        <v>42837</v>
      </c>
      <c r="B5272" s="10">
        <v>52696</v>
      </c>
    </row>
    <row r="5273" spans="1:2" x14ac:dyDescent="0.3">
      <c r="A5273" s="5">
        <v>42842</v>
      </c>
      <c r="B5273" s="10">
        <v>48579</v>
      </c>
    </row>
    <row r="5274" spans="1:2" x14ac:dyDescent="0.3">
      <c r="A5274" s="5">
        <v>42843</v>
      </c>
      <c r="B5274" s="10">
        <v>49095</v>
      </c>
    </row>
    <row r="5275" spans="1:2" x14ac:dyDescent="0.3">
      <c r="A5275" s="5">
        <v>42844</v>
      </c>
      <c r="B5275" s="10">
        <v>48944</v>
      </c>
    </row>
    <row r="5276" spans="1:2" x14ac:dyDescent="0.3">
      <c r="A5276" s="5">
        <v>42845</v>
      </c>
      <c r="B5276" s="10">
        <v>48892</v>
      </c>
    </row>
    <row r="5277" spans="1:2" x14ac:dyDescent="0.3">
      <c r="A5277" s="5">
        <v>42846</v>
      </c>
      <c r="B5277" s="10">
        <v>48314</v>
      </c>
    </row>
    <row r="5278" spans="1:2" x14ac:dyDescent="0.3">
      <c r="A5278" s="5">
        <v>42849</v>
      </c>
      <c r="B5278" s="10">
        <v>48349</v>
      </c>
    </row>
    <row r="5279" spans="1:2" x14ac:dyDescent="0.3">
      <c r="A5279" s="5">
        <v>42850</v>
      </c>
      <c r="B5279" s="10">
        <v>48260</v>
      </c>
    </row>
    <row r="5280" spans="1:2" x14ac:dyDescent="0.3">
      <c r="A5280" s="5">
        <v>42851</v>
      </c>
      <c r="B5280" s="10">
        <v>48176</v>
      </c>
    </row>
    <row r="5281" spans="1:2" x14ac:dyDescent="0.3">
      <c r="A5281" s="5">
        <v>42852</v>
      </c>
      <c r="B5281" s="10">
        <v>48460</v>
      </c>
    </row>
    <row r="5282" spans="1:2" x14ac:dyDescent="0.3">
      <c r="A5282" s="5">
        <v>42853</v>
      </c>
      <c r="B5282" s="10">
        <v>48217</v>
      </c>
    </row>
    <row r="5283" spans="1:2" x14ac:dyDescent="0.3">
      <c r="A5283" s="5">
        <v>42857</v>
      </c>
      <c r="B5283" s="10">
        <v>48227</v>
      </c>
    </row>
    <row r="5284" spans="1:2" x14ac:dyDescent="0.3">
      <c r="A5284" s="5">
        <v>42858</v>
      </c>
      <c r="B5284" s="10">
        <v>48361</v>
      </c>
    </row>
    <row r="5285" spans="1:2" x14ac:dyDescent="0.3">
      <c r="A5285" s="5">
        <v>42859</v>
      </c>
      <c r="B5285" s="10">
        <v>48336</v>
      </c>
    </row>
    <row r="5286" spans="1:2" x14ac:dyDescent="0.3">
      <c r="A5286" s="5">
        <v>42860</v>
      </c>
      <c r="B5286" s="10">
        <v>48360</v>
      </c>
    </row>
    <row r="5287" spans="1:2" x14ac:dyDescent="0.3">
      <c r="A5287" s="5">
        <v>42863</v>
      </c>
      <c r="B5287" s="10">
        <v>48032</v>
      </c>
    </row>
    <row r="5288" spans="1:2" x14ac:dyDescent="0.3">
      <c r="A5288" s="5">
        <v>42864</v>
      </c>
      <c r="B5288" s="10">
        <v>48040</v>
      </c>
    </row>
    <row r="5289" spans="1:2" x14ac:dyDescent="0.3">
      <c r="A5289" s="5">
        <v>42865</v>
      </c>
      <c r="B5289" s="10">
        <v>48056</v>
      </c>
    </row>
    <row r="5290" spans="1:2" x14ac:dyDescent="0.3">
      <c r="A5290" s="5">
        <v>42866</v>
      </c>
      <c r="B5290" s="10">
        <v>48075</v>
      </c>
    </row>
    <row r="5291" spans="1:2" x14ac:dyDescent="0.3">
      <c r="A5291" s="5">
        <v>42867</v>
      </c>
      <c r="B5291" s="10">
        <v>48628</v>
      </c>
    </row>
    <row r="5292" spans="1:2" x14ac:dyDescent="0.3">
      <c r="A5292" s="5">
        <v>42870</v>
      </c>
      <c r="B5292" s="10">
        <v>48566</v>
      </c>
    </row>
    <row r="5293" spans="1:2" x14ac:dyDescent="0.3">
      <c r="A5293" s="5">
        <v>42871</v>
      </c>
      <c r="B5293" s="10">
        <v>48659</v>
      </c>
    </row>
    <row r="5294" spans="1:2" x14ac:dyDescent="0.3">
      <c r="A5294" s="5">
        <v>42872</v>
      </c>
      <c r="B5294" s="10">
        <v>48627</v>
      </c>
    </row>
    <row r="5295" spans="1:2" x14ac:dyDescent="0.3">
      <c r="A5295" s="5">
        <v>42873</v>
      </c>
      <c r="B5295" s="10">
        <v>48400</v>
      </c>
    </row>
    <row r="5296" spans="1:2" x14ac:dyDescent="0.3">
      <c r="A5296" s="5">
        <v>42874</v>
      </c>
      <c r="B5296" s="10">
        <v>48027</v>
      </c>
    </row>
    <row r="5297" spans="1:2" x14ac:dyDescent="0.3">
      <c r="A5297" s="5">
        <v>42877</v>
      </c>
      <c r="B5297" s="10">
        <v>47855</v>
      </c>
    </row>
    <row r="5298" spans="1:2" x14ac:dyDescent="0.3">
      <c r="A5298" s="5">
        <v>42878</v>
      </c>
      <c r="B5298" s="10">
        <v>47468</v>
      </c>
    </row>
    <row r="5299" spans="1:2" x14ac:dyDescent="0.3">
      <c r="A5299" s="5">
        <v>42879</v>
      </c>
      <c r="B5299" s="10">
        <v>46767</v>
      </c>
    </row>
    <row r="5300" spans="1:2" x14ac:dyDescent="0.3">
      <c r="A5300" s="5">
        <v>42881</v>
      </c>
      <c r="B5300" s="10">
        <v>45872</v>
      </c>
    </row>
    <row r="5301" spans="1:2" x14ac:dyDescent="0.3">
      <c r="A5301" s="5">
        <v>42884</v>
      </c>
      <c r="B5301" s="10">
        <v>45851</v>
      </c>
    </row>
    <row r="5302" spans="1:2" x14ac:dyDescent="0.3">
      <c r="A5302" s="5">
        <v>42885</v>
      </c>
      <c r="B5302" s="10">
        <v>45814</v>
      </c>
    </row>
    <row r="5303" spans="1:2" x14ac:dyDescent="0.3">
      <c r="A5303" s="5">
        <v>42886</v>
      </c>
      <c r="B5303" s="10">
        <v>46146</v>
      </c>
    </row>
    <row r="5304" spans="1:2" x14ac:dyDescent="0.3">
      <c r="A5304" s="5">
        <v>42887</v>
      </c>
      <c r="B5304" s="10">
        <v>45082</v>
      </c>
    </row>
    <row r="5305" spans="1:2" x14ac:dyDescent="0.3">
      <c r="A5305" s="5">
        <v>42888</v>
      </c>
      <c r="B5305" s="10">
        <v>45070</v>
      </c>
    </row>
    <row r="5306" spans="1:2" x14ac:dyDescent="0.3">
      <c r="A5306" s="5">
        <v>42891</v>
      </c>
      <c r="B5306" s="10">
        <v>45142</v>
      </c>
    </row>
    <row r="5307" spans="1:2" x14ac:dyDescent="0.3">
      <c r="A5307" s="5">
        <v>42892</v>
      </c>
      <c r="B5307" s="10">
        <v>45093</v>
      </c>
    </row>
    <row r="5308" spans="1:2" x14ac:dyDescent="0.3">
      <c r="A5308" s="5">
        <v>42893</v>
      </c>
      <c r="B5308" s="10">
        <v>45080</v>
      </c>
    </row>
    <row r="5309" spans="1:2" x14ac:dyDescent="0.3">
      <c r="A5309" s="5">
        <v>42894</v>
      </c>
      <c r="B5309" s="10">
        <v>44922</v>
      </c>
    </row>
    <row r="5310" spans="1:2" x14ac:dyDescent="0.3">
      <c r="A5310" s="5">
        <v>42895</v>
      </c>
      <c r="B5310" s="10">
        <v>44899</v>
      </c>
    </row>
    <row r="5311" spans="1:2" x14ac:dyDescent="0.3">
      <c r="A5311" s="5">
        <v>42898</v>
      </c>
      <c r="B5311" s="10">
        <v>44775</v>
      </c>
    </row>
    <row r="5312" spans="1:2" x14ac:dyDescent="0.3">
      <c r="A5312" s="5">
        <v>42899</v>
      </c>
      <c r="B5312" s="10">
        <v>44641</v>
      </c>
    </row>
    <row r="5313" spans="1:2" x14ac:dyDescent="0.3">
      <c r="A5313" s="5">
        <v>42900</v>
      </c>
      <c r="B5313" s="10">
        <v>44733</v>
      </c>
    </row>
    <row r="5314" spans="1:2" x14ac:dyDescent="0.3">
      <c r="A5314" s="5">
        <v>42901</v>
      </c>
      <c r="B5314" s="10">
        <v>44632</v>
      </c>
    </row>
    <row r="5315" spans="1:2" x14ac:dyDescent="0.3">
      <c r="A5315" s="5">
        <v>42902</v>
      </c>
      <c r="B5315" s="10">
        <v>44780</v>
      </c>
    </row>
    <row r="5316" spans="1:2" x14ac:dyDescent="0.3">
      <c r="A5316" s="5">
        <v>42905</v>
      </c>
      <c r="B5316" s="10">
        <v>44758</v>
      </c>
    </row>
    <row r="5317" spans="1:2" x14ac:dyDescent="0.3">
      <c r="A5317" s="5">
        <v>42907</v>
      </c>
      <c r="B5317" s="10">
        <v>45872</v>
      </c>
    </row>
    <row r="5318" spans="1:2" x14ac:dyDescent="0.3">
      <c r="A5318" s="5">
        <v>42908</v>
      </c>
      <c r="B5318" s="10">
        <v>45917</v>
      </c>
    </row>
    <row r="5319" spans="1:2" x14ac:dyDescent="0.3">
      <c r="A5319" s="5">
        <v>42909</v>
      </c>
      <c r="B5319" s="10">
        <v>45897</v>
      </c>
    </row>
    <row r="5320" spans="1:2" x14ac:dyDescent="0.3">
      <c r="A5320" s="5">
        <v>42912</v>
      </c>
      <c r="B5320" s="10">
        <v>45687</v>
      </c>
    </row>
    <row r="5321" spans="1:2" x14ac:dyDescent="0.3">
      <c r="A5321" s="5">
        <v>42913</v>
      </c>
      <c r="B5321" s="10">
        <v>45546</v>
      </c>
    </row>
    <row r="5322" spans="1:2" x14ac:dyDescent="0.3">
      <c r="A5322" s="5">
        <v>42914</v>
      </c>
      <c r="B5322" s="10">
        <v>47703</v>
      </c>
    </row>
    <row r="5323" spans="1:2" x14ac:dyDescent="0.3">
      <c r="A5323" s="5">
        <v>42915</v>
      </c>
      <c r="B5323" s="10">
        <v>46997</v>
      </c>
    </row>
    <row r="5324" spans="1:2" x14ac:dyDescent="0.3">
      <c r="A5324" s="5">
        <v>42916</v>
      </c>
      <c r="B5324" s="10">
        <v>47995</v>
      </c>
    </row>
    <row r="5325" spans="1:2" x14ac:dyDescent="0.3">
      <c r="A5325" s="5">
        <v>42919</v>
      </c>
      <c r="B5325" s="10">
        <v>47819</v>
      </c>
    </row>
    <row r="5326" spans="1:2" x14ac:dyDescent="0.3">
      <c r="A5326" s="5">
        <v>42920</v>
      </c>
      <c r="B5326" s="10">
        <v>47761</v>
      </c>
    </row>
    <row r="5327" spans="1:2" x14ac:dyDescent="0.3">
      <c r="A5327" s="5">
        <v>42921</v>
      </c>
      <c r="B5327" s="10">
        <v>47793</v>
      </c>
    </row>
    <row r="5328" spans="1:2" x14ac:dyDescent="0.3">
      <c r="A5328" s="5">
        <v>42922</v>
      </c>
      <c r="B5328" s="10">
        <v>47995</v>
      </c>
    </row>
    <row r="5329" spans="1:2" x14ac:dyDescent="0.3">
      <c r="A5329" s="5">
        <v>42923</v>
      </c>
      <c r="B5329" s="10">
        <v>48569</v>
      </c>
    </row>
    <row r="5330" spans="1:2" x14ac:dyDescent="0.3">
      <c r="A5330" s="5">
        <v>42926</v>
      </c>
      <c r="B5330" s="10">
        <v>48512</v>
      </c>
    </row>
    <row r="5331" spans="1:2" x14ac:dyDescent="0.3">
      <c r="A5331" s="5">
        <v>42927</v>
      </c>
      <c r="B5331" s="10">
        <v>48455</v>
      </c>
    </row>
    <row r="5332" spans="1:2" x14ac:dyDescent="0.3">
      <c r="A5332" s="5">
        <v>42928</v>
      </c>
      <c r="B5332" s="10">
        <v>48327</v>
      </c>
    </row>
    <row r="5333" spans="1:2" x14ac:dyDescent="0.3">
      <c r="A5333" s="5">
        <v>42929</v>
      </c>
      <c r="B5333" s="10">
        <v>48273</v>
      </c>
    </row>
    <row r="5334" spans="1:2" x14ac:dyDescent="0.3">
      <c r="A5334" s="5">
        <v>42930</v>
      </c>
      <c r="B5334" s="10">
        <v>48246</v>
      </c>
    </row>
    <row r="5335" spans="1:2" x14ac:dyDescent="0.3">
      <c r="A5335" s="5">
        <v>42933</v>
      </c>
      <c r="B5335" s="10">
        <v>47951</v>
      </c>
    </row>
    <row r="5336" spans="1:2" x14ac:dyDescent="0.3">
      <c r="A5336" s="5">
        <v>42934</v>
      </c>
      <c r="B5336" s="10">
        <v>47781</v>
      </c>
    </row>
    <row r="5337" spans="1:2" x14ac:dyDescent="0.3">
      <c r="A5337" s="5">
        <v>42935</v>
      </c>
      <c r="B5337" s="10">
        <v>47702</v>
      </c>
    </row>
    <row r="5338" spans="1:2" x14ac:dyDescent="0.3">
      <c r="A5338" s="5">
        <v>42936</v>
      </c>
      <c r="B5338" s="10">
        <v>48115</v>
      </c>
    </row>
    <row r="5339" spans="1:2" x14ac:dyDescent="0.3">
      <c r="A5339" s="5">
        <v>42937</v>
      </c>
      <c r="B5339" s="10">
        <v>48138</v>
      </c>
    </row>
    <row r="5340" spans="1:2" x14ac:dyDescent="0.3">
      <c r="A5340" s="5">
        <v>42940</v>
      </c>
      <c r="B5340" s="10">
        <v>47869</v>
      </c>
    </row>
    <row r="5341" spans="1:2" x14ac:dyDescent="0.3">
      <c r="A5341" s="5">
        <v>42941</v>
      </c>
      <c r="B5341" s="10">
        <v>47513</v>
      </c>
    </row>
    <row r="5342" spans="1:2" x14ac:dyDescent="0.3">
      <c r="A5342" s="5">
        <v>42942</v>
      </c>
      <c r="B5342" s="10">
        <v>47391</v>
      </c>
    </row>
    <row r="5343" spans="1:2" x14ac:dyDescent="0.3">
      <c r="A5343" s="5">
        <v>42943</v>
      </c>
      <c r="B5343" s="10">
        <v>47471</v>
      </c>
    </row>
    <row r="5344" spans="1:2" x14ac:dyDescent="0.3">
      <c r="A5344" s="5">
        <v>42944</v>
      </c>
      <c r="B5344" s="10">
        <v>47098</v>
      </c>
    </row>
    <row r="5345" spans="1:2" x14ac:dyDescent="0.3">
      <c r="A5345" s="5">
        <v>42947</v>
      </c>
      <c r="B5345" s="10">
        <v>47014</v>
      </c>
    </row>
    <row r="5346" spans="1:2" x14ac:dyDescent="0.3">
      <c r="A5346" s="5">
        <v>42948</v>
      </c>
      <c r="B5346" s="10">
        <v>46840</v>
      </c>
    </row>
    <row r="5347" spans="1:2" x14ac:dyDescent="0.3">
      <c r="A5347" s="5">
        <v>42949</v>
      </c>
      <c r="B5347" s="10">
        <v>46821</v>
      </c>
    </row>
    <row r="5348" spans="1:2" x14ac:dyDescent="0.3">
      <c r="A5348" s="5">
        <v>42950</v>
      </c>
      <c r="B5348" s="10">
        <v>46770</v>
      </c>
    </row>
    <row r="5349" spans="1:2" x14ac:dyDescent="0.3">
      <c r="A5349" s="5">
        <v>42951</v>
      </c>
      <c r="B5349" s="10">
        <v>49305</v>
      </c>
    </row>
    <row r="5350" spans="1:2" x14ac:dyDescent="0.3">
      <c r="A5350" s="5">
        <v>42954</v>
      </c>
      <c r="B5350" s="10">
        <v>49081</v>
      </c>
    </row>
    <row r="5351" spans="1:2" x14ac:dyDescent="0.3">
      <c r="A5351" s="5">
        <v>42955</v>
      </c>
      <c r="B5351" s="10">
        <v>48982</v>
      </c>
    </row>
    <row r="5352" spans="1:2" x14ac:dyDescent="0.3">
      <c r="A5352" s="5">
        <v>42956</v>
      </c>
      <c r="B5352" s="10">
        <v>48641</v>
      </c>
    </row>
    <row r="5353" spans="1:2" x14ac:dyDescent="0.3">
      <c r="A5353" s="5">
        <v>42957</v>
      </c>
      <c r="B5353" s="10">
        <v>48366</v>
      </c>
    </row>
    <row r="5354" spans="1:2" x14ac:dyDescent="0.3">
      <c r="A5354" s="5">
        <v>42958</v>
      </c>
      <c r="B5354" s="10">
        <v>48216</v>
      </c>
    </row>
    <row r="5355" spans="1:2" x14ac:dyDescent="0.3">
      <c r="A5355" s="5">
        <v>42961</v>
      </c>
      <c r="B5355" s="10">
        <v>47754</v>
      </c>
    </row>
    <row r="5356" spans="1:2" x14ac:dyDescent="0.3">
      <c r="A5356" s="5">
        <v>42962</v>
      </c>
      <c r="B5356" s="10">
        <v>47740</v>
      </c>
    </row>
    <row r="5357" spans="1:2" x14ac:dyDescent="0.3">
      <c r="A5357" s="5">
        <v>42963</v>
      </c>
      <c r="B5357" s="10">
        <v>47848</v>
      </c>
    </row>
    <row r="5358" spans="1:2" x14ac:dyDescent="0.3">
      <c r="A5358" s="5">
        <v>42964</v>
      </c>
      <c r="B5358" s="10">
        <v>48049</v>
      </c>
    </row>
    <row r="5359" spans="1:2" x14ac:dyDescent="0.3">
      <c r="A5359" s="5">
        <v>42965</v>
      </c>
      <c r="B5359" s="10">
        <v>47992</v>
      </c>
    </row>
    <row r="5360" spans="1:2" x14ac:dyDescent="0.3">
      <c r="A5360" s="5">
        <v>42969</v>
      </c>
      <c r="B5360" s="10">
        <v>47941</v>
      </c>
    </row>
    <row r="5361" spans="1:2" x14ac:dyDescent="0.3">
      <c r="A5361" s="5">
        <v>42970</v>
      </c>
      <c r="B5361" s="10">
        <v>47783</v>
      </c>
    </row>
    <row r="5362" spans="1:2" x14ac:dyDescent="0.3">
      <c r="A5362" s="5">
        <v>42971</v>
      </c>
      <c r="B5362" s="10">
        <v>47908</v>
      </c>
    </row>
    <row r="5363" spans="1:2" x14ac:dyDescent="0.3">
      <c r="A5363" s="5">
        <v>42972</v>
      </c>
      <c r="B5363" s="10">
        <v>49022</v>
      </c>
    </row>
    <row r="5364" spans="1:2" x14ac:dyDescent="0.3">
      <c r="A5364" s="5">
        <v>42975</v>
      </c>
      <c r="B5364" s="10">
        <v>49381</v>
      </c>
    </row>
    <row r="5365" spans="1:2" x14ac:dyDescent="0.3">
      <c r="A5365" s="5">
        <v>42976</v>
      </c>
      <c r="B5365" s="10">
        <v>49343</v>
      </c>
    </row>
    <row r="5366" spans="1:2" x14ac:dyDescent="0.3">
      <c r="A5366" s="5">
        <v>42977</v>
      </c>
      <c r="B5366" s="10">
        <v>49235</v>
      </c>
    </row>
    <row r="5367" spans="1:2" x14ac:dyDescent="0.3">
      <c r="A5367" s="5">
        <v>42978</v>
      </c>
      <c r="B5367" s="10">
        <v>48877</v>
      </c>
    </row>
    <row r="5368" spans="1:2" x14ac:dyDescent="0.3">
      <c r="A5368" s="5">
        <v>42979</v>
      </c>
      <c r="B5368" s="10">
        <v>49433</v>
      </c>
    </row>
    <row r="5369" spans="1:2" x14ac:dyDescent="0.3">
      <c r="A5369" s="5">
        <v>42982</v>
      </c>
      <c r="B5369" s="10">
        <v>49477</v>
      </c>
    </row>
    <row r="5370" spans="1:2" x14ac:dyDescent="0.3">
      <c r="A5370" s="5">
        <v>42983</v>
      </c>
      <c r="B5370" s="10">
        <v>51296</v>
      </c>
    </row>
    <row r="5371" spans="1:2" x14ac:dyDescent="0.3">
      <c r="A5371" s="5">
        <v>42984</v>
      </c>
      <c r="B5371" s="10">
        <v>51317</v>
      </c>
    </row>
    <row r="5372" spans="1:2" x14ac:dyDescent="0.3">
      <c r="A5372" s="5">
        <v>42985</v>
      </c>
      <c r="B5372" s="10">
        <v>51240</v>
      </c>
    </row>
    <row r="5373" spans="1:2" x14ac:dyDescent="0.3">
      <c r="A5373" s="5">
        <v>42986</v>
      </c>
      <c r="B5373" s="10">
        <v>51274</v>
      </c>
    </row>
    <row r="5374" spans="1:2" x14ac:dyDescent="0.3">
      <c r="A5374" s="5">
        <v>42989</v>
      </c>
      <c r="B5374" s="10">
        <v>51078</v>
      </c>
    </row>
    <row r="5375" spans="1:2" x14ac:dyDescent="0.3">
      <c r="A5375" s="5">
        <v>42990</v>
      </c>
      <c r="B5375" s="10">
        <v>50890</v>
      </c>
    </row>
    <row r="5376" spans="1:2" x14ac:dyDescent="0.3">
      <c r="A5376" s="5">
        <v>42991</v>
      </c>
      <c r="B5376" s="10">
        <v>51043</v>
      </c>
    </row>
    <row r="5377" spans="1:2" x14ac:dyDescent="0.3">
      <c r="A5377" s="5">
        <v>42992</v>
      </c>
      <c r="B5377" s="10">
        <v>50975</v>
      </c>
    </row>
    <row r="5378" spans="1:2" x14ac:dyDescent="0.3">
      <c r="A5378" s="5">
        <v>42993</v>
      </c>
      <c r="B5378" s="10">
        <v>51024</v>
      </c>
    </row>
    <row r="5379" spans="1:2" x14ac:dyDescent="0.3">
      <c r="A5379" s="5">
        <v>42996</v>
      </c>
      <c r="B5379" s="10">
        <v>50839</v>
      </c>
    </row>
    <row r="5380" spans="1:2" x14ac:dyDescent="0.3">
      <c r="A5380" s="5">
        <v>42997</v>
      </c>
      <c r="B5380" s="10">
        <v>51112</v>
      </c>
    </row>
    <row r="5381" spans="1:2" x14ac:dyDescent="0.3">
      <c r="A5381" s="5">
        <v>42998</v>
      </c>
      <c r="B5381" s="10">
        <v>51366</v>
      </c>
    </row>
    <row r="5382" spans="1:2" x14ac:dyDescent="0.3">
      <c r="A5382" s="5">
        <v>42999</v>
      </c>
      <c r="B5382" s="10">
        <v>51292</v>
      </c>
    </row>
    <row r="5383" spans="1:2" x14ac:dyDescent="0.3">
      <c r="A5383" s="5">
        <v>43000</v>
      </c>
      <c r="B5383" s="10">
        <v>51331</v>
      </c>
    </row>
    <row r="5384" spans="1:2" x14ac:dyDescent="0.3">
      <c r="A5384" s="5">
        <v>43003</v>
      </c>
      <c r="B5384" s="10">
        <v>51158</v>
      </c>
    </row>
    <row r="5385" spans="1:2" x14ac:dyDescent="0.3">
      <c r="A5385" s="5">
        <v>43004</v>
      </c>
      <c r="B5385" s="10">
        <v>50971</v>
      </c>
    </row>
    <row r="5386" spans="1:2" x14ac:dyDescent="0.3">
      <c r="A5386" s="5">
        <v>43005</v>
      </c>
      <c r="B5386" s="10">
        <v>50889</v>
      </c>
    </row>
    <row r="5387" spans="1:2" x14ac:dyDescent="0.3">
      <c r="A5387" s="5">
        <v>43006</v>
      </c>
      <c r="B5387" s="10">
        <v>50515</v>
      </c>
    </row>
    <row r="5388" spans="1:2" x14ac:dyDescent="0.3">
      <c r="A5388" s="5">
        <v>43007</v>
      </c>
      <c r="B5388" s="10">
        <v>50237</v>
      </c>
    </row>
    <row r="5389" spans="1:2" x14ac:dyDescent="0.3">
      <c r="A5389" s="5">
        <v>43010</v>
      </c>
      <c r="B5389" s="10">
        <v>50646</v>
      </c>
    </row>
    <row r="5390" spans="1:2" x14ac:dyDescent="0.3">
      <c r="A5390" s="5">
        <v>43011</v>
      </c>
      <c r="B5390" s="10">
        <v>50655</v>
      </c>
    </row>
    <row r="5391" spans="1:2" x14ac:dyDescent="0.3">
      <c r="A5391" s="5">
        <v>43012</v>
      </c>
      <c r="B5391" s="10">
        <v>50726</v>
      </c>
    </row>
    <row r="5392" spans="1:2" x14ac:dyDescent="0.3">
      <c r="A5392" s="5">
        <v>43013</v>
      </c>
      <c r="B5392" s="10">
        <v>50847</v>
      </c>
    </row>
    <row r="5393" spans="1:2" x14ac:dyDescent="0.3">
      <c r="A5393" s="5">
        <v>43014</v>
      </c>
      <c r="B5393" s="10">
        <v>50860</v>
      </c>
    </row>
    <row r="5394" spans="1:2" x14ac:dyDescent="0.3">
      <c r="A5394" s="5">
        <v>43017</v>
      </c>
      <c r="B5394" s="10">
        <v>50892</v>
      </c>
    </row>
    <row r="5395" spans="1:2" x14ac:dyDescent="0.3">
      <c r="A5395" s="5">
        <v>43018</v>
      </c>
      <c r="B5395" s="10">
        <v>51077</v>
      </c>
    </row>
    <row r="5396" spans="1:2" x14ac:dyDescent="0.3">
      <c r="A5396" s="5">
        <v>43019</v>
      </c>
      <c r="B5396" s="10">
        <v>50943</v>
      </c>
    </row>
    <row r="5397" spans="1:2" x14ac:dyDescent="0.3">
      <c r="A5397" s="5">
        <v>43020</v>
      </c>
      <c r="B5397" s="10">
        <v>51913</v>
      </c>
    </row>
    <row r="5398" spans="1:2" x14ac:dyDescent="0.3">
      <c r="A5398" s="5">
        <v>43021</v>
      </c>
      <c r="B5398" s="10">
        <v>52852</v>
      </c>
    </row>
    <row r="5399" spans="1:2" x14ac:dyDescent="0.3">
      <c r="A5399" s="5">
        <v>43025</v>
      </c>
      <c r="B5399" s="10">
        <v>52591</v>
      </c>
    </row>
    <row r="5400" spans="1:2" x14ac:dyDescent="0.3">
      <c r="A5400" s="5">
        <v>43026</v>
      </c>
      <c r="B5400" s="10">
        <v>52456</v>
      </c>
    </row>
    <row r="5401" spans="1:2" x14ac:dyDescent="0.3">
      <c r="A5401" s="5">
        <v>43027</v>
      </c>
      <c r="B5401" s="10">
        <v>52501</v>
      </c>
    </row>
    <row r="5402" spans="1:2" x14ac:dyDescent="0.3">
      <c r="A5402" s="5">
        <v>43028</v>
      </c>
      <c r="B5402" s="10">
        <v>51942</v>
      </c>
    </row>
    <row r="5403" spans="1:2" x14ac:dyDescent="0.3">
      <c r="A5403" s="5">
        <v>43031</v>
      </c>
      <c r="B5403" s="10">
        <v>51986</v>
      </c>
    </row>
    <row r="5404" spans="1:2" x14ac:dyDescent="0.3">
      <c r="A5404" s="5">
        <v>43032</v>
      </c>
      <c r="B5404" s="10">
        <v>51921</v>
      </c>
    </row>
    <row r="5405" spans="1:2" x14ac:dyDescent="0.3">
      <c r="A5405" s="5">
        <v>43033</v>
      </c>
      <c r="B5405" s="10">
        <v>51884</v>
      </c>
    </row>
    <row r="5406" spans="1:2" x14ac:dyDescent="0.3">
      <c r="A5406" s="5">
        <v>43034</v>
      </c>
      <c r="B5406" s="10">
        <v>51864</v>
      </c>
    </row>
    <row r="5407" spans="1:2" x14ac:dyDescent="0.3">
      <c r="A5407" s="5">
        <v>43035</v>
      </c>
      <c r="B5407" s="10">
        <v>51903</v>
      </c>
    </row>
    <row r="5408" spans="1:2" x14ac:dyDescent="0.3">
      <c r="A5408" s="5">
        <v>43038</v>
      </c>
      <c r="B5408" s="10">
        <v>51995</v>
      </c>
    </row>
    <row r="5409" spans="1:2" x14ac:dyDescent="0.3">
      <c r="A5409" s="5">
        <v>43039</v>
      </c>
      <c r="B5409" s="10">
        <v>51810</v>
      </c>
    </row>
    <row r="5410" spans="1:2" x14ac:dyDescent="0.3">
      <c r="A5410" s="5">
        <v>43040</v>
      </c>
      <c r="B5410" s="10">
        <v>52124</v>
      </c>
    </row>
    <row r="5411" spans="1:2" x14ac:dyDescent="0.3">
      <c r="A5411" s="5">
        <v>43041</v>
      </c>
      <c r="B5411" s="10">
        <v>52210</v>
      </c>
    </row>
    <row r="5412" spans="1:2" x14ac:dyDescent="0.3">
      <c r="A5412" s="5">
        <v>43042</v>
      </c>
      <c r="B5412" s="10">
        <v>52066</v>
      </c>
    </row>
    <row r="5413" spans="1:2" x14ac:dyDescent="0.3">
      <c r="A5413" s="5">
        <v>43046</v>
      </c>
      <c r="B5413" s="10">
        <v>51563</v>
      </c>
    </row>
    <row r="5414" spans="1:2" x14ac:dyDescent="0.3">
      <c r="A5414" s="5">
        <v>43047</v>
      </c>
      <c r="B5414" s="10">
        <v>51599</v>
      </c>
    </row>
    <row r="5415" spans="1:2" x14ac:dyDescent="0.3">
      <c r="A5415" s="5">
        <v>43048</v>
      </c>
      <c r="B5415" s="10">
        <v>54748</v>
      </c>
    </row>
    <row r="5416" spans="1:2" x14ac:dyDescent="0.3">
      <c r="A5416" s="5">
        <v>43049</v>
      </c>
      <c r="B5416" s="10">
        <v>54730</v>
      </c>
    </row>
    <row r="5417" spans="1:2" x14ac:dyDescent="0.3">
      <c r="A5417" s="5">
        <v>43052</v>
      </c>
      <c r="B5417" s="10">
        <v>54750</v>
      </c>
    </row>
    <row r="5418" spans="1:2" x14ac:dyDescent="0.3">
      <c r="A5418" s="5">
        <v>43053</v>
      </c>
      <c r="B5418" s="10">
        <v>54746</v>
      </c>
    </row>
    <row r="5419" spans="1:2" x14ac:dyDescent="0.3">
      <c r="A5419" s="5">
        <v>43054</v>
      </c>
      <c r="B5419" s="10">
        <v>54653</v>
      </c>
    </row>
    <row r="5420" spans="1:2" x14ac:dyDescent="0.3">
      <c r="A5420" s="5">
        <v>43055</v>
      </c>
      <c r="B5420" s="10">
        <v>54571</v>
      </c>
    </row>
    <row r="5421" spans="1:2" x14ac:dyDescent="0.3">
      <c r="A5421" s="5">
        <v>43056</v>
      </c>
      <c r="B5421" s="10">
        <v>54503</v>
      </c>
    </row>
    <row r="5422" spans="1:2" x14ac:dyDescent="0.3">
      <c r="A5422" s="5">
        <v>43060</v>
      </c>
      <c r="B5422" s="10">
        <v>54599</v>
      </c>
    </row>
    <row r="5423" spans="1:2" x14ac:dyDescent="0.3">
      <c r="A5423" s="5">
        <v>43061</v>
      </c>
      <c r="B5423" s="10">
        <v>55004</v>
      </c>
    </row>
    <row r="5424" spans="1:2" x14ac:dyDescent="0.3">
      <c r="A5424" s="5">
        <v>43062</v>
      </c>
      <c r="B5424" s="10">
        <v>54928</v>
      </c>
    </row>
    <row r="5425" spans="1:2" x14ac:dyDescent="0.3">
      <c r="A5425" s="5">
        <v>43063</v>
      </c>
      <c r="B5425" s="10">
        <v>54968</v>
      </c>
    </row>
    <row r="5426" spans="1:2" x14ac:dyDescent="0.3">
      <c r="A5426" s="5">
        <v>43066</v>
      </c>
      <c r="B5426" s="10">
        <v>54919</v>
      </c>
    </row>
    <row r="5427" spans="1:2" x14ac:dyDescent="0.3">
      <c r="A5427" s="5">
        <v>43067</v>
      </c>
      <c r="B5427" s="10">
        <v>54764</v>
      </c>
    </row>
    <row r="5428" spans="1:2" x14ac:dyDescent="0.3">
      <c r="A5428" s="5">
        <v>43068</v>
      </c>
      <c r="B5428" s="10">
        <v>54662</v>
      </c>
    </row>
    <row r="5429" spans="1:2" x14ac:dyDescent="0.3">
      <c r="A5429" s="5">
        <v>43069</v>
      </c>
      <c r="B5429" s="10">
        <v>54563</v>
      </c>
    </row>
    <row r="5430" spans="1:2" x14ac:dyDescent="0.3">
      <c r="A5430" s="5">
        <v>43070</v>
      </c>
      <c r="B5430" s="10">
        <v>54905</v>
      </c>
    </row>
    <row r="5431" spans="1:2" x14ac:dyDescent="0.3">
      <c r="A5431" s="5">
        <v>43073</v>
      </c>
      <c r="B5431" s="10">
        <v>54849</v>
      </c>
    </row>
    <row r="5432" spans="1:2" x14ac:dyDescent="0.3">
      <c r="A5432" s="5">
        <v>43074</v>
      </c>
      <c r="B5432" s="10">
        <v>54749</v>
      </c>
    </row>
    <row r="5433" spans="1:2" x14ac:dyDescent="0.3">
      <c r="A5433" s="5">
        <v>43075</v>
      </c>
      <c r="B5433" s="10">
        <v>54816</v>
      </c>
    </row>
    <row r="5434" spans="1:2" x14ac:dyDescent="0.3">
      <c r="A5434" s="5">
        <v>43076</v>
      </c>
      <c r="B5434" s="10">
        <v>55163</v>
      </c>
    </row>
    <row r="5435" spans="1:2" x14ac:dyDescent="0.3">
      <c r="A5435" s="5">
        <v>43080</v>
      </c>
      <c r="B5435" s="10">
        <v>55300</v>
      </c>
    </row>
    <row r="5436" spans="1:2" x14ac:dyDescent="0.3">
      <c r="A5436" s="5">
        <v>43081</v>
      </c>
      <c r="B5436" s="10">
        <v>55308</v>
      </c>
    </row>
    <row r="5437" spans="1:2" x14ac:dyDescent="0.3">
      <c r="A5437" s="5">
        <v>43082</v>
      </c>
      <c r="B5437" s="10">
        <v>55417</v>
      </c>
    </row>
    <row r="5438" spans="1:2" x14ac:dyDescent="0.3">
      <c r="A5438" s="5">
        <v>43083</v>
      </c>
      <c r="B5438" s="10">
        <v>55502</v>
      </c>
    </row>
    <row r="5439" spans="1:2" x14ac:dyDescent="0.3">
      <c r="A5439" s="5">
        <v>43084</v>
      </c>
      <c r="B5439" s="10">
        <v>55997</v>
      </c>
    </row>
    <row r="5440" spans="1:2" x14ac:dyDescent="0.3">
      <c r="A5440" s="5">
        <v>43087</v>
      </c>
      <c r="B5440" s="10">
        <v>55906</v>
      </c>
    </row>
    <row r="5441" spans="1:2" x14ac:dyDescent="0.3">
      <c r="A5441" s="5">
        <v>43088</v>
      </c>
      <c r="B5441" s="10">
        <v>55932</v>
      </c>
    </row>
    <row r="5442" spans="1:2" x14ac:dyDescent="0.3">
      <c r="A5442" s="5">
        <v>43089</v>
      </c>
      <c r="B5442" s="10">
        <v>56086</v>
      </c>
    </row>
    <row r="5443" spans="1:2" x14ac:dyDescent="0.3">
      <c r="A5443" s="5">
        <v>43090</v>
      </c>
      <c r="B5443" s="10">
        <v>56224</v>
      </c>
    </row>
    <row r="5444" spans="1:2" x14ac:dyDescent="0.3">
      <c r="A5444" s="5">
        <v>43091</v>
      </c>
      <c r="B5444" s="10">
        <v>56415</v>
      </c>
    </row>
    <row r="5445" spans="1:2" x14ac:dyDescent="0.3">
      <c r="A5445" s="5">
        <v>43095</v>
      </c>
      <c r="B5445" s="10">
        <v>56339</v>
      </c>
    </row>
    <row r="5446" spans="1:2" x14ac:dyDescent="0.3">
      <c r="A5446" s="5">
        <v>43096</v>
      </c>
      <c r="B5446" s="10">
        <v>56280</v>
      </c>
    </row>
    <row r="5447" spans="1:2" x14ac:dyDescent="0.3">
      <c r="A5447" s="5">
        <v>43097</v>
      </c>
      <c r="B5447" s="10">
        <v>56149</v>
      </c>
    </row>
    <row r="5448" spans="1:2" x14ac:dyDescent="0.3">
      <c r="A5448" s="5">
        <v>43098</v>
      </c>
      <c r="B5448" s="10">
        <v>55055</v>
      </c>
    </row>
    <row r="5449" spans="1:2" x14ac:dyDescent="0.3">
      <c r="A5449" s="5">
        <v>43102</v>
      </c>
      <c r="B5449" s="10">
        <v>55731</v>
      </c>
    </row>
    <row r="5450" spans="1:2" x14ac:dyDescent="0.3">
      <c r="A5450" s="5">
        <v>43103</v>
      </c>
      <c r="B5450" s="10">
        <v>55706</v>
      </c>
    </row>
    <row r="5451" spans="1:2" x14ac:dyDescent="0.3">
      <c r="A5451" s="5">
        <v>43104</v>
      </c>
      <c r="B5451" s="10">
        <v>55623</v>
      </c>
    </row>
    <row r="5452" spans="1:2" x14ac:dyDescent="0.3">
      <c r="A5452" s="5">
        <v>43105</v>
      </c>
      <c r="B5452" s="10">
        <v>55459</v>
      </c>
    </row>
    <row r="5453" spans="1:2" x14ac:dyDescent="0.3">
      <c r="A5453" s="5">
        <v>43108</v>
      </c>
      <c r="B5453" s="10">
        <v>55261</v>
      </c>
    </row>
    <row r="5454" spans="1:2" x14ac:dyDescent="0.3">
      <c r="A5454" s="5">
        <v>43109</v>
      </c>
      <c r="B5454" s="10">
        <v>55130</v>
      </c>
    </row>
    <row r="5455" spans="1:2" x14ac:dyDescent="0.3">
      <c r="A5455" s="5">
        <v>43110</v>
      </c>
      <c r="B5455" s="10">
        <v>55022</v>
      </c>
    </row>
    <row r="5456" spans="1:2" x14ac:dyDescent="0.3">
      <c r="A5456" s="5">
        <v>43111</v>
      </c>
      <c r="B5456" s="10">
        <v>63906</v>
      </c>
    </row>
    <row r="5457" spans="1:2" x14ac:dyDescent="0.3">
      <c r="A5457" s="5">
        <v>43112</v>
      </c>
      <c r="B5457" s="10">
        <v>63683</v>
      </c>
    </row>
    <row r="5458" spans="1:2" x14ac:dyDescent="0.3">
      <c r="A5458" s="5">
        <v>43115</v>
      </c>
      <c r="B5458" s="10">
        <v>63746</v>
      </c>
    </row>
    <row r="5459" spans="1:2" x14ac:dyDescent="0.3">
      <c r="A5459" s="5">
        <v>43116</v>
      </c>
      <c r="B5459" s="10">
        <v>63588</v>
      </c>
    </row>
    <row r="5460" spans="1:2" x14ac:dyDescent="0.3">
      <c r="A5460" s="5">
        <v>43117</v>
      </c>
      <c r="B5460" s="10">
        <v>63504</v>
      </c>
    </row>
    <row r="5461" spans="1:2" x14ac:dyDescent="0.3">
      <c r="A5461" s="5">
        <v>43118</v>
      </c>
      <c r="B5461" s="10">
        <v>63378</v>
      </c>
    </row>
    <row r="5462" spans="1:2" x14ac:dyDescent="0.3">
      <c r="A5462" s="5">
        <v>43119</v>
      </c>
      <c r="B5462" s="10">
        <v>63225</v>
      </c>
    </row>
    <row r="5463" spans="1:2" x14ac:dyDescent="0.3">
      <c r="A5463" s="5">
        <v>43122</v>
      </c>
      <c r="B5463" s="10">
        <v>63148</v>
      </c>
    </row>
    <row r="5464" spans="1:2" x14ac:dyDescent="0.3">
      <c r="A5464" s="5">
        <v>43123</v>
      </c>
      <c r="B5464" s="10">
        <v>63122</v>
      </c>
    </row>
    <row r="5465" spans="1:2" x14ac:dyDescent="0.3">
      <c r="A5465" s="5">
        <v>43124</v>
      </c>
      <c r="B5465" s="10">
        <v>63167</v>
      </c>
    </row>
    <row r="5466" spans="1:2" x14ac:dyDescent="0.3">
      <c r="A5466" s="5">
        <v>43125</v>
      </c>
      <c r="B5466" s="10">
        <v>62943</v>
      </c>
    </row>
    <row r="5467" spans="1:2" x14ac:dyDescent="0.3">
      <c r="A5467" s="5">
        <v>43126</v>
      </c>
      <c r="B5467" s="10">
        <v>62533</v>
      </c>
    </row>
    <row r="5468" spans="1:2" x14ac:dyDescent="0.3">
      <c r="A5468" s="5">
        <v>43129</v>
      </c>
      <c r="B5468" s="10">
        <v>62403</v>
      </c>
    </row>
    <row r="5469" spans="1:2" x14ac:dyDescent="0.3">
      <c r="A5469" s="5">
        <v>43130</v>
      </c>
      <c r="B5469" s="10">
        <v>62242</v>
      </c>
    </row>
    <row r="5470" spans="1:2" x14ac:dyDescent="0.3">
      <c r="A5470" s="5">
        <v>43131</v>
      </c>
      <c r="B5470" s="10">
        <v>62024</v>
      </c>
    </row>
    <row r="5471" spans="1:2" x14ac:dyDescent="0.3">
      <c r="A5471" s="5">
        <v>43132</v>
      </c>
      <c r="B5471" s="10">
        <v>62174</v>
      </c>
    </row>
    <row r="5472" spans="1:2" x14ac:dyDescent="0.3">
      <c r="A5472" s="5">
        <v>43133</v>
      </c>
      <c r="B5472" s="10">
        <v>62216</v>
      </c>
    </row>
    <row r="5473" spans="1:2" x14ac:dyDescent="0.3">
      <c r="A5473" s="5">
        <v>43136</v>
      </c>
      <c r="B5473" s="10">
        <v>62228</v>
      </c>
    </row>
    <row r="5474" spans="1:2" x14ac:dyDescent="0.3">
      <c r="A5474" s="5">
        <v>43137</v>
      </c>
      <c r="B5474" s="10">
        <v>62367</v>
      </c>
    </row>
    <row r="5475" spans="1:2" x14ac:dyDescent="0.3">
      <c r="A5475" s="5">
        <v>43138</v>
      </c>
      <c r="B5475" s="10">
        <v>62622</v>
      </c>
    </row>
    <row r="5476" spans="1:2" x14ac:dyDescent="0.3">
      <c r="A5476" s="5">
        <v>43139</v>
      </c>
      <c r="B5476" s="10">
        <v>62565</v>
      </c>
    </row>
    <row r="5477" spans="1:2" x14ac:dyDescent="0.3">
      <c r="A5477" s="5">
        <v>43140</v>
      </c>
      <c r="B5477" s="10">
        <v>62587</v>
      </c>
    </row>
    <row r="5478" spans="1:2" x14ac:dyDescent="0.3">
      <c r="A5478" s="5">
        <v>43145</v>
      </c>
      <c r="B5478" s="10">
        <v>62665</v>
      </c>
    </row>
    <row r="5479" spans="1:2" x14ac:dyDescent="0.3">
      <c r="A5479" s="5">
        <v>43146</v>
      </c>
      <c r="B5479" s="10">
        <v>62460</v>
      </c>
    </row>
    <row r="5480" spans="1:2" x14ac:dyDescent="0.3">
      <c r="A5480" s="5">
        <v>43147</v>
      </c>
      <c r="B5480" s="10">
        <v>62313</v>
      </c>
    </row>
    <row r="5481" spans="1:2" x14ac:dyDescent="0.3">
      <c r="A5481" s="5">
        <v>43150</v>
      </c>
      <c r="B5481" s="10">
        <v>62292</v>
      </c>
    </row>
    <row r="5482" spans="1:2" x14ac:dyDescent="0.3">
      <c r="A5482" s="5">
        <v>43151</v>
      </c>
      <c r="B5482" s="10">
        <v>62217</v>
      </c>
    </row>
    <row r="5483" spans="1:2" x14ac:dyDescent="0.3">
      <c r="A5483" s="5">
        <v>43152</v>
      </c>
      <c r="B5483" s="10">
        <v>62268</v>
      </c>
    </row>
    <row r="5484" spans="1:2" x14ac:dyDescent="0.3">
      <c r="A5484" s="5">
        <v>43153</v>
      </c>
      <c r="B5484" s="10">
        <v>62226</v>
      </c>
    </row>
    <row r="5485" spans="1:2" x14ac:dyDescent="0.3">
      <c r="A5485" s="5">
        <v>43154</v>
      </c>
      <c r="B5485" s="10">
        <v>62118</v>
      </c>
    </row>
    <row r="5486" spans="1:2" x14ac:dyDescent="0.3">
      <c r="A5486" s="5">
        <v>43157</v>
      </c>
      <c r="B5486" s="10">
        <v>62124</v>
      </c>
    </row>
    <row r="5487" spans="1:2" x14ac:dyDescent="0.3">
      <c r="A5487" s="5">
        <v>43158</v>
      </c>
      <c r="B5487" s="10">
        <v>61815</v>
      </c>
    </row>
    <row r="5488" spans="1:2" x14ac:dyDescent="0.3">
      <c r="A5488" s="5">
        <v>43159</v>
      </c>
      <c r="B5488" s="10">
        <v>61509</v>
      </c>
    </row>
    <row r="5489" spans="1:2" x14ac:dyDescent="0.3">
      <c r="A5489" s="5">
        <v>43160</v>
      </c>
      <c r="B5489" s="10">
        <v>61450</v>
      </c>
    </row>
    <row r="5490" spans="1:2" x14ac:dyDescent="0.3">
      <c r="A5490" s="5">
        <v>43161</v>
      </c>
      <c r="B5490" s="10">
        <v>61767</v>
      </c>
    </row>
    <row r="5491" spans="1:2" x14ac:dyDescent="0.3">
      <c r="A5491" s="5">
        <v>43164</v>
      </c>
      <c r="B5491" s="10">
        <v>61707</v>
      </c>
    </row>
    <row r="5492" spans="1:2" x14ac:dyDescent="0.3">
      <c r="A5492" s="5">
        <v>43165</v>
      </c>
      <c r="B5492" s="10">
        <v>62456</v>
      </c>
    </row>
    <row r="5493" spans="1:2" x14ac:dyDescent="0.3">
      <c r="A5493" s="5">
        <v>43166</v>
      </c>
      <c r="B5493" s="10">
        <v>62610</v>
      </c>
    </row>
    <row r="5494" spans="1:2" x14ac:dyDescent="0.3">
      <c r="A5494" s="5">
        <v>43167</v>
      </c>
      <c r="B5494" s="10">
        <v>62515</v>
      </c>
    </row>
    <row r="5495" spans="1:2" x14ac:dyDescent="0.3">
      <c r="A5495" s="5">
        <v>43168</v>
      </c>
      <c r="B5495" s="10">
        <v>62414</v>
      </c>
    </row>
    <row r="5496" spans="1:2" x14ac:dyDescent="0.3">
      <c r="A5496" s="5">
        <v>43171</v>
      </c>
      <c r="B5496" s="10">
        <v>62364</v>
      </c>
    </row>
    <row r="5497" spans="1:2" x14ac:dyDescent="0.3">
      <c r="A5497" s="5">
        <v>43172</v>
      </c>
      <c r="B5497" s="10">
        <v>62390</v>
      </c>
    </row>
    <row r="5498" spans="1:2" x14ac:dyDescent="0.3">
      <c r="A5498" s="5">
        <v>43173</v>
      </c>
      <c r="B5498" s="10">
        <v>62235</v>
      </c>
    </row>
    <row r="5499" spans="1:2" x14ac:dyDescent="0.3">
      <c r="A5499" s="5">
        <v>43174</v>
      </c>
      <c r="B5499" s="10">
        <v>61951</v>
      </c>
    </row>
    <row r="5500" spans="1:2" x14ac:dyDescent="0.3">
      <c r="A5500" s="5">
        <v>43175</v>
      </c>
      <c r="B5500" s="10">
        <v>61689</v>
      </c>
    </row>
    <row r="5501" spans="1:2" x14ac:dyDescent="0.3">
      <c r="A5501" s="5">
        <v>43178</v>
      </c>
      <c r="B5501" s="10">
        <v>61604</v>
      </c>
    </row>
    <row r="5502" spans="1:2" x14ac:dyDescent="0.3">
      <c r="A5502" s="5">
        <v>43179</v>
      </c>
      <c r="B5502" s="10">
        <v>61559</v>
      </c>
    </row>
    <row r="5503" spans="1:2" x14ac:dyDescent="0.3">
      <c r="A5503" s="5">
        <v>43180</v>
      </c>
      <c r="B5503" s="10">
        <v>61616</v>
      </c>
    </row>
    <row r="5504" spans="1:2" x14ac:dyDescent="0.3">
      <c r="A5504" s="5">
        <v>43181</v>
      </c>
      <c r="B5504" s="10">
        <v>61137</v>
      </c>
    </row>
    <row r="5505" spans="1:2" x14ac:dyDescent="0.3">
      <c r="A5505" s="5">
        <v>43182</v>
      </c>
      <c r="B5505" s="10">
        <v>60899</v>
      </c>
    </row>
    <row r="5506" spans="1:2" x14ac:dyDescent="0.3">
      <c r="A5506" s="5">
        <v>43185</v>
      </c>
      <c r="B5506" s="10">
        <v>60920</v>
      </c>
    </row>
    <row r="5507" spans="1:2" x14ac:dyDescent="0.3">
      <c r="A5507" s="5">
        <v>43186</v>
      </c>
      <c r="B5507" s="10">
        <v>60722</v>
      </c>
    </row>
    <row r="5508" spans="1:2" x14ac:dyDescent="0.3">
      <c r="A5508" s="5">
        <v>43187</v>
      </c>
      <c r="B5508" s="10">
        <v>61726</v>
      </c>
    </row>
    <row r="5509" spans="1:2" x14ac:dyDescent="0.3">
      <c r="A5509" s="5">
        <v>43193</v>
      </c>
      <c r="B5509" s="10">
        <v>61548</v>
      </c>
    </row>
    <row r="5510" spans="1:2" x14ac:dyDescent="0.3">
      <c r="A5510" s="5">
        <v>43194</v>
      </c>
      <c r="B5510" s="10">
        <v>61566</v>
      </c>
    </row>
    <row r="5511" spans="1:2" x14ac:dyDescent="0.3">
      <c r="A5511" s="5">
        <v>43195</v>
      </c>
      <c r="B5511" s="10">
        <v>61667</v>
      </c>
    </row>
    <row r="5512" spans="1:2" x14ac:dyDescent="0.3">
      <c r="A5512" s="5">
        <v>43196</v>
      </c>
      <c r="B5512" s="10">
        <v>61610</v>
      </c>
    </row>
    <row r="5513" spans="1:2" x14ac:dyDescent="0.3">
      <c r="A5513" s="5">
        <v>43199</v>
      </c>
      <c r="B5513" s="10">
        <v>61668</v>
      </c>
    </row>
    <row r="5514" spans="1:2" x14ac:dyDescent="0.3">
      <c r="A5514" s="5">
        <v>43200</v>
      </c>
      <c r="B5514" s="10">
        <v>61769</v>
      </c>
    </row>
    <row r="5515" spans="1:2" x14ac:dyDescent="0.3">
      <c r="A5515" s="5">
        <v>43201</v>
      </c>
      <c r="B5515" s="10">
        <v>61840</v>
      </c>
    </row>
    <row r="5516" spans="1:2" x14ac:dyDescent="0.3">
      <c r="A5516" s="5">
        <v>43202</v>
      </c>
      <c r="B5516" s="10">
        <v>61832</v>
      </c>
    </row>
    <row r="5517" spans="1:2" x14ac:dyDescent="0.3">
      <c r="A5517" s="5">
        <v>43203</v>
      </c>
      <c r="B5517" s="10">
        <v>61648</v>
      </c>
    </row>
    <row r="5518" spans="1:2" x14ac:dyDescent="0.3">
      <c r="A5518" s="5">
        <v>43206</v>
      </c>
      <c r="B5518" s="10">
        <v>61377</v>
      </c>
    </row>
    <row r="5519" spans="1:2" x14ac:dyDescent="0.3">
      <c r="A5519" s="5">
        <v>43207</v>
      </c>
      <c r="B5519" s="10">
        <v>61476</v>
      </c>
    </row>
    <row r="5520" spans="1:2" x14ac:dyDescent="0.3">
      <c r="A5520" s="5">
        <v>43208</v>
      </c>
      <c r="B5520" s="10">
        <v>61364</v>
      </c>
    </row>
    <row r="5521" spans="1:2" x14ac:dyDescent="0.3">
      <c r="A5521" s="5">
        <v>43209</v>
      </c>
      <c r="B5521" s="10">
        <v>62456</v>
      </c>
    </row>
    <row r="5522" spans="1:2" x14ac:dyDescent="0.3">
      <c r="A5522" s="5">
        <v>43210</v>
      </c>
      <c r="B5522" s="10">
        <v>61599</v>
      </c>
    </row>
    <row r="5523" spans="1:2" x14ac:dyDescent="0.3">
      <c r="A5523" s="5">
        <v>43213</v>
      </c>
      <c r="B5523" s="10">
        <v>61185</v>
      </c>
    </row>
    <row r="5524" spans="1:2" x14ac:dyDescent="0.3">
      <c r="A5524" s="5">
        <v>43214</v>
      </c>
      <c r="B5524" s="10">
        <v>60795</v>
      </c>
    </row>
    <row r="5525" spans="1:2" x14ac:dyDescent="0.3">
      <c r="A5525" s="5">
        <v>43215</v>
      </c>
      <c r="B5525" s="10">
        <v>59424</v>
      </c>
    </row>
    <row r="5526" spans="1:2" x14ac:dyDescent="0.3">
      <c r="A5526" s="5">
        <v>43216</v>
      </c>
      <c r="B5526" s="10">
        <v>58401</v>
      </c>
    </row>
    <row r="5527" spans="1:2" x14ac:dyDescent="0.3">
      <c r="A5527" s="5">
        <v>43217</v>
      </c>
      <c r="B5527" s="10">
        <v>56623</v>
      </c>
    </row>
    <row r="5528" spans="1:2" x14ac:dyDescent="0.3">
      <c r="A5528" s="5">
        <v>43222</v>
      </c>
      <c r="B5528" s="10">
        <v>55998</v>
      </c>
    </row>
    <row r="5529" spans="1:2" x14ac:dyDescent="0.3">
      <c r="A5529" s="5">
        <v>43223</v>
      </c>
      <c r="B5529" s="10">
        <v>56147</v>
      </c>
    </row>
    <row r="5530" spans="1:2" x14ac:dyDescent="0.3">
      <c r="A5530" s="5">
        <v>43224</v>
      </c>
      <c r="B5530" s="10">
        <v>56015</v>
      </c>
    </row>
    <row r="5531" spans="1:2" x14ac:dyDescent="0.3">
      <c r="A5531" s="5">
        <v>43227</v>
      </c>
      <c r="B5531" s="10">
        <v>55593</v>
      </c>
    </row>
    <row r="5532" spans="1:2" x14ac:dyDescent="0.3">
      <c r="A5532" s="5">
        <v>43228</v>
      </c>
      <c r="B5532" s="10">
        <v>55196</v>
      </c>
    </row>
    <row r="5533" spans="1:2" x14ac:dyDescent="0.3">
      <c r="A5533" s="5">
        <v>43229</v>
      </c>
      <c r="B5533" s="10">
        <v>57016</v>
      </c>
    </row>
    <row r="5534" spans="1:2" x14ac:dyDescent="0.3">
      <c r="A5534" s="5">
        <v>43230</v>
      </c>
      <c r="B5534" s="10">
        <v>56322</v>
      </c>
    </row>
    <row r="5535" spans="1:2" x14ac:dyDescent="0.3">
      <c r="A5535" s="5">
        <v>43231</v>
      </c>
      <c r="B5535" s="10">
        <v>54428</v>
      </c>
    </row>
    <row r="5536" spans="1:2" x14ac:dyDescent="0.3">
      <c r="A5536" s="5">
        <v>43234</v>
      </c>
      <c r="B5536" s="10">
        <v>53422</v>
      </c>
    </row>
    <row r="5537" spans="1:2" x14ac:dyDescent="0.3">
      <c r="A5537" s="5">
        <v>43235</v>
      </c>
      <c r="B5537" s="10">
        <v>52727</v>
      </c>
    </row>
    <row r="5538" spans="1:2" x14ac:dyDescent="0.3">
      <c r="A5538" s="5">
        <v>43236</v>
      </c>
      <c r="B5538" s="10">
        <v>52433</v>
      </c>
    </row>
    <row r="5539" spans="1:2" x14ac:dyDescent="0.3">
      <c r="A5539" s="5">
        <v>43237</v>
      </c>
      <c r="B5539" s="10">
        <v>54427</v>
      </c>
    </row>
    <row r="5540" spans="1:2" x14ac:dyDescent="0.3">
      <c r="A5540" s="5">
        <v>43238</v>
      </c>
      <c r="B5540" s="10">
        <v>54321</v>
      </c>
    </row>
    <row r="5541" spans="1:2" x14ac:dyDescent="0.3">
      <c r="A5541" s="5">
        <v>43241</v>
      </c>
      <c r="B5541" s="10">
        <v>54274</v>
      </c>
    </row>
    <row r="5542" spans="1:2" x14ac:dyDescent="0.3">
      <c r="A5542" s="5">
        <v>43242</v>
      </c>
      <c r="B5542" s="10">
        <v>54262</v>
      </c>
    </row>
    <row r="5543" spans="1:2" x14ac:dyDescent="0.3">
      <c r="A5543" s="5">
        <v>43243</v>
      </c>
      <c r="B5543" s="10">
        <v>53598</v>
      </c>
    </row>
    <row r="5544" spans="1:2" x14ac:dyDescent="0.3">
      <c r="A5544" s="5">
        <v>43244</v>
      </c>
      <c r="B5544" s="10">
        <v>52102</v>
      </c>
    </row>
    <row r="5545" spans="1:2" x14ac:dyDescent="0.3">
      <c r="A5545" s="5">
        <v>43248</v>
      </c>
      <c r="B5545" s="10">
        <v>51930</v>
      </c>
    </row>
    <row r="5546" spans="1:2" x14ac:dyDescent="0.3">
      <c r="A5546" s="5">
        <v>43249</v>
      </c>
      <c r="B5546" s="10">
        <v>50922</v>
      </c>
    </row>
    <row r="5547" spans="1:2" x14ac:dyDescent="0.3">
      <c r="A5547" s="5">
        <v>43250</v>
      </c>
      <c r="B5547" s="10">
        <v>50590</v>
      </c>
    </row>
    <row r="5548" spans="1:2" x14ac:dyDescent="0.3">
      <c r="A5548" s="5">
        <v>43251</v>
      </c>
      <c r="B5548" s="10">
        <v>50098</v>
      </c>
    </row>
    <row r="5549" spans="1:2" x14ac:dyDescent="0.3">
      <c r="A5549" s="5">
        <v>43252</v>
      </c>
      <c r="B5549" s="10">
        <v>50213</v>
      </c>
    </row>
    <row r="5550" spans="1:2" x14ac:dyDescent="0.3">
      <c r="A5550" s="5">
        <v>43255</v>
      </c>
      <c r="B5550" s="10">
        <v>49928</v>
      </c>
    </row>
    <row r="5551" spans="1:2" x14ac:dyDescent="0.3">
      <c r="A5551" s="5">
        <v>43256</v>
      </c>
      <c r="B5551" s="10">
        <v>49958</v>
      </c>
    </row>
    <row r="5552" spans="1:2" x14ac:dyDescent="0.3">
      <c r="A5552" s="5">
        <v>43257</v>
      </c>
      <c r="B5552" s="10">
        <v>50040</v>
      </c>
    </row>
    <row r="5553" spans="1:2" x14ac:dyDescent="0.3">
      <c r="A5553" s="5">
        <v>43258</v>
      </c>
      <c r="B5553" s="10">
        <v>49851</v>
      </c>
    </row>
    <row r="5554" spans="1:2" x14ac:dyDescent="0.3">
      <c r="A5554" s="5">
        <v>43259</v>
      </c>
      <c r="B5554" s="10">
        <v>49650</v>
      </c>
    </row>
    <row r="5555" spans="1:2" x14ac:dyDescent="0.3">
      <c r="A5555" s="5">
        <v>43262</v>
      </c>
      <c r="B5555" s="10">
        <v>49638</v>
      </c>
    </row>
    <row r="5556" spans="1:2" x14ac:dyDescent="0.3">
      <c r="A5556" s="5">
        <v>43263</v>
      </c>
      <c r="B5556" s="10">
        <v>49100</v>
      </c>
    </row>
    <row r="5557" spans="1:2" x14ac:dyDescent="0.3">
      <c r="A5557" s="5">
        <v>43264</v>
      </c>
      <c r="B5557" s="10">
        <v>48973</v>
      </c>
    </row>
    <row r="5558" spans="1:2" x14ac:dyDescent="0.3">
      <c r="A5558" s="5">
        <v>43265</v>
      </c>
      <c r="B5558" s="10">
        <v>49065</v>
      </c>
    </row>
    <row r="5559" spans="1:2" x14ac:dyDescent="0.3">
      <c r="A5559" s="5">
        <v>43266</v>
      </c>
      <c r="B5559" s="10">
        <v>48468</v>
      </c>
    </row>
    <row r="5560" spans="1:2" x14ac:dyDescent="0.3">
      <c r="A5560" s="5">
        <v>43269</v>
      </c>
      <c r="B5560" s="10">
        <v>48286</v>
      </c>
    </row>
    <row r="5561" spans="1:2" x14ac:dyDescent="0.3">
      <c r="A5561" s="5">
        <v>43270</v>
      </c>
      <c r="B5561" s="10">
        <v>48102</v>
      </c>
    </row>
    <row r="5562" spans="1:2" x14ac:dyDescent="0.3">
      <c r="A5562" s="5">
        <v>43272</v>
      </c>
      <c r="B5562" s="10">
        <v>48478</v>
      </c>
    </row>
    <row r="5563" spans="1:2" x14ac:dyDescent="0.3">
      <c r="A5563" s="5">
        <v>43273</v>
      </c>
      <c r="B5563" s="10">
        <v>63274</v>
      </c>
    </row>
    <row r="5564" spans="1:2" x14ac:dyDescent="0.3">
      <c r="A5564" s="5">
        <v>43276</v>
      </c>
      <c r="B5564" s="10">
        <v>63213</v>
      </c>
    </row>
    <row r="5565" spans="1:2" x14ac:dyDescent="0.3">
      <c r="A5565" s="5">
        <v>43277</v>
      </c>
      <c r="B5565" s="10">
        <v>63162</v>
      </c>
    </row>
    <row r="5566" spans="1:2" x14ac:dyDescent="0.3">
      <c r="A5566" s="5">
        <v>43278</v>
      </c>
      <c r="B5566" s="10">
        <v>62994</v>
      </c>
    </row>
    <row r="5567" spans="1:2" x14ac:dyDescent="0.3">
      <c r="A5567" s="5">
        <v>43279</v>
      </c>
      <c r="B5567" s="10">
        <v>62950</v>
      </c>
    </row>
    <row r="5568" spans="1:2" x14ac:dyDescent="0.3">
      <c r="A5568" s="5">
        <v>43280</v>
      </c>
      <c r="B5568" s="10">
        <v>61881</v>
      </c>
    </row>
    <row r="5569" spans="1:2" x14ac:dyDescent="0.3">
      <c r="A5569" s="5">
        <v>43283</v>
      </c>
      <c r="B5569" s="10">
        <v>61234</v>
      </c>
    </row>
    <row r="5570" spans="1:2" x14ac:dyDescent="0.3">
      <c r="A5570" s="5">
        <v>43284</v>
      </c>
      <c r="B5570" s="10">
        <v>61093</v>
      </c>
    </row>
    <row r="5571" spans="1:2" x14ac:dyDescent="0.3">
      <c r="A5571" s="5">
        <v>43285</v>
      </c>
      <c r="B5571" s="10">
        <v>61085</v>
      </c>
    </row>
    <row r="5572" spans="1:2" x14ac:dyDescent="0.3">
      <c r="A5572" s="5">
        <v>43286</v>
      </c>
      <c r="B5572" s="10">
        <v>60943</v>
      </c>
    </row>
    <row r="5573" spans="1:2" x14ac:dyDescent="0.3">
      <c r="A5573" s="5">
        <v>43287</v>
      </c>
      <c r="B5573" s="10">
        <v>60922</v>
      </c>
    </row>
    <row r="5574" spans="1:2" x14ac:dyDescent="0.3">
      <c r="A5574" s="5">
        <v>43291</v>
      </c>
      <c r="B5574" s="10">
        <v>60683</v>
      </c>
    </row>
    <row r="5575" spans="1:2" x14ac:dyDescent="0.3">
      <c r="A5575" s="5">
        <v>43292</v>
      </c>
      <c r="B5575" s="10">
        <v>60547</v>
      </c>
    </row>
    <row r="5576" spans="1:2" x14ac:dyDescent="0.3">
      <c r="A5576" s="5">
        <v>43293</v>
      </c>
      <c r="B5576" s="10">
        <v>60712</v>
      </c>
    </row>
    <row r="5577" spans="1:2" x14ac:dyDescent="0.3">
      <c r="A5577" s="5">
        <v>43294</v>
      </c>
      <c r="B5577" s="10">
        <v>61322</v>
      </c>
    </row>
    <row r="5578" spans="1:2" x14ac:dyDescent="0.3">
      <c r="A5578" s="5">
        <v>43297</v>
      </c>
      <c r="B5578" s="10">
        <v>61308</v>
      </c>
    </row>
    <row r="5579" spans="1:2" x14ac:dyDescent="0.3">
      <c r="A5579" s="5">
        <v>43298</v>
      </c>
      <c r="B5579" s="10">
        <v>60950</v>
      </c>
    </row>
    <row r="5580" spans="1:2" x14ac:dyDescent="0.3">
      <c r="A5580" s="5">
        <v>43299</v>
      </c>
      <c r="B5580" s="10">
        <v>59921</v>
      </c>
    </row>
    <row r="5581" spans="1:2" x14ac:dyDescent="0.3">
      <c r="A5581" s="5">
        <v>43300</v>
      </c>
      <c r="B5581" s="10">
        <v>59711</v>
      </c>
    </row>
    <row r="5582" spans="1:2" x14ac:dyDescent="0.3">
      <c r="A5582" s="5">
        <v>43301</v>
      </c>
      <c r="B5582" s="10">
        <v>59738</v>
      </c>
    </row>
    <row r="5583" spans="1:2" x14ac:dyDescent="0.3">
      <c r="A5583" s="5">
        <v>43304</v>
      </c>
      <c r="B5583" s="10">
        <v>59434</v>
      </c>
    </row>
    <row r="5584" spans="1:2" x14ac:dyDescent="0.3">
      <c r="A5584" s="5">
        <v>43305</v>
      </c>
      <c r="B5584" s="10">
        <v>59112</v>
      </c>
    </row>
    <row r="5585" spans="1:2" x14ac:dyDescent="0.3">
      <c r="A5585" s="5">
        <v>43306</v>
      </c>
      <c r="B5585" s="10">
        <v>58800</v>
      </c>
    </row>
    <row r="5586" spans="1:2" x14ac:dyDescent="0.3">
      <c r="A5586" s="5">
        <v>43307</v>
      </c>
      <c r="B5586" s="10">
        <v>58536</v>
      </c>
    </row>
    <row r="5587" spans="1:2" x14ac:dyDescent="0.3">
      <c r="A5587" s="5">
        <v>43308</v>
      </c>
      <c r="B5587" s="10">
        <v>58095</v>
      </c>
    </row>
    <row r="5588" spans="1:2" x14ac:dyDescent="0.3">
      <c r="A5588" s="5">
        <v>43311</v>
      </c>
      <c r="B5588" s="10">
        <v>58087</v>
      </c>
    </row>
    <row r="5589" spans="1:2" x14ac:dyDescent="0.3">
      <c r="A5589" s="5">
        <v>43312</v>
      </c>
      <c r="B5589" s="10">
        <v>57996</v>
      </c>
    </row>
    <row r="5590" spans="1:2" x14ac:dyDescent="0.3">
      <c r="A5590" s="5">
        <v>43313</v>
      </c>
      <c r="B5590" s="10">
        <v>57828</v>
      </c>
    </row>
    <row r="5591" spans="1:2" x14ac:dyDescent="0.3">
      <c r="A5591" s="5">
        <v>43314</v>
      </c>
      <c r="B5591" s="10">
        <v>57741</v>
      </c>
    </row>
    <row r="5592" spans="1:2" x14ac:dyDescent="0.3">
      <c r="A5592" s="5">
        <v>43315</v>
      </c>
      <c r="B5592" s="10">
        <v>57799</v>
      </c>
    </row>
    <row r="5593" spans="1:2" x14ac:dyDescent="0.3">
      <c r="A5593" s="5">
        <v>43318</v>
      </c>
      <c r="B5593" s="10">
        <v>57689</v>
      </c>
    </row>
    <row r="5594" spans="1:2" x14ac:dyDescent="0.3">
      <c r="A5594" s="5">
        <v>43319</v>
      </c>
      <c r="B5594" s="10">
        <v>57657</v>
      </c>
    </row>
    <row r="5595" spans="1:2" x14ac:dyDescent="0.3">
      <c r="A5595" s="5">
        <v>43320</v>
      </c>
      <c r="B5595" s="10">
        <v>57580</v>
      </c>
    </row>
    <row r="5596" spans="1:2" x14ac:dyDescent="0.3">
      <c r="A5596" s="5">
        <v>43321</v>
      </c>
      <c r="B5596" s="10">
        <v>57519</v>
      </c>
    </row>
    <row r="5597" spans="1:2" x14ac:dyDescent="0.3">
      <c r="A5597" s="5">
        <v>43322</v>
      </c>
      <c r="B5597" s="10">
        <v>56874</v>
      </c>
    </row>
    <row r="5598" spans="1:2" x14ac:dyDescent="0.3">
      <c r="A5598" s="5">
        <v>43325</v>
      </c>
      <c r="B5598" s="10">
        <v>56623</v>
      </c>
    </row>
    <row r="5599" spans="1:2" x14ac:dyDescent="0.3">
      <c r="A5599" s="5">
        <v>43326</v>
      </c>
      <c r="B5599" s="10">
        <v>56258</v>
      </c>
    </row>
    <row r="5600" spans="1:2" x14ac:dyDescent="0.3">
      <c r="A5600" s="5">
        <v>43327</v>
      </c>
      <c r="B5600" s="10">
        <v>54648</v>
      </c>
    </row>
    <row r="5601" spans="1:2" x14ac:dyDescent="0.3">
      <c r="A5601" s="5">
        <v>43328</v>
      </c>
      <c r="B5601" s="10">
        <v>54655</v>
      </c>
    </row>
    <row r="5602" spans="1:2" x14ac:dyDescent="0.3">
      <c r="A5602" s="5">
        <v>43329</v>
      </c>
      <c r="B5602" s="10">
        <v>54796</v>
      </c>
    </row>
    <row r="5603" spans="1:2" x14ac:dyDescent="0.3">
      <c r="A5603" s="5">
        <v>43333</v>
      </c>
      <c r="B5603" s="10">
        <v>55032</v>
      </c>
    </row>
    <row r="5604" spans="1:2" x14ac:dyDescent="0.3">
      <c r="A5604" s="5">
        <v>43334</v>
      </c>
      <c r="B5604" s="10">
        <v>55076</v>
      </c>
    </row>
    <row r="5605" spans="1:2" x14ac:dyDescent="0.3">
      <c r="A5605" s="5">
        <v>43335</v>
      </c>
      <c r="B5605" s="10">
        <v>55083</v>
      </c>
    </row>
    <row r="5606" spans="1:2" x14ac:dyDescent="0.3">
      <c r="A5606" s="5">
        <v>43336</v>
      </c>
      <c r="B5606" s="10">
        <v>55340</v>
      </c>
    </row>
    <row r="5607" spans="1:2" x14ac:dyDescent="0.3">
      <c r="A5607" s="5">
        <v>43339</v>
      </c>
      <c r="B5607" s="10">
        <v>55144</v>
      </c>
    </row>
    <row r="5608" spans="1:2" x14ac:dyDescent="0.3">
      <c r="A5608" s="5">
        <v>43340</v>
      </c>
      <c r="B5608" s="10">
        <v>54697</v>
      </c>
    </row>
    <row r="5609" spans="1:2" x14ac:dyDescent="0.3">
      <c r="A5609" s="5">
        <v>43341</v>
      </c>
      <c r="B5609" s="10">
        <v>54303</v>
      </c>
    </row>
    <row r="5610" spans="1:2" x14ac:dyDescent="0.3">
      <c r="A5610" s="5">
        <v>43342</v>
      </c>
      <c r="B5610" s="10">
        <v>53794</v>
      </c>
    </row>
    <row r="5611" spans="1:2" x14ac:dyDescent="0.3">
      <c r="A5611" s="5">
        <v>43343</v>
      </c>
      <c r="B5611" s="10">
        <v>52658</v>
      </c>
    </row>
    <row r="5612" spans="1:2" x14ac:dyDescent="0.3">
      <c r="A5612" s="5">
        <v>43346</v>
      </c>
      <c r="B5612" s="10">
        <v>52390</v>
      </c>
    </row>
    <row r="5613" spans="1:2" x14ac:dyDescent="0.3">
      <c r="A5613" s="5">
        <v>43347</v>
      </c>
      <c r="B5613" s="10">
        <v>51446</v>
      </c>
    </row>
    <row r="5614" spans="1:2" x14ac:dyDescent="0.3">
      <c r="A5614" s="5">
        <v>43348</v>
      </c>
      <c r="B5614" s="10">
        <v>51056</v>
      </c>
    </row>
    <row r="5615" spans="1:2" x14ac:dyDescent="0.3">
      <c r="A5615" s="5">
        <v>43349</v>
      </c>
      <c r="B5615" s="10">
        <v>51144</v>
      </c>
    </row>
    <row r="5616" spans="1:2" x14ac:dyDescent="0.3">
      <c r="A5616" s="5">
        <v>43350</v>
      </c>
      <c r="B5616" s="10">
        <v>51214</v>
      </c>
    </row>
    <row r="5617" spans="1:2" x14ac:dyDescent="0.3">
      <c r="A5617" s="5">
        <v>43353</v>
      </c>
      <c r="B5617" s="10">
        <v>51090</v>
      </c>
    </row>
    <row r="5618" spans="1:2" x14ac:dyDescent="0.3">
      <c r="A5618" s="5">
        <v>43354</v>
      </c>
      <c r="B5618" s="10">
        <v>50996</v>
      </c>
    </row>
    <row r="5619" spans="1:2" x14ac:dyDescent="0.3">
      <c r="A5619" s="5">
        <v>43355</v>
      </c>
      <c r="B5619" s="10">
        <v>50616</v>
      </c>
    </row>
    <row r="5620" spans="1:2" x14ac:dyDescent="0.3">
      <c r="A5620" s="5">
        <v>43356</v>
      </c>
      <c r="B5620" s="10">
        <v>50532</v>
      </c>
    </row>
    <row r="5621" spans="1:2" x14ac:dyDescent="0.3">
      <c r="A5621" s="5">
        <v>43357</v>
      </c>
      <c r="B5621" s="10">
        <v>50008</v>
      </c>
    </row>
    <row r="5622" spans="1:2" x14ac:dyDescent="0.3">
      <c r="A5622" s="5">
        <v>43360</v>
      </c>
      <c r="B5622" s="10">
        <v>49614</v>
      </c>
    </row>
    <row r="5623" spans="1:2" x14ac:dyDescent="0.3">
      <c r="A5623" s="5">
        <v>43361</v>
      </c>
      <c r="B5623" s="10">
        <v>49220</v>
      </c>
    </row>
    <row r="5624" spans="1:2" x14ac:dyDescent="0.3">
      <c r="A5624" s="5">
        <v>43362</v>
      </c>
      <c r="B5624" s="10">
        <v>49029</v>
      </c>
    </row>
    <row r="5625" spans="1:2" x14ac:dyDescent="0.3">
      <c r="A5625" s="5">
        <v>43363</v>
      </c>
      <c r="B5625" s="10">
        <v>48982</v>
      </c>
    </row>
    <row r="5626" spans="1:2" x14ac:dyDescent="0.3">
      <c r="A5626" s="5">
        <v>43364</v>
      </c>
      <c r="B5626" s="10">
        <v>49569</v>
      </c>
    </row>
    <row r="5627" spans="1:2" x14ac:dyDescent="0.3">
      <c r="A5627" s="5">
        <v>43367</v>
      </c>
      <c r="B5627" s="10">
        <v>49541</v>
      </c>
    </row>
    <row r="5628" spans="1:2" x14ac:dyDescent="0.3">
      <c r="A5628" s="5">
        <v>43368</v>
      </c>
      <c r="B5628" s="10">
        <v>49602</v>
      </c>
    </row>
    <row r="5629" spans="1:2" x14ac:dyDescent="0.3">
      <c r="A5629" s="5">
        <v>43369</v>
      </c>
      <c r="B5629" s="10">
        <v>49568</v>
      </c>
    </row>
    <row r="5630" spans="1:2" x14ac:dyDescent="0.3">
      <c r="A5630" s="5">
        <v>43370</v>
      </c>
      <c r="B5630" s="10">
        <v>49556</v>
      </c>
    </row>
    <row r="5631" spans="1:2" x14ac:dyDescent="0.3">
      <c r="A5631" s="5">
        <v>43371</v>
      </c>
      <c r="B5631" s="10">
        <v>49003</v>
      </c>
    </row>
    <row r="5632" spans="1:2" x14ac:dyDescent="0.3">
      <c r="A5632" s="5">
        <v>43374</v>
      </c>
      <c r="B5632" s="10">
        <v>48855</v>
      </c>
    </row>
    <row r="5633" spans="1:2" x14ac:dyDescent="0.3">
      <c r="A5633" s="5">
        <v>43375</v>
      </c>
      <c r="B5633" s="10">
        <v>48912</v>
      </c>
    </row>
    <row r="5634" spans="1:2" x14ac:dyDescent="0.3">
      <c r="A5634" s="5">
        <v>43376</v>
      </c>
      <c r="B5634" s="10">
        <v>48963</v>
      </c>
    </row>
    <row r="5635" spans="1:2" x14ac:dyDescent="0.3">
      <c r="A5635" s="5">
        <v>43377</v>
      </c>
      <c r="B5635" s="10">
        <v>49014</v>
      </c>
    </row>
    <row r="5636" spans="1:2" x14ac:dyDescent="0.3">
      <c r="A5636" s="5">
        <v>43378</v>
      </c>
      <c r="B5636" s="10">
        <v>49141</v>
      </c>
    </row>
    <row r="5637" spans="1:2" x14ac:dyDescent="0.3">
      <c r="A5637" s="5">
        <v>43381</v>
      </c>
      <c r="B5637" s="10">
        <v>49013</v>
      </c>
    </row>
    <row r="5638" spans="1:2" x14ac:dyDescent="0.3">
      <c r="A5638" s="5">
        <v>43382</v>
      </c>
      <c r="B5638" s="10">
        <v>48886</v>
      </c>
    </row>
    <row r="5639" spans="1:2" x14ac:dyDescent="0.3">
      <c r="A5639" s="5">
        <v>43383</v>
      </c>
      <c r="B5639" s="10">
        <v>48766</v>
      </c>
    </row>
    <row r="5640" spans="1:2" x14ac:dyDescent="0.3">
      <c r="A5640" s="5">
        <v>43384</v>
      </c>
      <c r="B5640" s="10">
        <v>48877</v>
      </c>
    </row>
    <row r="5641" spans="1:2" x14ac:dyDescent="0.3">
      <c r="A5641" s="5">
        <v>43385</v>
      </c>
      <c r="B5641" s="10">
        <v>48543</v>
      </c>
    </row>
    <row r="5642" spans="1:2" x14ac:dyDescent="0.3">
      <c r="A5642" s="5">
        <v>43389</v>
      </c>
      <c r="B5642" s="10">
        <v>48449</v>
      </c>
    </row>
    <row r="5643" spans="1:2" x14ac:dyDescent="0.3">
      <c r="A5643" s="5">
        <v>43390</v>
      </c>
      <c r="B5643" s="10">
        <v>48268</v>
      </c>
    </row>
    <row r="5644" spans="1:2" x14ac:dyDescent="0.3">
      <c r="A5644" s="5">
        <v>43391</v>
      </c>
      <c r="B5644" s="10">
        <v>48492</v>
      </c>
    </row>
    <row r="5645" spans="1:2" x14ac:dyDescent="0.3">
      <c r="A5645" s="5">
        <v>43392</v>
      </c>
      <c r="B5645" s="10">
        <v>48585</v>
      </c>
    </row>
    <row r="5646" spans="1:2" x14ac:dyDescent="0.3">
      <c r="A5646" s="5">
        <v>43395</v>
      </c>
      <c r="B5646" s="10">
        <v>48496</v>
      </c>
    </row>
    <row r="5647" spans="1:2" x14ac:dyDescent="0.3">
      <c r="A5647" s="5">
        <v>43396</v>
      </c>
      <c r="B5647" s="10">
        <v>48564</v>
      </c>
    </row>
    <row r="5648" spans="1:2" x14ac:dyDescent="0.3">
      <c r="A5648" s="5">
        <v>43397</v>
      </c>
      <c r="B5648" s="10">
        <v>48477</v>
      </c>
    </row>
    <row r="5649" spans="1:2" x14ac:dyDescent="0.3">
      <c r="A5649" s="5">
        <v>43398</v>
      </c>
      <c r="B5649" s="10">
        <v>48285</v>
      </c>
    </row>
    <row r="5650" spans="1:2" x14ac:dyDescent="0.3">
      <c r="A5650" s="5">
        <v>43399</v>
      </c>
      <c r="B5650" s="10">
        <v>47993</v>
      </c>
    </row>
    <row r="5651" spans="1:2" x14ac:dyDescent="0.3">
      <c r="A5651" s="5">
        <v>43402</v>
      </c>
      <c r="B5651" s="10">
        <v>47867</v>
      </c>
    </row>
    <row r="5652" spans="1:2" x14ac:dyDescent="0.3">
      <c r="A5652" s="5">
        <v>43403</v>
      </c>
      <c r="B5652" s="10">
        <v>54040</v>
      </c>
    </row>
    <row r="5653" spans="1:2" x14ac:dyDescent="0.3">
      <c r="A5653" s="5">
        <v>43404</v>
      </c>
      <c r="B5653" s="10">
        <v>53955</v>
      </c>
    </row>
    <row r="5654" spans="1:2" x14ac:dyDescent="0.3">
      <c r="A5654" s="5">
        <v>43405</v>
      </c>
      <c r="B5654" s="10">
        <v>54220</v>
      </c>
    </row>
    <row r="5655" spans="1:2" x14ac:dyDescent="0.3">
      <c r="A5655" s="5">
        <v>43406</v>
      </c>
      <c r="B5655" s="10">
        <v>54255</v>
      </c>
    </row>
    <row r="5656" spans="1:2" x14ac:dyDescent="0.3">
      <c r="A5656" s="5">
        <v>43409</v>
      </c>
      <c r="B5656" s="10">
        <v>54066</v>
      </c>
    </row>
    <row r="5657" spans="1:2" x14ac:dyDescent="0.3">
      <c r="A5657" s="5">
        <v>43411</v>
      </c>
      <c r="B5657" s="10">
        <v>53376</v>
      </c>
    </row>
    <row r="5658" spans="1:2" x14ac:dyDescent="0.3">
      <c r="A5658" s="5">
        <v>43412</v>
      </c>
      <c r="B5658" s="10">
        <v>53242</v>
      </c>
    </row>
    <row r="5659" spans="1:2" x14ac:dyDescent="0.3">
      <c r="A5659" s="5">
        <v>43413</v>
      </c>
      <c r="B5659" s="10">
        <v>53063</v>
      </c>
    </row>
    <row r="5660" spans="1:2" x14ac:dyDescent="0.3">
      <c r="A5660" s="5">
        <v>43416</v>
      </c>
      <c r="B5660" s="10">
        <v>52988</v>
      </c>
    </row>
    <row r="5661" spans="1:2" x14ac:dyDescent="0.3">
      <c r="A5661" s="5">
        <v>43417</v>
      </c>
      <c r="B5661" s="10">
        <v>52926</v>
      </c>
    </row>
    <row r="5662" spans="1:2" x14ac:dyDescent="0.3">
      <c r="A5662" s="5">
        <v>43418</v>
      </c>
      <c r="B5662" s="10">
        <v>52832</v>
      </c>
    </row>
    <row r="5663" spans="1:2" x14ac:dyDescent="0.3">
      <c r="A5663" s="5">
        <v>43419</v>
      </c>
      <c r="B5663" s="10">
        <v>52698</v>
      </c>
    </row>
    <row r="5664" spans="1:2" x14ac:dyDescent="0.3">
      <c r="A5664" s="5">
        <v>43420</v>
      </c>
      <c r="B5664" s="10">
        <v>52198</v>
      </c>
    </row>
    <row r="5665" spans="1:2" x14ac:dyDescent="0.3">
      <c r="A5665" s="5">
        <v>43424</v>
      </c>
      <c r="B5665" s="10">
        <v>52055</v>
      </c>
    </row>
    <row r="5666" spans="1:2" x14ac:dyDescent="0.3">
      <c r="A5666" s="5">
        <v>43425</v>
      </c>
      <c r="B5666" s="10">
        <v>51826</v>
      </c>
    </row>
    <row r="5667" spans="1:2" x14ac:dyDescent="0.3">
      <c r="A5667" s="5">
        <v>43426</v>
      </c>
      <c r="B5667" s="10">
        <v>51830</v>
      </c>
    </row>
    <row r="5668" spans="1:2" x14ac:dyDescent="0.3">
      <c r="A5668" s="5">
        <v>43427</v>
      </c>
      <c r="B5668" s="10">
        <v>51736</v>
      </c>
    </row>
    <row r="5669" spans="1:2" x14ac:dyDescent="0.3">
      <c r="A5669" s="5">
        <v>43430</v>
      </c>
      <c r="B5669" s="10">
        <v>51585</v>
      </c>
    </row>
    <row r="5670" spans="1:2" x14ac:dyDescent="0.3">
      <c r="A5670" s="5">
        <v>43431</v>
      </c>
      <c r="B5670" s="10">
        <v>51443</v>
      </c>
    </row>
    <row r="5671" spans="1:2" x14ac:dyDescent="0.3">
      <c r="A5671" s="5">
        <v>43432</v>
      </c>
      <c r="B5671" s="10">
        <v>51450</v>
      </c>
    </row>
    <row r="5672" spans="1:2" x14ac:dyDescent="0.3">
      <c r="A5672" s="5">
        <v>43433</v>
      </c>
      <c r="B5672" s="10">
        <v>51193</v>
      </c>
    </row>
    <row r="5673" spans="1:2" x14ac:dyDescent="0.3">
      <c r="A5673" s="5">
        <v>43437</v>
      </c>
      <c r="B5673" s="10">
        <v>51296</v>
      </c>
    </row>
    <row r="5674" spans="1:2" x14ac:dyDescent="0.3">
      <c r="A5674" s="5">
        <v>43438</v>
      </c>
      <c r="B5674" s="10">
        <v>51122</v>
      </c>
    </row>
    <row r="5675" spans="1:2" x14ac:dyDescent="0.3">
      <c r="A5675" s="5">
        <v>43439</v>
      </c>
      <c r="B5675" s="10">
        <v>50272</v>
      </c>
    </row>
    <row r="5676" spans="1:2" x14ac:dyDescent="0.3">
      <c r="A5676" s="5">
        <v>43440</v>
      </c>
      <c r="B5676" s="10">
        <v>49995</v>
      </c>
    </row>
    <row r="5677" spans="1:2" x14ac:dyDescent="0.3">
      <c r="A5677" s="5">
        <v>43441</v>
      </c>
      <c r="B5677" s="10">
        <v>50065</v>
      </c>
    </row>
    <row r="5678" spans="1:2" x14ac:dyDescent="0.3">
      <c r="A5678" s="5">
        <v>43444</v>
      </c>
      <c r="B5678" s="10">
        <v>49846</v>
      </c>
    </row>
    <row r="5679" spans="1:2" x14ac:dyDescent="0.3">
      <c r="A5679" s="5">
        <v>43445</v>
      </c>
      <c r="B5679" s="10">
        <v>49788</v>
      </c>
    </row>
    <row r="5680" spans="1:2" x14ac:dyDescent="0.3">
      <c r="A5680" s="5">
        <v>43446</v>
      </c>
      <c r="B5680" s="10">
        <v>49885</v>
      </c>
    </row>
    <row r="5681" spans="1:2" x14ac:dyDescent="0.3">
      <c r="A5681" s="5">
        <v>43447</v>
      </c>
      <c r="B5681" s="10">
        <v>49922</v>
      </c>
    </row>
    <row r="5682" spans="1:2" x14ac:dyDescent="0.3">
      <c r="A5682" s="5">
        <v>43448</v>
      </c>
      <c r="B5682" s="10">
        <v>49887</v>
      </c>
    </row>
    <row r="5683" spans="1:2" x14ac:dyDescent="0.3">
      <c r="A5683" s="5">
        <v>43451</v>
      </c>
      <c r="B5683" s="10">
        <v>58606</v>
      </c>
    </row>
    <row r="5684" spans="1:2" x14ac:dyDescent="0.3">
      <c r="A5684" s="5">
        <v>43452</v>
      </c>
      <c r="B5684" s="10">
        <v>58642</v>
      </c>
    </row>
    <row r="5685" spans="1:2" x14ac:dyDescent="0.3">
      <c r="A5685" s="5">
        <v>43453</v>
      </c>
      <c r="B5685" s="10">
        <v>58711</v>
      </c>
    </row>
    <row r="5686" spans="1:2" x14ac:dyDescent="0.3">
      <c r="A5686" s="5">
        <v>43454</v>
      </c>
      <c r="B5686" s="10">
        <v>58580</v>
      </c>
    </row>
    <row r="5687" spans="1:2" x14ac:dyDescent="0.3">
      <c r="A5687" s="5">
        <v>43455</v>
      </c>
      <c r="B5687" s="10">
        <v>66324</v>
      </c>
    </row>
    <row r="5688" spans="1:2" x14ac:dyDescent="0.3">
      <c r="A5688" s="5">
        <v>43460</v>
      </c>
      <c r="B5688" s="10">
        <v>66447</v>
      </c>
    </row>
    <row r="5689" spans="1:2" x14ac:dyDescent="0.3">
      <c r="A5689" s="5">
        <v>43461</v>
      </c>
      <c r="B5689" s="10">
        <v>66112</v>
      </c>
    </row>
    <row r="5690" spans="1:2" x14ac:dyDescent="0.3">
      <c r="A5690" s="5">
        <v>43462</v>
      </c>
      <c r="B5690" s="10">
        <v>65786</v>
      </c>
    </row>
    <row r="5691" spans="1:2" x14ac:dyDescent="0.3">
      <c r="A5691" s="5">
        <v>43467</v>
      </c>
      <c r="B5691" s="10">
        <v>65825</v>
      </c>
    </row>
    <row r="5692" spans="1:2" x14ac:dyDescent="0.3">
      <c r="A5692" s="5">
        <v>43468</v>
      </c>
      <c r="B5692" s="10">
        <v>65817</v>
      </c>
    </row>
    <row r="5693" spans="1:2" x14ac:dyDescent="0.3">
      <c r="A5693" s="5">
        <v>43469</v>
      </c>
      <c r="B5693" s="10">
        <v>65716</v>
      </c>
    </row>
    <row r="5694" spans="1:2" x14ac:dyDescent="0.3">
      <c r="A5694" s="5">
        <v>43472</v>
      </c>
      <c r="B5694" s="10">
        <v>65736</v>
      </c>
    </row>
    <row r="5695" spans="1:2" x14ac:dyDescent="0.3">
      <c r="A5695" s="5">
        <v>43473</v>
      </c>
      <c r="B5695" s="10">
        <v>65818</v>
      </c>
    </row>
    <row r="5696" spans="1:2" x14ac:dyDescent="0.3">
      <c r="A5696" s="5">
        <v>43474</v>
      </c>
      <c r="B5696" s="10">
        <v>65946</v>
      </c>
    </row>
    <row r="5697" spans="1:2" x14ac:dyDescent="0.3">
      <c r="A5697" s="5">
        <v>43475</v>
      </c>
      <c r="B5697" s="10">
        <v>66042</v>
      </c>
    </row>
    <row r="5698" spans="1:2" x14ac:dyDescent="0.3">
      <c r="A5698" s="5">
        <v>43476</v>
      </c>
      <c r="B5698" s="10">
        <v>66036</v>
      </c>
    </row>
    <row r="5699" spans="1:2" x14ac:dyDescent="0.3">
      <c r="A5699" s="5">
        <v>43479</v>
      </c>
      <c r="B5699" s="10">
        <v>65961</v>
      </c>
    </row>
    <row r="5700" spans="1:2" x14ac:dyDescent="0.3">
      <c r="A5700" s="5">
        <v>43480</v>
      </c>
      <c r="B5700" s="10">
        <v>66020</v>
      </c>
    </row>
    <row r="5701" spans="1:2" x14ac:dyDescent="0.3">
      <c r="A5701" s="5">
        <v>43481</v>
      </c>
      <c r="B5701" s="10">
        <v>66165</v>
      </c>
    </row>
    <row r="5702" spans="1:2" x14ac:dyDescent="0.3">
      <c r="A5702" s="5">
        <v>43482</v>
      </c>
      <c r="B5702" s="10">
        <v>66257</v>
      </c>
    </row>
    <row r="5703" spans="1:2" x14ac:dyDescent="0.3">
      <c r="A5703" s="5">
        <v>43483</v>
      </c>
      <c r="B5703" s="10">
        <v>66429</v>
      </c>
    </row>
    <row r="5704" spans="1:2" x14ac:dyDescent="0.3">
      <c r="A5704" s="5">
        <v>43486</v>
      </c>
      <c r="B5704" s="10">
        <v>66418</v>
      </c>
    </row>
    <row r="5705" spans="1:2" x14ac:dyDescent="0.3">
      <c r="A5705" s="5">
        <v>43487</v>
      </c>
      <c r="B5705" s="10">
        <v>66490</v>
      </c>
    </row>
    <row r="5706" spans="1:2" x14ac:dyDescent="0.3">
      <c r="A5706" s="5">
        <v>43488</v>
      </c>
      <c r="B5706" s="10">
        <v>66621</v>
      </c>
    </row>
    <row r="5707" spans="1:2" x14ac:dyDescent="0.3">
      <c r="A5707" s="5">
        <v>43489</v>
      </c>
      <c r="B5707" s="10">
        <v>66519</v>
      </c>
    </row>
    <row r="5708" spans="1:2" x14ac:dyDescent="0.3">
      <c r="A5708" s="5">
        <v>43490</v>
      </c>
      <c r="B5708" s="10">
        <v>66413</v>
      </c>
    </row>
    <row r="5709" spans="1:2" x14ac:dyDescent="0.3">
      <c r="A5709" s="5">
        <v>43493</v>
      </c>
      <c r="B5709" s="10">
        <v>66429</v>
      </c>
    </row>
    <row r="5710" spans="1:2" x14ac:dyDescent="0.3">
      <c r="A5710" s="5">
        <v>43494</v>
      </c>
      <c r="B5710" s="10">
        <v>66449</v>
      </c>
    </row>
    <row r="5711" spans="1:2" x14ac:dyDescent="0.3">
      <c r="A5711" s="5">
        <v>43495</v>
      </c>
      <c r="B5711" s="10">
        <v>66409</v>
      </c>
    </row>
    <row r="5712" spans="1:2" x14ac:dyDescent="0.3">
      <c r="A5712" s="5">
        <v>43496</v>
      </c>
      <c r="B5712" s="10">
        <v>66811</v>
      </c>
    </row>
    <row r="5713" spans="1:2" x14ac:dyDescent="0.3">
      <c r="A5713" s="5">
        <v>43497</v>
      </c>
      <c r="B5713" s="10">
        <v>66843</v>
      </c>
    </row>
    <row r="5714" spans="1:2" x14ac:dyDescent="0.3">
      <c r="A5714" s="5">
        <v>43500</v>
      </c>
      <c r="B5714" s="10">
        <v>66845</v>
      </c>
    </row>
    <row r="5715" spans="1:2" x14ac:dyDescent="0.3">
      <c r="A5715" s="5">
        <v>43501</v>
      </c>
      <c r="B5715" s="10">
        <v>66962</v>
      </c>
    </row>
    <row r="5716" spans="1:2" x14ac:dyDescent="0.3">
      <c r="A5716" s="5">
        <v>43502</v>
      </c>
      <c r="B5716" s="10">
        <v>67001</v>
      </c>
    </row>
    <row r="5717" spans="1:2" x14ac:dyDescent="0.3">
      <c r="A5717" s="5">
        <v>43503</v>
      </c>
      <c r="B5717" s="10">
        <v>66980</v>
      </c>
    </row>
    <row r="5718" spans="1:2" x14ac:dyDescent="0.3">
      <c r="A5718" s="5">
        <v>43504</v>
      </c>
      <c r="B5718" s="10">
        <v>66894</v>
      </c>
    </row>
    <row r="5719" spans="1:2" x14ac:dyDescent="0.3">
      <c r="A5719" s="5">
        <v>43507</v>
      </c>
      <c r="B5719" s="10">
        <v>66783</v>
      </c>
    </row>
    <row r="5720" spans="1:2" x14ac:dyDescent="0.3">
      <c r="A5720" s="5">
        <v>43508</v>
      </c>
      <c r="B5720" s="10">
        <v>66918</v>
      </c>
    </row>
    <row r="5721" spans="1:2" x14ac:dyDescent="0.3">
      <c r="A5721" s="5">
        <v>43509</v>
      </c>
      <c r="B5721" s="10">
        <v>67054</v>
      </c>
    </row>
    <row r="5722" spans="1:2" x14ac:dyDescent="0.3">
      <c r="A5722" s="5">
        <v>43510</v>
      </c>
      <c r="B5722" s="10">
        <v>66955</v>
      </c>
    </row>
    <row r="5723" spans="1:2" x14ac:dyDescent="0.3">
      <c r="A5723" s="5">
        <v>43511</v>
      </c>
      <c r="B5723" s="10">
        <v>66925</v>
      </c>
    </row>
    <row r="5724" spans="1:2" x14ac:dyDescent="0.3">
      <c r="A5724" s="5">
        <v>43514</v>
      </c>
      <c r="B5724" s="10">
        <v>66972</v>
      </c>
    </row>
    <row r="5725" spans="1:2" x14ac:dyDescent="0.3">
      <c r="A5725" s="5">
        <v>43515</v>
      </c>
      <c r="B5725" s="10">
        <v>67012</v>
      </c>
    </row>
    <row r="5726" spans="1:2" x14ac:dyDescent="0.3">
      <c r="A5726" s="5">
        <v>43516</v>
      </c>
      <c r="B5726" s="10">
        <v>67034</v>
      </c>
    </row>
    <row r="5727" spans="1:2" x14ac:dyDescent="0.3">
      <c r="A5727" s="5">
        <v>43517</v>
      </c>
      <c r="B5727" s="10">
        <v>66984</v>
      </c>
    </row>
    <row r="5728" spans="1:2" x14ac:dyDescent="0.3">
      <c r="A5728" s="5">
        <v>43518</v>
      </c>
      <c r="B5728" s="10">
        <v>67010</v>
      </c>
    </row>
    <row r="5729" spans="1:2" x14ac:dyDescent="0.3">
      <c r="A5729" s="5">
        <v>43521</v>
      </c>
      <c r="B5729" s="10">
        <v>67044</v>
      </c>
    </row>
    <row r="5730" spans="1:2" x14ac:dyDescent="0.3">
      <c r="A5730" s="5">
        <v>43522</v>
      </c>
      <c r="B5730" s="10">
        <v>66993</v>
      </c>
    </row>
    <row r="5731" spans="1:2" x14ac:dyDescent="0.3">
      <c r="A5731" s="5">
        <v>43523</v>
      </c>
      <c r="B5731" s="10">
        <v>66986</v>
      </c>
    </row>
    <row r="5732" spans="1:2" x14ac:dyDescent="0.3">
      <c r="A5732" s="5">
        <v>43524</v>
      </c>
      <c r="B5732" s="10">
        <v>68015</v>
      </c>
    </row>
    <row r="5733" spans="1:2" x14ac:dyDescent="0.3">
      <c r="A5733" s="5">
        <v>43525</v>
      </c>
      <c r="B5733" s="10">
        <v>68345</v>
      </c>
    </row>
    <row r="5734" spans="1:2" x14ac:dyDescent="0.3">
      <c r="A5734" s="5">
        <v>43530</v>
      </c>
      <c r="B5734" s="10">
        <v>68352</v>
      </c>
    </row>
    <row r="5735" spans="1:2" x14ac:dyDescent="0.3">
      <c r="A5735" s="5">
        <v>43531</v>
      </c>
      <c r="B5735" s="10">
        <v>68421</v>
      </c>
    </row>
    <row r="5736" spans="1:2" x14ac:dyDescent="0.3">
      <c r="A5736" s="5">
        <v>43532</v>
      </c>
      <c r="B5736" s="10">
        <v>68578</v>
      </c>
    </row>
    <row r="5737" spans="1:2" x14ac:dyDescent="0.3">
      <c r="A5737" s="5">
        <v>43535</v>
      </c>
      <c r="B5737" s="10">
        <v>68526</v>
      </c>
    </row>
    <row r="5738" spans="1:2" x14ac:dyDescent="0.3">
      <c r="A5738" s="5">
        <v>43536</v>
      </c>
      <c r="B5738" s="10">
        <v>68488</v>
      </c>
    </row>
    <row r="5739" spans="1:2" x14ac:dyDescent="0.3">
      <c r="A5739" s="5">
        <v>43537</v>
      </c>
      <c r="B5739" s="10">
        <v>68483</v>
      </c>
    </row>
    <row r="5740" spans="1:2" x14ac:dyDescent="0.3">
      <c r="A5740" s="5">
        <v>43538</v>
      </c>
      <c r="B5740" s="10">
        <v>68392</v>
      </c>
    </row>
    <row r="5741" spans="1:2" x14ac:dyDescent="0.3">
      <c r="A5741" s="5">
        <v>43539</v>
      </c>
      <c r="B5741" s="10">
        <v>68285</v>
      </c>
    </row>
    <row r="5742" spans="1:2" x14ac:dyDescent="0.3">
      <c r="A5742" s="5">
        <v>43542</v>
      </c>
      <c r="B5742" s="10">
        <v>68303</v>
      </c>
    </row>
    <row r="5743" spans="1:2" x14ac:dyDescent="0.3">
      <c r="A5743" s="5">
        <v>43543</v>
      </c>
      <c r="B5743" s="10">
        <v>68250</v>
      </c>
    </row>
    <row r="5744" spans="1:2" x14ac:dyDescent="0.3">
      <c r="A5744" s="5">
        <v>43544</v>
      </c>
      <c r="B5744" s="10">
        <v>68312</v>
      </c>
    </row>
    <row r="5745" spans="1:2" x14ac:dyDescent="0.3">
      <c r="A5745" s="5">
        <v>43545</v>
      </c>
      <c r="B5745" s="10">
        <v>68204</v>
      </c>
    </row>
    <row r="5746" spans="1:2" x14ac:dyDescent="0.3">
      <c r="A5746" s="5">
        <v>43546</v>
      </c>
      <c r="B5746" s="10">
        <v>68043</v>
      </c>
    </row>
    <row r="5747" spans="1:2" x14ac:dyDescent="0.3">
      <c r="A5747" s="5">
        <v>43549</v>
      </c>
      <c r="B5747" s="10">
        <v>67509</v>
      </c>
    </row>
    <row r="5748" spans="1:2" x14ac:dyDescent="0.3">
      <c r="A5748" s="5">
        <v>43550</v>
      </c>
      <c r="B5748" s="10">
        <v>67183</v>
      </c>
    </row>
    <row r="5749" spans="1:2" x14ac:dyDescent="0.3">
      <c r="A5749" s="5">
        <v>43551</v>
      </c>
      <c r="B5749" s="10">
        <v>66870</v>
      </c>
    </row>
    <row r="5750" spans="1:2" x14ac:dyDescent="0.3">
      <c r="A5750" s="5">
        <v>43552</v>
      </c>
      <c r="B5750" s="10">
        <v>66414</v>
      </c>
    </row>
    <row r="5751" spans="1:2" x14ac:dyDescent="0.3">
      <c r="A5751" s="5">
        <v>43553</v>
      </c>
      <c r="B5751" s="10">
        <v>66187</v>
      </c>
    </row>
    <row r="5752" spans="1:2" x14ac:dyDescent="0.3">
      <c r="A5752" s="5">
        <v>43556</v>
      </c>
      <c r="B5752" s="10">
        <v>66213</v>
      </c>
    </row>
    <row r="5753" spans="1:2" x14ac:dyDescent="0.3">
      <c r="A5753" s="5">
        <v>43558</v>
      </c>
      <c r="B5753" s="10">
        <v>66263</v>
      </c>
    </row>
    <row r="5754" spans="1:2" x14ac:dyDescent="0.3">
      <c r="A5754" s="5">
        <v>43559</v>
      </c>
      <c r="B5754" s="10">
        <v>66375</v>
      </c>
    </row>
    <row r="5755" spans="1:2" x14ac:dyDescent="0.3">
      <c r="A5755" s="5">
        <v>43560</v>
      </c>
      <c r="B5755" s="10">
        <v>66623</v>
      </c>
    </row>
    <row r="5756" spans="1:2" x14ac:dyDescent="0.3">
      <c r="A5756" s="5">
        <v>43563</v>
      </c>
      <c r="B5756" s="10">
        <v>66662</v>
      </c>
    </row>
    <row r="5757" spans="1:2" x14ac:dyDescent="0.3">
      <c r="A5757" s="5">
        <v>43564</v>
      </c>
      <c r="B5757" s="10">
        <v>77481</v>
      </c>
    </row>
    <row r="5758" spans="1:2" x14ac:dyDescent="0.3">
      <c r="A5758" s="5">
        <v>43565</v>
      </c>
      <c r="B5758" s="10">
        <v>77334</v>
      </c>
    </row>
    <row r="5759" spans="1:2" x14ac:dyDescent="0.3">
      <c r="A5759" s="5">
        <v>43566</v>
      </c>
      <c r="B5759" s="10">
        <v>77095</v>
      </c>
    </row>
    <row r="5760" spans="1:2" x14ac:dyDescent="0.3">
      <c r="A5760" s="5">
        <v>43567</v>
      </c>
      <c r="B5760" s="10">
        <v>76985</v>
      </c>
    </row>
    <row r="5761" spans="1:2" x14ac:dyDescent="0.3">
      <c r="A5761" s="5">
        <v>43570</v>
      </c>
      <c r="B5761" s="10">
        <v>76894</v>
      </c>
    </row>
    <row r="5762" spans="1:2" x14ac:dyDescent="0.3">
      <c r="A5762" s="5">
        <v>43571</v>
      </c>
      <c r="B5762" s="10">
        <v>76794</v>
      </c>
    </row>
    <row r="5763" spans="1:2" x14ac:dyDescent="0.3">
      <c r="A5763" s="5">
        <v>43572</v>
      </c>
      <c r="B5763" s="10">
        <v>76663</v>
      </c>
    </row>
    <row r="5764" spans="1:2" x14ac:dyDescent="0.3">
      <c r="A5764" s="5">
        <v>43577</v>
      </c>
      <c r="B5764" s="10">
        <v>72803</v>
      </c>
    </row>
    <row r="5765" spans="1:2" x14ac:dyDescent="0.3">
      <c r="A5765" s="5">
        <v>43578</v>
      </c>
      <c r="B5765" s="10">
        <v>72559</v>
      </c>
    </row>
    <row r="5766" spans="1:2" x14ac:dyDescent="0.3">
      <c r="A5766" s="5">
        <v>43579</v>
      </c>
      <c r="B5766" s="10">
        <v>72330</v>
      </c>
    </row>
    <row r="5767" spans="1:2" x14ac:dyDescent="0.3">
      <c r="A5767" s="5">
        <v>43580</v>
      </c>
      <c r="B5767" s="10">
        <v>72087</v>
      </c>
    </row>
    <row r="5768" spans="1:2" x14ac:dyDescent="0.3">
      <c r="A5768" s="5">
        <v>43581</v>
      </c>
      <c r="B5768" s="10">
        <v>71903</v>
      </c>
    </row>
    <row r="5769" spans="1:2" x14ac:dyDescent="0.3">
      <c r="A5769" s="5">
        <v>43584</v>
      </c>
      <c r="B5769" s="10">
        <v>71747</v>
      </c>
    </row>
    <row r="5770" spans="1:2" x14ac:dyDescent="0.3">
      <c r="A5770" s="5">
        <v>43585</v>
      </c>
      <c r="B5770" s="10">
        <v>71663</v>
      </c>
    </row>
    <row r="5771" spans="1:2" x14ac:dyDescent="0.3">
      <c r="A5771" s="5">
        <v>43587</v>
      </c>
      <c r="B5771" s="10">
        <v>71529</v>
      </c>
    </row>
    <row r="5772" spans="1:2" x14ac:dyDescent="0.3">
      <c r="A5772" s="5">
        <v>43588</v>
      </c>
      <c r="B5772" s="10">
        <v>71295</v>
      </c>
    </row>
    <row r="5773" spans="1:2" x14ac:dyDescent="0.3">
      <c r="A5773" s="5">
        <v>43591</v>
      </c>
      <c r="B5773" s="10">
        <v>70860</v>
      </c>
    </row>
    <row r="5774" spans="1:2" x14ac:dyDescent="0.3">
      <c r="A5774" s="5">
        <v>43592</v>
      </c>
      <c r="B5774" s="10">
        <v>68931</v>
      </c>
    </row>
    <row r="5775" spans="1:2" x14ac:dyDescent="0.3">
      <c r="A5775" s="5">
        <v>43593</v>
      </c>
      <c r="B5775" s="10">
        <v>68758</v>
      </c>
    </row>
    <row r="5776" spans="1:2" x14ac:dyDescent="0.3">
      <c r="A5776" s="5">
        <v>43594</v>
      </c>
      <c r="B5776" s="10">
        <v>68431</v>
      </c>
    </row>
    <row r="5777" spans="1:2" x14ac:dyDescent="0.3">
      <c r="A5777" s="5">
        <v>43595</v>
      </c>
      <c r="B5777" s="10">
        <v>68114</v>
      </c>
    </row>
    <row r="5778" spans="1:2" x14ac:dyDescent="0.3">
      <c r="A5778" s="5">
        <v>43598</v>
      </c>
      <c r="B5778" s="10">
        <v>67800</v>
      </c>
    </row>
    <row r="5779" spans="1:2" x14ac:dyDescent="0.3">
      <c r="A5779" s="5">
        <v>43599</v>
      </c>
      <c r="B5779" s="10">
        <v>67461</v>
      </c>
    </row>
    <row r="5780" spans="1:2" x14ac:dyDescent="0.3">
      <c r="A5780" s="5">
        <v>43600</v>
      </c>
      <c r="B5780" s="10">
        <v>67306</v>
      </c>
    </row>
    <row r="5781" spans="1:2" x14ac:dyDescent="0.3">
      <c r="A5781" s="5">
        <v>43601</v>
      </c>
      <c r="B5781" s="10">
        <v>67244</v>
      </c>
    </row>
    <row r="5782" spans="1:2" x14ac:dyDescent="0.3">
      <c r="A5782" s="5">
        <v>43602</v>
      </c>
      <c r="B5782" s="10">
        <v>66998</v>
      </c>
    </row>
    <row r="5783" spans="1:2" x14ac:dyDescent="0.3">
      <c r="A5783" s="5">
        <v>43605</v>
      </c>
      <c r="B5783" s="10">
        <v>67063</v>
      </c>
    </row>
    <row r="5784" spans="1:2" x14ac:dyDescent="0.3">
      <c r="A5784" s="5">
        <v>43606</v>
      </c>
      <c r="B5784" s="10">
        <v>67103</v>
      </c>
    </row>
    <row r="5785" spans="1:2" x14ac:dyDescent="0.3">
      <c r="A5785" s="5">
        <v>43607</v>
      </c>
      <c r="B5785" s="10">
        <v>67071</v>
      </c>
    </row>
    <row r="5786" spans="1:2" x14ac:dyDescent="0.3">
      <c r="A5786" s="5">
        <v>43608</v>
      </c>
      <c r="B5786" s="10">
        <v>66491</v>
      </c>
    </row>
    <row r="5787" spans="1:2" x14ac:dyDescent="0.3">
      <c r="A5787" s="5">
        <v>43609</v>
      </c>
      <c r="B5787" s="10">
        <v>65598</v>
      </c>
    </row>
    <row r="5788" spans="1:2" x14ac:dyDescent="0.3">
      <c r="A5788" s="5">
        <v>43612</v>
      </c>
      <c r="B5788" s="10">
        <v>65581</v>
      </c>
    </row>
    <row r="5789" spans="1:2" x14ac:dyDescent="0.3">
      <c r="A5789" s="5">
        <v>43613</v>
      </c>
      <c r="B5789" s="10">
        <v>65219</v>
      </c>
    </row>
    <row r="5790" spans="1:2" x14ac:dyDescent="0.3">
      <c r="A5790" s="5">
        <v>43614</v>
      </c>
      <c r="B5790" s="10">
        <v>64681</v>
      </c>
    </row>
    <row r="5791" spans="1:2" x14ac:dyDescent="0.3">
      <c r="A5791" s="5">
        <v>43615</v>
      </c>
      <c r="B5791" s="10">
        <v>64744</v>
      </c>
    </row>
    <row r="5792" spans="1:2" x14ac:dyDescent="0.3">
      <c r="A5792" s="5">
        <v>43616</v>
      </c>
      <c r="B5792" s="10">
        <v>64779</v>
      </c>
    </row>
    <row r="5793" spans="1:2" x14ac:dyDescent="0.3">
      <c r="A5793" s="5">
        <v>43619</v>
      </c>
      <c r="B5793" s="10">
        <v>64782</v>
      </c>
    </row>
    <row r="5794" spans="1:2" x14ac:dyDescent="0.3">
      <c r="A5794" s="5">
        <v>43620</v>
      </c>
      <c r="B5794" s="10">
        <v>64751</v>
      </c>
    </row>
    <row r="5795" spans="1:2" x14ac:dyDescent="0.3">
      <c r="A5795" s="5">
        <v>43621</v>
      </c>
      <c r="B5795" s="10">
        <v>64661</v>
      </c>
    </row>
    <row r="5796" spans="1:2" x14ac:dyDescent="0.3">
      <c r="A5796" s="5">
        <v>43622</v>
      </c>
      <c r="B5796" s="10">
        <v>64660</v>
      </c>
    </row>
    <row r="5797" spans="1:2" x14ac:dyDescent="0.3">
      <c r="A5797" s="5">
        <v>43623</v>
      </c>
      <c r="B5797" s="10">
        <v>64757</v>
      </c>
    </row>
    <row r="5798" spans="1:2" x14ac:dyDescent="0.3">
      <c r="A5798" s="5">
        <v>43626</v>
      </c>
      <c r="B5798" s="10">
        <v>64699</v>
      </c>
    </row>
    <row r="5799" spans="1:2" x14ac:dyDescent="0.3">
      <c r="A5799" s="5">
        <v>43627</v>
      </c>
      <c r="B5799" s="10">
        <v>64764</v>
      </c>
    </row>
    <row r="5800" spans="1:2" x14ac:dyDescent="0.3">
      <c r="A5800" s="5">
        <v>43628</v>
      </c>
      <c r="B5800" s="10">
        <v>64676</v>
      </c>
    </row>
    <row r="5801" spans="1:2" x14ac:dyDescent="0.3">
      <c r="A5801" s="5">
        <v>43629</v>
      </c>
      <c r="B5801" s="10">
        <v>63781</v>
      </c>
    </row>
    <row r="5802" spans="1:2" x14ac:dyDescent="0.3">
      <c r="A5802" s="5">
        <v>43630</v>
      </c>
      <c r="B5802" s="10">
        <v>63782</v>
      </c>
    </row>
    <row r="5803" spans="1:2" x14ac:dyDescent="0.3">
      <c r="A5803" s="5">
        <v>43634</v>
      </c>
      <c r="B5803" s="10">
        <v>63981</v>
      </c>
    </row>
    <row r="5804" spans="1:2" x14ac:dyDescent="0.3">
      <c r="A5804" s="5">
        <v>43635</v>
      </c>
      <c r="B5804" s="10">
        <v>64059</v>
      </c>
    </row>
    <row r="5805" spans="1:2" x14ac:dyDescent="0.3">
      <c r="A5805" s="5">
        <v>43637</v>
      </c>
      <c r="B5805" s="10">
        <v>64640</v>
      </c>
    </row>
    <row r="5806" spans="1:2" x14ac:dyDescent="0.3">
      <c r="A5806" s="5">
        <v>43640</v>
      </c>
      <c r="B5806" s="10">
        <v>64442</v>
      </c>
    </row>
    <row r="5807" spans="1:2" x14ac:dyDescent="0.3">
      <c r="A5807" s="5">
        <v>43641</v>
      </c>
      <c r="B5807" s="10">
        <v>64296</v>
      </c>
    </row>
    <row r="5808" spans="1:2" x14ac:dyDescent="0.3">
      <c r="A5808" s="5">
        <v>43642</v>
      </c>
      <c r="B5808" s="10">
        <v>64394</v>
      </c>
    </row>
    <row r="5809" spans="1:2" x14ac:dyDescent="0.3">
      <c r="A5809" s="5">
        <v>43643</v>
      </c>
      <c r="B5809" s="10">
        <v>64308</v>
      </c>
    </row>
    <row r="5810" spans="1:2" x14ac:dyDescent="0.3">
      <c r="A5810" s="5">
        <v>43644</v>
      </c>
      <c r="B5810" s="10">
        <v>64278</v>
      </c>
    </row>
    <row r="5811" spans="1:2" x14ac:dyDescent="0.3">
      <c r="A5811" s="5">
        <v>43647</v>
      </c>
      <c r="B5811" s="10">
        <v>64148</v>
      </c>
    </row>
    <row r="5812" spans="1:2" x14ac:dyDescent="0.3">
      <c r="A5812" s="5">
        <v>43648</v>
      </c>
      <c r="B5812" s="10">
        <v>64123</v>
      </c>
    </row>
    <row r="5813" spans="1:2" x14ac:dyDescent="0.3">
      <c r="A5813" s="5">
        <v>43649</v>
      </c>
      <c r="B5813" s="10">
        <v>64108</v>
      </c>
    </row>
    <row r="5814" spans="1:2" x14ac:dyDescent="0.3">
      <c r="A5814" s="5">
        <v>43650</v>
      </c>
      <c r="B5814" s="10">
        <v>64095</v>
      </c>
    </row>
    <row r="5815" spans="1:2" x14ac:dyDescent="0.3">
      <c r="A5815" s="5">
        <v>43651</v>
      </c>
      <c r="B5815" s="10">
        <v>63743</v>
      </c>
    </row>
    <row r="5816" spans="1:2" x14ac:dyDescent="0.3">
      <c r="A5816" s="5">
        <v>43656</v>
      </c>
      <c r="B5816" s="10">
        <v>63561</v>
      </c>
    </row>
    <row r="5817" spans="1:2" x14ac:dyDescent="0.3">
      <c r="A5817" s="5">
        <v>43657</v>
      </c>
      <c r="B5817" s="10">
        <v>63670</v>
      </c>
    </row>
    <row r="5818" spans="1:2" x14ac:dyDescent="0.3">
      <c r="A5818" s="5">
        <v>43658</v>
      </c>
      <c r="B5818" s="10">
        <v>63697</v>
      </c>
    </row>
    <row r="5819" spans="1:2" x14ac:dyDescent="0.3">
      <c r="A5819" s="5">
        <v>43661</v>
      </c>
      <c r="B5819" s="10">
        <v>63568</v>
      </c>
    </row>
    <row r="5820" spans="1:2" x14ac:dyDescent="0.3">
      <c r="A5820" s="5">
        <v>43662</v>
      </c>
      <c r="B5820" s="10">
        <v>68732</v>
      </c>
    </row>
    <row r="5821" spans="1:2" x14ac:dyDescent="0.3">
      <c r="A5821" s="5">
        <v>43663</v>
      </c>
      <c r="B5821" s="10">
        <v>68761</v>
      </c>
    </row>
    <row r="5822" spans="1:2" x14ac:dyDescent="0.3">
      <c r="A5822" s="5">
        <v>43664</v>
      </c>
      <c r="B5822" s="10">
        <v>68747</v>
      </c>
    </row>
    <row r="5823" spans="1:2" x14ac:dyDescent="0.3">
      <c r="A5823" s="5">
        <v>43665</v>
      </c>
      <c r="B5823" s="10">
        <v>68600</v>
      </c>
    </row>
    <row r="5824" spans="1:2" x14ac:dyDescent="0.3">
      <c r="A5824" s="5">
        <v>43668</v>
      </c>
      <c r="B5824" s="10">
        <v>68334</v>
      </c>
    </row>
    <row r="5825" spans="1:2" x14ac:dyDescent="0.3">
      <c r="A5825" s="5">
        <v>43669</v>
      </c>
      <c r="B5825" s="10">
        <v>68338</v>
      </c>
    </row>
    <row r="5826" spans="1:2" x14ac:dyDescent="0.3">
      <c r="A5826" s="5">
        <v>43670</v>
      </c>
      <c r="B5826" s="10">
        <v>68317</v>
      </c>
    </row>
    <row r="5827" spans="1:2" x14ac:dyDescent="0.3">
      <c r="A5827" s="5">
        <v>43671</v>
      </c>
      <c r="B5827" s="10">
        <v>67966</v>
      </c>
    </row>
    <row r="5828" spans="1:2" x14ac:dyDescent="0.3">
      <c r="A5828" s="5">
        <v>43672</v>
      </c>
      <c r="B5828" s="10">
        <v>68071</v>
      </c>
    </row>
    <row r="5829" spans="1:2" x14ac:dyDescent="0.3">
      <c r="A5829" s="5">
        <v>43675</v>
      </c>
      <c r="B5829" s="10">
        <v>67994</v>
      </c>
    </row>
    <row r="5830" spans="1:2" x14ac:dyDescent="0.3">
      <c r="A5830" s="5">
        <v>43676</v>
      </c>
      <c r="B5830" s="10">
        <v>67951</v>
      </c>
    </row>
    <row r="5831" spans="1:2" x14ac:dyDescent="0.3">
      <c r="A5831" s="5">
        <v>43677</v>
      </c>
      <c r="B5831" s="10">
        <v>67899</v>
      </c>
    </row>
    <row r="5832" spans="1:2" x14ac:dyDescent="0.3">
      <c r="A5832" s="5">
        <v>43678</v>
      </c>
      <c r="B5832" s="10">
        <v>67760</v>
      </c>
    </row>
    <row r="5833" spans="1:2" x14ac:dyDescent="0.3">
      <c r="A5833" s="5">
        <v>43679</v>
      </c>
      <c r="B5833" s="10">
        <v>67559</v>
      </c>
    </row>
    <row r="5834" spans="1:2" x14ac:dyDescent="0.3">
      <c r="A5834" s="5">
        <v>43682</v>
      </c>
      <c r="B5834" s="10">
        <v>67043</v>
      </c>
    </row>
    <row r="5835" spans="1:2" x14ac:dyDescent="0.3">
      <c r="A5835" s="5">
        <v>43683</v>
      </c>
      <c r="B5835" s="10">
        <v>66464</v>
      </c>
    </row>
    <row r="5836" spans="1:2" x14ac:dyDescent="0.3">
      <c r="A5836" s="5">
        <v>43684</v>
      </c>
      <c r="B5836" s="10">
        <v>66399</v>
      </c>
    </row>
    <row r="5837" spans="1:2" x14ac:dyDescent="0.3">
      <c r="A5837" s="5">
        <v>43685</v>
      </c>
      <c r="B5837" s="10">
        <v>66370</v>
      </c>
    </row>
    <row r="5838" spans="1:2" x14ac:dyDescent="0.3">
      <c r="A5838" s="5">
        <v>43686</v>
      </c>
      <c r="B5838" s="10">
        <v>66309</v>
      </c>
    </row>
    <row r="5839" spans="1:2" x14ac:dyDescent="0.3">
      <c r="A5839" s="5">
        <v>43689</v>
      </c>
      <c r="B5839" s="10">
        <v>65736</v>
      </c>
    </row>
    <row r="5840" spans="1:2" x14ac:dyDescent="0.3">
      <c r="A5840" s="5">
        <v>43690</v>
      </c>
      <c r="B5840" s="10">
        <v>65042</v>
      </c>
    </row>
    <row r="5841" spans="1:2" x14ac:dyDescent="0.3">
      <c r="A5841" s="5">
        <v>43691</v>
      </c>
      <c r="B5841" s="10">
        <v>64233</v>
      </c>
    </row>
    <row r="5842" spans="1:2" x14ac:dyDescent="0.3">
      <c r="A5842" s="5">
        <v>43692</v>
      </c>
      <c r="B5842" s="10">
        <v>63712</v>
      </c>
    </row>
    <row r="5843" spans="1:2" x14ac:dyDescent="0.3">
      <c r="A5843" s="5">
        <v>43693</v>
      </c>
      <c r="B5843" s="10">
        <v>62404</v>
      </c>
    </row>
    <row r="5844" spans="1:2" x14ac:dyDescent="0.3">
      <c r="A5844" s="5">
        <v>43697</v>
      </c>
      <c r="B5844" s="10">
        <v>59394</v>
      </c>
    </row>
    <row r="5845" spans="1:2" x14ac:dyDescent="0.3">
      <c r="A5845" s="5">
        <v>43698</v>
      </c>
      <c r="B5845" s="10">
        <v>58894</v>
      </c>
    </row>
    <row r="5846" spans="1:2" x14ac:dyDescent="0.3">
      <c r="A5846" s="5">
        <v>43699</v>
      </c>
      <c r="B5846" s="10">
        <v>58410</v>
      </c>
    </row>
    <row r="5847" spans="1:2" x14ac:dyDescent="0.3">
      <c r="A5847" s="5">
        <v>43700</v>
      </c>
      <c r="B5847" s="10">
        <v>58267</v>
      </c>
    </row>
    <row r="5848" spans="1:2" x14ac:dyDescent="0.3">
      <c r="A5848" s="5">
        <v>43703</v>
      </c>
      <c r="B5848" s="10">
        <v>57918</v>
      </c>
    </row>
    <row r="5849" spans="1:2" x14ac:dyDescent="0.3">
      <c r="A5849" s="5">
        <v>43704</v>
      </c>
      <c r="B5849" s="10">
        <v>57477</v>
      </c>
    </row>
    <row r="5850" spans="1:2" x14ac:dyDescent="0.3">
      <c r="A5850" s="5">
        <v>43705</v>
      </c>
      <c r="B5850" s="10">
        <v>56953</v>
      </c>
    </row>
    <row r="5851" spans="1:2" x14ac:dyDescent="0.3">
      <c r="A5851" s="5">
        <v>43706</v>
      </c>
      <c r="B5851" s="10">
        <v>56044</v>
      </c>
    </row>
    <row r="5852" spans="1:2" x14ac:dyDescent="0.3">
      <c r="A5852" s="5">
        <v>43707</v>
      </c>
      <c r="B5852" s="10">
        <v>54100</v>
      </c>
    </row>
    <row r="5853" spans="1:2" x14ac:dyDescent="0.3">
      <c r="A5853" s="5">
        <v>43710</v>
      </c>
      <c r="B5853" s="10">
        <v>53146</v>
      </c>
    </row>
    <row r="5854" spans="1:2" x14ac:dyDescent="0.3">
      <c r="A5854" s="5">
        <v>43711</v>
      </c>
      <c r="B5854" s="10">
        <v>52151</v>
      </c>
    </row>
    <row r="5855" spans="1:2" x14ac:dyDescent="0.3">
      <c r="A5855" s="5">
        <v>43712</v>
      </c>
      <c r="B5855" s="10">
        <v>51741</v>
      </c>
    </row>
    <row r="5856" spans="1:2" x14ac:dyDescent="0.3">
      <c r="A5856" s="5">
        <v>43713</v>
      </c>
      <c r="B5856" s="10">
        <v>51295</v>
      </c>
    </row>
    <row r="5857" spans="1:2" x14ac:dyDescent="0.3">
      <c r="A5857" s="5">
        <v>43714</v>
      </c>
      <c r="B5857" s="10">
        <v>50952</v>
      </c>
    </row>
    <row r="5858" spans="1:2" x14ac:dyDescent="0.3">
      <c r="A5858" s="5">
        <v>43717</v>
      </c>
      <c r="B5858" s="10">
        <v>50646</v>
      </c>
    </row>
    <row r="5859" spans="1:2" x14ac:dyDescent="0.3">
      <c r="A5859" s="5">
        <v>43718</v>
      </c>
      <c r="B5859" s="10">
        <v>50378</v>
      </c>
    </row>
    <row r="5860" spans="1:2" x14ac:dyDescent="0.3">
      <c r="A5860" s="5">
        <v>43719</v>
      </c>
      <c r="B5860" s="10">
        <v>50236</v>
      </c>
    </row>
    <row r="5861" spans="1:2" x14ac:dyDescent="0.3">
      <c r="A5861" s="5">
        <v>43720</v>
      </c>
      <c r="B5861" s="10">
        <v>50163</v>
      </c>
    </row>
    <row r="5862" spans="1:2" x14ac:dyDescent="0.3">
      <c r="A5862" s="5">
        <v>43721</v>
      </c>
      <c r="B5862" s="10">
        <v>50089</v>
      </c>
    </row>
    <row r="5863" spans="1:2" x14ac:dyDescent="0.3">
      <c r="A5863" s="5">
        <v>43724</v>
      </c>
      <c r="B5863" s="10">
        <v>49973</v>
      </c>
    </row>
    <row r="5864" spans="1:2" x14ac:dyDescent="0.3">
      <c r="A5864" s="5">
        <v>43725</v>
      </c>
      <c r="B5864" s="10">
        <v>49881</v>
      </c>
    </row>
    <row r="5865" spans="1:2" x14ac:dyDescent="0.3">
      <c r="A5865" s="5">
        <v>43726</v>
      </c>
      <c r="B5865" s="10">
        <v>49818</v>
      </c>
    </row>
    <row r="5866" spans="1:2" x14ac:dyDescent="0.3">
      <c r="A5866" s="5">
        <v>43727</v>
      </c>
      <c r="B5866" s="10">
        <v>49729</v>
      </c>
    </row>
    <row r="5867" spans="1:2" x14ac:dyDescent="0.3">
      <c r="A5867" s="5">
        <v>43728</v>
      </c>
      <c r="B5867" s="10">
        <v>49602</v>
      </c>
    </row>
    <row r="5868" spans="1:2" x14ac:dyDescent="0.3">
      <c r="A5868" s="5">
        <v>43731</v>
      </c>
      <c r="B5868" s="10">
        <v>49498</v>
      </c>
    </row>
    <row r="5869" spans="1:2" x14ac:dyDescent="0.3">
      <c r="A5869" s="5">
        <v>43732</v>
      </c>
      <c r="B5869" s="10">
        <v>49444</v>
      </c>
    </row>
    <row r="5870" spans="1:2" x14ac:dyDescent="0.3">
      <c r="A5870" s="5">
        <v>43733</v>
      </c>
      <c r="B5870" s="10">
        <v>49312</v>
      </c>
    </row>
    <row r="5871" spans="1:2" x14ac:dyDescent="0.3">
      <c r="A5871" s="5">
        <v>43734</v>
      </c>
      <c r="B5871" s="10">
        <v>49231</v>
      </c>
    </row>
    <row r="5872" spans="1:2" x14ac:dyDescent="0.3">
      <c r="A5872" s="5">
        <v>43735</v>
      </c>
      <c r="B5872" s="10">
        <v>48941</v>
      </c>
    </row>
    <row r="5873" spans="1:2" x14ac:dyDescent="0.3">
      <c r="A5873" s="5">
        <v>43738</v>
      </c>
      <c r="B5873" s="10">
        <v>48703</v>
      </c>
    </row>
    <row r="5874" spans="1:2" x14ac:dyDescent="0.3">
      <c r="A5874" s="5">
        <v>43739</v>
      </c>
      <c r="B5874" s="10">
        <v>48488</v>
      </c>
    </row>
    <row r="5875" spans="1:2" x14ac:dyDescent="0.3">
      <c r="A5875" s="5">
        <v>43740</v>
      </c>
      <c r="B5875" s="10">
        <v>48346</v>
      </c>
    </row>
    <row r="5876" spans="1:2" x14ac:dyDescent="0.3">
      <c r="A5876" s="5">
        <v>43741</v>
      </c>
      <c r="B5876" s="10">
        <v>48248</v>
      </c>
    </row>
    <row r="5877" spans="1:2" x14ac:dyDescent="0.3">
      <c r="A5877" s="5">
        <v>43742</v>
      </c>
      <c r="B5877" s="10">
        <v>48177</v>
      </c>
    </row>
    <row r="5878" spans="1:2" x14ac:dyDescent="0.3">
      <c r="A5878" s="5">
        <v>43745</v>
      </c>
      <c r="B5878" s="10">
        <v>48075</v>
      </c>
    </row>
    <row r="5879" spans="1:2" x14ac:dyDescent="0.3">
      <c r="A5879" s="5">
        <v>43746</v>
      </c>
      <c r="B5879" s="10">
        <v>47957</v>
      </c>
    </row>
    <row r="5880" spans="1:2" x14ac:dyDescent="0.3">
      <c r="A5880" s="5">
        <v>43747</v>
      </c>
      <c r="B5880" s="10">
        <v>47916</v>
      </c>
    </row>
    <row r="5881" spans="1:2" x14ac:dyDescent="0.3">
      <c r="A5881" s="5">
        <v>43748</v>
      </c>
      <c r="B5881" s="10">
        <v>47855</v>
      </c>
    </row>
    <row r="5882" spans="1:2" x14ac:dyDescent="0.3">
      <c r="A5882" s="5">
        <v>43749</v>
      </c>
      <c r="B5882" s="10">
        <v>47859</v>
      </c>
    </row>
    <row r="5883" spans="1:2" x14ac:dyDescent="0.3">
      <c r="A5883" s="5">
        <v>43753</v>
      </c>
      <c r="B5883" s="10">
        <v>47780</v>
      </c>
    </row>
    <row r="5884" spans="1:2" x14ac:dyDescent="0.3">
      <c r="A5884" s="5">
        <v>43754</v>
      </c>
      <c r="B5884" s="10">
        <v>47647</v>
      </c>
    </row>
    <row r="5885" spans="1:2" x14ac:dyDescent="0.3">
      <c r="A5885" s="5">
        <v>43755</v>
      </c>
      <c r="B5885" s="10">
        <v>47596</v>
      </c>
    </row>
    <row r="5886" spans="1:2" x14ac:dyDescent="0.3">
      <c r="A5886" s="5">
        <v>43756</v>
      </c>
      <c r="B5886" s="10">
        <v>47445</v>
      </c>
    </row>
    <row r="5887" spans="1:2" x14ac:dyDescent="0.3">
      <c r="A5887" s="5">
        <v>43759</v>
      </c>
      <c r="B5887" s="10">
        <v>46886</v>
      </c>
    </row>
    <row r="5888" spans="1:2" x14ac:dyDescent="0.3">
      <c r="A5888" s="5">
        <v>43760</v>
      </c>
      <c r="B5888" s="10">
        <v>46593</v>
      </c>
    </row>
    <row r="5889" spans="1:2" x14ac:dyDescent="0.3">
      <c r="A5889" s="5">
        <v>43761</v>
      </c>
      <c r="B5889" s="10">
        <v>46145</v>
      </c>
    </row>
    <row r="5890" spans="1:2" x14ac:dyDescent="0.3">
      <c r="A5890" s="5">
        <v>43762</v>
      </c>
      <c r="B5890" s="10">
        <v>45171</v>
      </c>
    </row>
    <row r="5891" spans="1:2" x14ac:dyDescent="0.3">
      <c r="A5891" s="5">
        <v>43763</v>
      </c>
      <c r="B5891" s="10">
        <v>43551</v>
      </c>
    </row>
    <row r="5892" spans="1:2" x14ac:dyDescent="0.3">
      <c r="A5892" s="5">
        <v>43766</v>
      </c>
      <c r="B5892" s="10">
        <v>43406</v>
      </c>
    </row>
    <row r="5893" spans="1:2" x14ac:dyDescent="0.3">
      <c r="A5893" s="5">
        <v>43767</v>
      </c>
      <c r="B5893" s="10">
        <v>43311</v>
      </c>
    </row>
    <row r="5894" spans="1:2" x14ac:dyDescent="0.3">
      <c r="A5894" s="5">
        <v>43768</v>
      </c>
      <c r="B5894" s="10">
        <v>43273</v>
      </c>
    </row>
    <row r="5895" spans="1:2" x14ac:dyDescent="0.3">
      <c r="A5895" s="5">
        <v>43769</v>
      </c>
      <c r="B5895" s="10">
        <v>43260</v>
      </c>
    </row>
    <row r="5896" spans="1:2" x14ac:dyDescent="0.3">
      <c r="A5896" s="5">
        <v>43770</v>
      </c>
      <c r="B5896" s="10">
        <v>43292</v>
      </c>
    </row>
    <row r="5897" spans="1:2" x14ac:dyDescent="0.3">
      <c r="A5897" s="5">
        <v>43773</v>
      </c>
      <c r="B5897" s="10">
        <v>43324</v>
      </c>
    </row>
    <row r="5898" spans="1:2" x14ac:dyDescent="0.3">
      <c r="A5898" s="5">
        <v>43774</v>
      </c>
      <c r="B5898" s="10">
        <v>43381</v>
      </c>
    </row>
    <row r="5899" spans="1:2" x14ac:dyDescent="0.3">
      <c r="A5899" s="5">
        <v>43776</v>
      </c>
      <c r="B5899" s="10">
        <v>43106</v>
      </c>
    </row>
    <row r="5900" spans="1:2" x14ac:dyDescent="0.3">
      <c r="A5900" s="5">
        <v>43777</v>
      </c>
      <c r="B5900" s="10">
        <v>43338</v>
      </c>
    </row>
    <row r="5901" spans="1:2" x14ac:dyDescent="0.3">
      <c r="A5901" s="5">
        <v>43780</v>
      </c>
      <c r="B5901" s="10">
        <v>43272</v>
      </c>
    </row>
    <row r="5902" spans="1:2" x14ac:dyDescent="0.3">
      <c r="A5902" s="5">
        <v>43781</v>
      </c>
      <c r="B5902" s="10">
        <v>43418</v>
      </c>
    </row>
    <row r="5903" spans="1:2" x14ac:dyDescent="0.3">
      <c r="A5903" s="5">
        <v>43782</v>
      </c>
      <c r="B5903" s="10">
        <v>43474</v>
      </c>
    </row>
    <row r="5904" spans="1:2" x14ac:dyDescent="0.3">
      <c r="A5904" s="5">
        <v>43783</v>
      </c>
      <c r="B5904" s="10">
        <v>43558</v>
      </c>
    </row>
    <row r="5905" spans="1:2" x14ac:dyDescent="0.3">
      <c r="A5905" s="5">
        <v>43784</v>
      </c>
      <c r="B5905" s="10">
        <v>43508</v>
      </c>
    </row>
    <row r="5906" spans="1:2" x14ac:dyDescent="0.3">
      <c r="A5906" s="5">
        <v>43788</v>
      </c>
      <c r="B5906" s="10">
        <v>43533</v>
      </c>
    </row>
    <row r="5907" spans="1:2" x14ac:dyDescent="0.3">
      <c r="A5907" s="5">
        <v>43789</v>
      </c>
      <c r="B5907" s="10">
        <v>43498</v>
      </c>
    </row>
    <row r="5908" spans="1:2" x14ac:dyDescent="0.3">
      <c r="A5908" s="5">
        <v>43790</v>
      </c>
      <c r="B5908" s="10">
        <v>43538</v>
      </c>
    </row>
    <row r="5909" spans="1:2" x14ac:dyDescent="0.3">
      <c r="A5909" s="5">
        <v>43791</v>
      </c>
      <c r="B5909" s="10">
        <v>43589</v>
      </c>
    </row>
    <row r="5910" spans="1:2" x14ac:dyDescent="0.3">
      <c r="A5910" s="5">
        <v>43794</v>
      </c>
      <c r="B5910" s="10">
        <v>43692</v>
      </c>
    </row>
    <row r="5911" spans="1:2" x14ac:dyDescent="0.3">
      <c r="A5911" s="5">
        <v>43795</v>
      </c>
      <c r="B5911" s="10">
        <v>43739</v>
      </c>
    </row>
    <row r="5912" spans="1:2" x14ac:dyDescent="0.3">
      <c r="A5912" s="5">
        <v>43796</v>
      </c>
      <c r="B5912" s="10">
        <v>43765</v>
      </c>
    </row>
    <row r="5913" spans="1:2" x14ac:dyDescent="0.3">
      <c r="A5913" s="5">
        <v>43797</v>
      </c>
      <c r="B5913" s="10">
        <v>43736</v>
      </c>
    </row>
    <row r="5914" spans="1:2" x14ac:dyDescent="0.3">
      <c r="A5914" s="5">
        <v>43798</v>
      </c>
      <c r="B5914" s="10">
        <v>43772</v>
      </c>
    </row>
    <row r="5915" spans="1:2" x14ac:dyDescent="0.3">
      <c r="A5915" s="5">
        <v>43801</v>
      </c>
      <c r="B5915" s="10">
        <v>43731</v>
      </c>
    </row>
    <row r="5916" spans="1:2" x14ac:dyDescent="0.3">
      <c r="A5916" s="5">
        <v>43802</v>
      </c>
      <c r="B5916" s="10">
        <v>43750</v>
      </c>
    </row>
    <row r="5917" spans="1:2" x14ac:dyDescent="0.3">
      <c r="A5917" s="5">
        <v>43803</v>
      </c>
      <c r="B5917" s="10">
        <v>43748</v>
      </c>
    </row>
    <row r="5918" spans="1:2" x14ac:dyDescent="0.3">
      <c r="A5918" s="5">
        <v>43804</v>
      </c>
      <c r="B5918" s="10">
        <v>43731</v>
      </c>
    </row>
    <row r="5919" spans="1:2" x14ac:dyDescent="0.3">
      <c r="A5919" s="5">
        <v>43805</v>
      </c>
      <c r="B5919" s="10">
        <v>43797</v>
      </c>
    </row>
    <row r="5920" spans="1:2" x14ac:dyDescent="0.3">
      <c r="A5920" s="5">
        <v>43808</v>
      </c>
      <c r="B5920" s="10">
        <v>43787</v>
      </c>
    </row>
    <row r="5921" spans="1:2" x14ac:dyDescent="0.3">
      <c r="A5921" s="5">
        <v>43809</v>
      </c>
      <c r="B5921" s="10">
        <v>43785</v>
      </c>
    </row>
    <row r="5922" spans="1:2" x14ac:dyDescent="0.3">
      <c r="A5922" s="5">
        <v>43810</v>
      </c>
      <c r="B5922" s="10">
        <v>43912</v>
      </c>
    </row>
    <row r="5923" spans="1:2" x14ac:dyDescent="0.3">
      <c r="A5923" s="5">
        <v>43811</v>
      </c>
      <c r="B5923" s="10">
        <v>44089</v>
      </c>
    </row>
    <row r="5924" spans="1:2" x14ac:dyDescent="0.3">
      <c r="A5924" s="5">
        <v>43812</v>
      </c>
      <c r="B5924" s="10">
        <v>44248</v>
      </c>
    </row>
    <row r="5925" spans="1:2" x14ac:dyDescent="0.3">
      <c r="A5925" s="5">
        <v>43815</v>
      </c>
      <c r="B5925" s="10">
        <v>44225</v>
      </c>
    </row>
    <row r="5926" spans="1:2" x14ac:dyDescent="0.3">
      <c r="A5926" s="5">
        <v>43816</v>
      </c>
      <c r="B5926" s="10">
        <v>44294</v>
      </c>
    </row>
    <row r="5927" spans="1:2" x14ac:dyDescent="0.3">
      <c r="A5927" s="5">
        <v>43817</v>
      </c>
      <c r="B5927" s="10">
        <v>44320</v>
      </c>
    </row>
    <row r="5928" spans="1:2" x14ac:dyDescent="0.3">
      <c r="A5928" s="5">
        <v>43818</v>
      </c>
      <c r="B5928" s="10">
        <v>44561</v>
      </c>
    </row>
    <row r="5929" spans="1:2" x14ac:dyDescent="0.3">
      <c r="A5929" s="5">
        <v>43819</v>
      </c>
      <c r="B5929" s="10">
        <v>44788</v>
      </c>
    </row>
    <row r="5930" spans="1:2" x14ac:dyDescent="0.3">
      <c r="A5930" s="5">
        <v>43822</v>
      </c>
      <c r="B5930" s="10">
        <v>44839</v>
      </c>
    </row>
    <row r="5931" spans="1:2" x14ac:dyDescent="0.3">
      <c r="A5931" s="5">
        <v>43825</v>
      </c>
      <c r="B5931" s="10">
        <v>45093</v>
      </c>
    </row>
    <row r="5932" spans="1:2" x14ac:dyDescent="0.3">
      <c r="A5932" s="5">
        <v>43826</v>
      </c>
      <c r="B5932" s="10">
        <v>45190</v>
      </c>
    </row>
    <row r="5933" spans="1:2" x14ac:dyDescent="0.3">
      <c r="A5933" s="5">
        <v>43829</v>
      </c>
      <c r="B5933" s="10">
        <v>44848</v>
      </c>
    </row>
    <row r="5934" spans="1:2" x14ac:dyDescent="0.3">
      <c r="A5934" s="5">
        <v>43832</v>
      </c>
      <c r="B5934" s="10">
        <v>44839</v>
      </c>
    </row>
    <row r="5935" spans="1:2" x14ac:dyDescent="0.3">
      <c r="A5935" s="5">
        <v>43833</v>
      </c>
      <c r="B5935" s="10">
        <v>44872</v>
      </c>
    </row>
    <row r="5936" spans="1:2" x14ac:dyDescent="0.3">
      <c r="A5936" s="5">
        <v>43836</v>
      </c>
      <c r="B5936" s="10">
        <v>44904</v>
      </c>
    </row>
    <row r="5937" spans="1:2" x14ac:dyDescent="0.3">
      <c r="A5937" s="5">
        <v>43837</v>
      </c>
      <c r="B5937" s="10">
        <v>45080</v>
      </c>
    </row>
    <row r="5938" spans="1:2" x14ac:dyDescent="0.3">
      <c r="A5938" s="5">
        <v>43838</v>
      </c>
      <c r="B5938" s="10">
        <v>45162</v>
      </c>
    </row>
    <row r="5939" spans="1:2" x14ac:dyDescent="0.3">
      <c r="A5939" s="5">
        <v>43839</v>
      </c>
      <c r="B5939" s="10">
        <v>45419</v>
      </c>
    </row>
    <row r="5940" spans="1:2" x14ac:dyDescent="0.3">
      <c r="A5940" s="5">
        <v>43840</v>
      </c>
      <c r="B5940" s="10">
        <v>45376</v>
      </c>
    </row>
    <row r="5941" spans="1:2" x14ac:dyDescent="0.3">
      <c r="A5941" s="5">
        <v>43843</v>
      </c>
      <c r="B5941" s="10">
        <v>45317</v>
      </c>
    </row>
    <row r="5942" spans="1:2" x14ac:dyDescent="0.3">
      <c r="A5942" s="5">
        <v>43844</v>
      </c>
      <c r="B5942" s="10">
        <v>45078</v>
      </c>
    </row>
    <row r="5943" spans="1:2" x14ac:dyDescent="0.3">
      <c r="A5943" s="5">
        <v>43845</v>
      </c>
      <c r="B5943" s="10">
        <v>45291</v>
      </c>
    </row>
    <row r="5944" spans="1:2" x14ac:dyDescent="0.3">
      <c r="A5944" s="5">
        <v>43846</v>
      </c>
      <c r="B5944" s="10">
        <v>45364</v>
      </c>
    </row>
    <row r="5945" spans="1:2" x14ac:dyDescent="0.3">
      <c r="A5945" s="5">
        <v>43847</v>
      </c>
      <c r="B5945" s="10">
        <v>45492</v>
      </c>
    </row>
    <row r="5946" spans="1:2" x14ac:dyDescent="0.3">
      <c r="A5946" s="5">
        <v>43850</v>
      </c>
      <c r="B5946" s="10">
        <v>45457</v>
      </c>
    </row>
    <row r="5947" spans="1:2" x14ac:dyDescent="0.3">
      <c r="A5947" s="5">
        <v>43851</v>
      </c>
      <c r="B5947" s="10">
        <v>45363</v>
      </c>
    </row>
    <row r="5948" spans="1:2" x14ac:dyDescent="0.3">
      <c r="A5948" s="5">
        <v>43852</v>
      </c>
      <c r="B5948" s="10">
        <v>45421</v>
      </c>
    </row>
    <row r="5949" spans="1:2" x14ac:dyDescent="0.3">
      <c r="A5949" s="5">
        <v>43853</v>
      </c>
      <c r="B5949" s="10">
        <v>45387</v>
      </c>
    </row>
    <row r="5950" spans="1:2" x14ac:dyDescent="0.3">
      <c r="A5950" s="5">
        <v>43854</v>
      </c>
      <c r="B5950" s="10">
        <v>45243</v>
      </c>
    </row>
    <row r="5951" spans="1:2" x14ac:dyDescent="0.3">
      <c r="A5951" s="5">
        <v>43857</v>
      </c>
      <c r="B5951" s="10">
        <v>45158</v>
      </c>
    </row>
    <row r="5952" spans="1:2" x14ac:dyDescent="0.3">
      <c r="A5952" s="5">
        <v>43858</v>
      </c>
      <c r="B5952" s="10">
        <v>45105</v>
      </c>
    </row>
    <row r="5953" spans="1:2" x14ac:dyDescent="0.3">
      <c r="A5953" s="5">
        <v>43859</v>
      </c>
      <c r="B5953" s="10">
        <v>45064</v>
      </c>
    </row>
    <row r="5954" spans="1:2" x14ac:dyDescent="0.3">
      <c r="A5954" s="5">
        <v>43860</v>
      </c>
      <c r="B5954" s="10">
        <v>45014</v>
      </c>
    </row>
    <row r="5955" spans="1:2" x14ac:dyDescent="0.3">
      <c r="A5955" s="5">
        <v>43861</v>
      </c>
      <c r="B5955" s="10">
        <v>44917</v>
      </c>
    </row>
    <row r="5956" spans="1:2" x14ac:dyDescent="0.3">
      <c r="A5956" s="5">
        <v>43864</v>
      </c>
      <c r="B5956" s="10">
        <v>44770</v>
      </c>
    </row>
    <row r="5957" spans="1:2" x14ac:dyDescent="0.3">
      <c r="A5957" s="5">
        <v>43865</v>
      </c>
      <c r="B5957" s="10">
        <v>44632</v>
      </c>
    </row>
    <row r="5958" spans="1:2" x14ac:dyDescent="0.3">
      <c r="A5958" s="5">
        <v>43866</v>
      </c>
      <c r="B5958" s="10">
        <v>44645</v>
      </c>
    </row>
    <row r="5959" spans="1:2" x14ac:dyDescent="0.3">
      <c r="A5959" s="5">
        <v>43867</v>
      </c>
      <c r="B5959" s="10">
        <v>44666</v>
      </c>
    </row>
    <row r="5960" spans="1:2" x14ac:dyDescent="0.3">
      <c r="A5960" s="5">
        <v>43868</v>
      </c>
      <c r="B5960" s="10">
        <v>44675</v>
      </c>
    </row>
    <row r="5961" spans="1:2" x14ac:dyDescent="0.3">
      <c r="A5961" s="5">
        <v>43871</v>
      </c>
      <c r="B5961" s="10">
        <v>44682</v>
      </c>
    </row>
    <row r="5962" spans="1:2" x14ac:dyDescent="0.3">
      <c r="A5962" s="5">
        <v>43872</v>
      </c>
      <c r="B5962" s="10">
        <v>44688</v>
      </c>
    </row>
    <row r="5963" spans="1:2" x14ac:dyDescent="0.3">
      <c r="A5963" s="5">
        <v>43873</v>
      </c>
      <c r="B5963" s="10">
        <v>44701</v>
      </c>
    </row>
    <row r="5964" spans="1:2" x14ac:dyDescent="0.3">
      <c r="A5964" s="5">
        <v>43874</v>
      </c>
      <c r="B5964" s="10">
        <v>44719</v>
      </c>
    </row>
    <row r="5965" spans="1:2" x14ac:dyDescent="0.3">
      <c r="A5965" s="5">
        <v>43875</v>
      </c>
      <c r="B5965" s="10">
        <v>44744</v>
      </c>
    </row>
    <row r="5966" spans="1:2" x14ac:dyDescent="0.3">
      <c r="A5966" s="5">
        <v>43878</v>
      </c>
      <c r="B5966" s="10">
        <v>44758</v>
      </c>
    </row>
    <row r="5967" spans="1:2" x14ac:dyDescent="0.3">
      <c r="A5967" s="5">
        <v>43879</v>
      </c>
      <c r="B5967" s="10">
        <v>44719</v>
      </c>
    </row>
    <row r="5968" spans="1:2" x14ac:dyDescent="0.3">
      <c r="A5968" s="5">
        <v>43880</v>
      </c>
      <c r="B5968" s="10">
        <v>44705</v>
      </c>
    </row>
    <row r="5969" spans="1:2" x14ac:dyDescent="0.3">
      <c r="A5969" s="5">
        <v>43881</v>
      </c>
      <c r="B5969" s="10">
        <v>44717</v>
      </c>
    </row>
    <row r="5970" spans="1:2" x14ac:dyDescent="0.3">
      <c r="A5970" s="5">
        <v>43882</v>
      </c>
      <c r="B5970" s="10">
        <v>44726</v>
      </c>
    </row>
    <row r="5971" spans="1:2" x14ac:dyDescent="0.3">
      <c r="A5971" s="5">
        <v>43887</v>
      </c>
      <c r="B5971" s="10">
        <v>44710</v>
      </c>
    </row>
    <row r="5972" spans="1:2" x14ac:dyDescent="0.3">
      <c r="A5972" s="5">
        <v>43888</v>
      </c>
      <c r="B5972" s="10">
        <v>44791</v>
      </c>
    </row>
    <row r="5973" spans="1:2" x14ac:dyDescent="0.3">
      <c r="A5973" s="5">
        <v>43889</v>
      </c>
      <c r="B5973" s="10">
        <v>44791</v>
      </c>
    </row>
    <row r="5974" spans="1:2" x14ac:dyDescent="0.3">
      <c r="A5974" s="5">
        <v>43892</v>
      </c>
      <c r="B5974" s="10">
        <v>44803</v>
      </c>
    </row>
    <row r="5975" spans="1:2" x14ac:dyDescent="0.3">
      <c r="A5975" s="5">
        <v>43893</v>
      </c>
      <c r="B5975" s="10">
        <v>44819</v>
      </c>
    </row>
    <row r="5976" spans="1:2" x14ac:dyDescent="0.3">
      <c r="A5976" s="5">
        <v>43894</v>
      </c>
      <c r="B5976" s="10">
        <v>44832</v>
      </c>
    </row>
    <row r="5977" spans="1:2" x14ac:dyDescent="0.3">
      <c r="A5977" s="5">
        <v>43895</v>
      </c>
      <c r="B5977" s="10">
        <v>44838</v>
      </c>
    </row>
    <row r="5978" spans="1:2" x14ac:dyDescent="0.3">
      <c r="A5978" s="5">
        <v>43896</v>
      </c>
      <c r="B5978" s="10">
        <v>44857</v>
      </c>
    </row>
    <row r="5979" spans="1:2" x14ac:dyDescent="0.3">
      <c r="A5979" s="5">
        <v>43899</v>
      </c>
      <c r="B5979" s="10">
        <v>44778</v>
      </c>
    </row>
    <row r="5980" spans="1:2" x14ac:dyDescent="0.3">
      <c r="A5980" s="5">
        <v>43900</v>
      </c>
      <c r="B5980" s="10">
        <v>44785</v>
      </c>
    </row>
    <row r="5981" spans="1:2" x14ac:dyDescent="0.3">
      <c r="A5981" s="5">
        <v>43901</v>
      </c>
      <c r="B5981" s="10">
        <v>44775</v>
      </c>
    </row>
    <row r="5982" spans="1:2" x14ac:dyDescent="0.3">
      <c r="A5982" s="5">
        <v>43902</v>
      </c>
      <c r="B5982" s="10">
        <v>44439</v>
      </c>
    </row>
    <row r="5983" spans="1:2" x14ac:dyDescent="0.3">
      <c r="A5983" s="5">
        <v>43903</v>
      </c>
      <c r="B5983" s="10">
        <v>44359</v>
      </c>
    </row>
    <row r="5984" spans="1:2" x14ac:dyDescent="0.3">
      <c r="A5984" s="5">
        <v>43906</v>
      </c>
      <c r="B5984" s="10">
        <v>44308</v>
      </c>
    </row>
    <row r="5985" spans="1:2" x14ac:dyDescent="0.3">
      <c r="A5985" s="5">
        <v>43907</v>
      </c>
      <c r="B5985" s="10">
        <v>44236</v>
      </c>
    </row>
    <row r="5986" spans="1:2" x14ac:dyDescent="0.3">
      <c r="A5986" s="5">
        <v>43908</v>
      </c>
      <c r="B5986" s="10">
        <v>44040</v>
      </c>
    </row>
    <row r="5987" spans="1:2" x14ac:dyDescent="0.3">
      <c r="A5987" s="5">
        <v>43909</v>
      </c>
      <c r="B5987" s="10">
        <v>43925</v>
      </c>
    </row>
    <row r="5988" spans="1:2" x14ac:dyDescent="0.3">
      <c r="A5988" s="5">
        <v>43910</v>
      </c>
      <c r="B5988" s="10">
        <v>43822</v>
      </c>
    </row>
    <row r="5989" spans="1:2" x14ac:dyDescent="0.3">
      <c r="A5989" s="5">
        <v>43915</v>
      </c>
      <c r="B5989" s="10">
        <v>43854</v>
      </c>
    </row>
    <row r="5990" spans="1:2" x14ac:dyDescent="0.3">
      <c r="A5990" s="5">
        <v>43916</v>
      </c>
      <c r="B5990" s="10">
        <v>43862</v>
      </c>
    </row>
    <row r="5991" spans="1:2" x14ac:dyDescent="0.3">
      <c r="A5991" s="5">
        <v>43917</v>
      </c>
      <c r="B5991" s="10">
        <v>43728</v>
      </c>
    </row>
    <row r="5992" spans="1:2" x14ac:dyDescent="0.3">
      <c r="A5992" s="5">
        <v>43920</v>
      </c>
      <c r="B5992" s="10">
        <v>43561</v>
      </c>
    </row>
    <row r="5993" spans="1:2" x14ac:dyDescent="0.3">
      <c r="A5993" s="5">
        <v>43922</v>
      </c>
      <c r="B5993" s="10">
        <v>43588</v>
      </c>
    </row>
    <row r="5994" spans="1:2" x14ac:dyDescent="0.3">
      <c r="A5994" s="5">
        <v>43923</v>
      </c>
      <c r="B5994" s="10">
        <v>43631</v>
      </c>
    </row>
    <row r="5995" spans="1:2" x14ac:dyDescent="0.3">
      <c r="A5995" s="5">
        <v>43924</v>
      </c>
      <c r="B5995" s="10">
        <v>43650</v>
      </c>
    </row>
    <row r="5996" spans="1:2" x14ac:dyDescent="0.3">
      <c r="A5996" s="5">
        <v>43927</v>
      </c>
      <c r="B5996" s="10">
        <v>43702</v>
      </c>
    </row>
    <row r="5997" spans="1:2" x14ac:dyDescent="0.3">
      <c r="A5997" s="5">
        <v>43928</v>
      </c>
      <c r="B5997" s="10">
        <v>43724</v>
      </c>
    </row>
    <row r="5998" spans="1:2" x14ac:dyDescent="0.3">
      <c r="A5998" s="5">
        <v>43929</v>
      </c>
      <c r="B5998" s="10">
        <v>43804</v>
      </c>
    </row>
    <row r="5999" spans="1:2" x14ac:dyDescent="0.3">
      <c r="A5999" s="5">
        <v>43934</v>
      </c>
      <c r="B5999" s="10">
        <v>43862</v>
      </c>
    </row>
    <row r="6000" spans="1:2" x14ac:dyDescent="0.3">
      <c r="A6000" s="5">
        <v>43935</v>
      </c>
      <c r="B6000" s="10">
        <v>43886</v>
      </c>
    </row>
    <row r="6001" spans="1:2" x14ac:dyDescent="0.3">
      <c r="A6001" s="5">
        <v>43936</v>
      </c>
      <c r="B6001" s="10">
        <v>43844</v>
      </c>
    </row>
    <row r="6002" spans="1:2" x14ac:dyDescent="0.3">
      <c r="A6002" s="5">
        <v>43937</v>
      </c>
      <c r="B6002" s="10">
        <v>43852</v>
      </c>
    </row>
    <row r="6003" spans="1:2" x14ac:dyDescent="0.3">
      <c r="A6003" s="5">
        <v>43938</v>
      </c>
      <c r="B6003" s="10">
        <v>43817</v>
      </c>
    </row>
    <row r="6004" spans="1:2" x14ac:dyDescent="0.3">
      <c r="A6004" s="5">
        <v>43941</v>
      </c>
      <c r="B6004" s="10">
        <v>43826</v>
      </c>
    </row>
    <row r="6005" spans="1:2" x14ac:dyDescent="0.3">
      <c r="A6005" s="5">
        <v>43942</v>
      </c>
      <c r="B6005" s="10">
        <v>43780</v>
      </c>
    </row>
    <row r="6006" spans="1:2" x14ac:dyDescent="0.3">
      <c r="A6006" s="5">
        <v>43943</v>
      </c>
      <c r="B6006" s="10">
        <v>43735</v>
      </c>
    </row>
    <row r="6007" spans="1:2" x14ac:dyDescent="0.3">
      <c r="A6007" s="5">
        <v>43944</v>
      </c>
      <c r="B6007" s="10">
        <v>43751</v>
      </c>
    </row>
    <row r="6008" spans="1:2" x14ac:dyDescent="0.3">
      <c r="A6008" s="5">
        <v>43945</v>
      </c>
      <c r="B6008" s="10">
        <v>43696</v>
      </c>
    </row>
    <row r="6009" spans="1:2" x14ac:dyDescent="0.3">
      <c r="A6009" s="5">
        <v>43948</v>
      </c>
      <c r="B6009" s="10">
        <v>43646</v>
      </c>
    </row>
    <row r="6010" spans="1:2" x14ac:dyDescent="0.3">
      <c r="A6010" s="5">
        <v>43949</v>
      </c>
      <c r="B6010" s="10">
        <v>43590</v>
      </c>
    </row>
    <row r="6011" spans="1:2" x14ac:dyDescent="0.3">
      <c r="A6011" s="5">
        <v>43950</v>
      </c>
      <c r="B6011" s="10">
        <v>43545</v>
      </c>
    </row>
    <row r="6012" spans="1:2" x14ac:dyDescent="0.3">
      <c r="A6012" s="5">
        <v>43951</v>
      </c>
      <c r="B6012" s="10">
        <v>43568</v>
      </c>
    </row>
    <row r="6013" spans="1:2" x14ac:dyDescent="0.3">
      <c r="A6013" s="5">
        <v>43955</v>
      </c>
      <c r="B6013" s="10">
        <v>43565</v>
      </c>
    </row>
    <row r="6014" spans="1:2" x14ac:dyDescent="0.3">
      <c r="A6014" s="5">
        <v>43956</v>
      </c>
      <c r="B6014" s="10">
        <v>43589</v>
      </c>
    </row>
    <row r="6015" spans="1:2" x14ac:dyDescent="0.3">
      <c r="A6015" s="5">
        <v>43957</v>
      </c>
      <c r="B6015" s="10">
        <v>43400</v>
      </c>
    </row>
    <row r="6016" spans="1:2" x14ac:dyDescent="0.3">
      <c r="A6016" s="5">
        <v>43958</v>
      </c>
      <c r="B6016" s="10">
        <v>43411</v>
      </c>
    </row>
    <row r="6017" spans="1:2" x14ac:dyDescent="0.3">
      <c r="A6017" s="5">
        <v>43959</v>
      </c>
      <c r="B6017" s="10">
        <v>43415</v>
      </c>
    </row>
    <row r="6018" spans="1:2" x14ac:dyDescent="0.3">
      <c r="A6018" s="5">
        <v>43962</v>
      </c>
      <c r="B6018" s="10">
        <v>43348</v>
      </c>
    </row>
    <row r="6019" spans="1:2" x14ac:dyDescent="0.3">
      <c r="A6019" s="5">
        <v>43963</v>
      </c>
      <c r="B6019" s="10">
        <v>43351</v>
      </c>
    </row>
    <row r="6020" spans="1:2" x14ac:dyDescent="0.3">
      <c r="A6020" s="5">
        <v>43964</v>
      </c>
      <c r="B6020" s="10">
        <v>43263</v>
      </c>
    </row>
    <row r="6021" spans="1:2" x14ac:dyDescent="0.3">
      <c r="A6021" s="5">
        <v>43965</v>
      </c>
      <c r="B6021" s="10">
        <v>43215</v>
      </c>
    </row>
    <row r="6022" spans="1:2" x14ac:dyDescent="0.3">
      <c r="A6022" s="5">
        <v>43966</v>
      </c>
      <c r="B6022" s="10">
        <v>43137</v>
      </c>
    </row>
    <row r="6023" spans="1:2" x14ac:dyDescent="0.3">
      <c r="A6023" s="5">
        <v>43969</v>
      </c>
      <c r="B6023" s="10">
        <v>43047</v>
      </c>
    </row>
    <row r="6024" spans="1:2" x14ac:dyDescent="0.3">
      <c r="A6024" s="5">
        <v>43970</v>
      </c>
      <c r="B6024" s="10">
        <v>42980</v>
      </c>
    </row>
    <row r="6025" spans="1:2" x14ac:dyDescent="0.3">
      <c r="A6025" s="5">
        <v>43971</v>
      </c>
      <c r="B6025" s="10">
        <v>42949</v>
      </c>
    </row>
    <row r="6026" spans="1:2" x14ac:dyDescent="0.3">
      <c r="A6026" s="5">
        <v>43972</v>
      </c>
      <c r="B6026" s="10">
        <v>42839</v>
      </c>
    </row>
    <row r="6027" spans="1:2" x14ac:dyDescent="0.3">
      <c r="A6027" s="5">
        <v>43973</v>
      </c>
      <c r="B6027" s="10">
        <v>42738</v>
      </c>
    </row>
    <row r="6028" spans="1:2" x14ac:dyDescent="0.3">
      <c r="A6028" s="5">
        <v>43977</v>
      </c>
      <c r="B6028" s="10">
        <v>42629</v>
      </c>
    </row>
    <row r="6029" spans="1:2" x14ac:dyDescent="0.3">
      <c r="A6029" s="5">
        <v>43978</v>
      </c>
      <c r="B6029" s="10">
        <v>42499</v>
      </c>
    </row>
    <row r="6030" spans="1:2" x14ac:dyDescent="0.3">
      <c r="A6030" s="5">
        <v>43979</v>
      </c>
      <c r="B6030" s="10">
        <v>42448</v>
      </c>
    </row>
    <row r="6031" spans="1:2" x14ac:dyDescent="0.3">
      <c r="A6031" s="5">
        <v>43980</v>
      </c>
      <c r="B6031" s="10">
        <v>42589</v>
      </c>
    </row>
    <row r="6032" spans="1:2" x14ac:dyDescent="0.3">
      <c r="A6032" s="5">
        <v>43983</v>
      </c>
      <c r="B6032" s="10">
        <v>42609</v>
      </c>
    </row>
    <row r="6033" spans="1:2" x14ac:dyDescent="0.3">
      <c r="A6033" s="5">
        <v>43984</v>
      </c>
      <c r="B6033" s="10">
        <v>42660</v>
      </c>
    </row>
    <row r="6034" spans="1:2" x14ac:dyDescent="0.3">
      <c r="A6034" s="5">
        <v>43985</v>
      </c>
      <c r="B6034" s="10">
        <v>42670</v>
      </c>
    </row>
    <row r="6035" spans="1:2" x14ac:dyDescent="0.3">
      <c r="A6035" s="5">
        <v>43986</v>
      </c>
      <c r="B6035" s="10">
        <v>42748</v>
      </c>
    </row>
    <row r="6036" spans="1:2" x14ac:dyDescent="0.3">
      <c r="A6036" s="5">
        <v>43987</v>
      </c>
      <c r="B6036" s="10">
        <v>42814</v>
      </c>
    </row>
    <row r="6037" spans="1:2" x14ac:dyDescent="0.3">
      <c r="A6037" s="5">
        <v>43990</v>
      </c>
      <c r="B6037" s="10">
        <v>42883</v>
      </c>
    </row>
    <row r="6038" spans="1:2" x14ac:dyDescent="0.3">
      <c r="A6038" s="5">
        <v>43991</v>
      </c>
      <c r="B6038" s="10">
        <v>42988</v>
      </c>
    </row>
    <row r="6039" spans="1:2" x14ac:dyDescent="0.3">
      <c r="A6039" s="5">
        <v>43992</v>
      </c>
      <c r="B6039" s="10">
        <v>43041</v>
      </c>
    </row>
    <row r="6040" spans="1:2" x14ac:dyDescent="0.3">
      <c r="A6040" s="5">
        <v>43993</v>
      </c>
      <c r="B6040" s="10">
        <v>43122</v>
      </c>
    </row>
    <row r="6041" spans="1:2" x14ac:dyDescent="0.3">
      <c r="A6041" s="5">
        <v>43994</v>
      </c>
      <c r="B6041" s="10">
        <v>43126</v>
      </c>
    </row>
    <row r="6042" spans="1:2" x14ac:dyDescent="0.3">
      <c r="A6042" s="5">
        <v>43998</v>
      </c>
      <c r="B6042" s="10">
        <v>43170</v>
      </c>
    </row>
    <row r="6043" spans="1:2" x14ac:dyDescent="0.3">
      <c r="A6043" s="5">
        <v>43999</v>
      </c>
      <c r="B6043" s="10">
        <v>43172</v>
      </c>
    </row>
    <row r="6044" spans="1:2" x14ac:dyDescent="0.3">
      <c r="A6044" s="5">
        <v>44000</v>
      </c>
      <c r="B6044" s="10">
        <v>43123</v>
      </c>
    </row>
    <row r="6045" spans="1:2" x14ac:dyDescent="0.3">
      <c r="A6045" s="5">
        <v>44001</v>
      </c>
      <c r="B6045" s="10">
        <v>43178</v>
      </c>
    </row>
    <row r="6046" spans="1:2" x14ac:dyDescent="0.3">
      <c r="A6046" s="5">
        <v>44004</v>
      </c>
      <c r="B6046" s="10">
        <v>43202</v>
      </c>
    </row>
    <row r="6047" spans="1:2" x14ac:dyDescent="0.3">
      <c r="A6047" s="5">
        <v>44005</v>
      </c>
      <c r="B6047" s="10">
        <v>43213</v>
      </c>
    </row>
    <row r="6048" spans="1:2" x14ac:dyDescent="0.3">
      <c r="A6048" s="5">
        <v>44006</v>
      </c>
      <c r="B6048" s="10">
        <v>43217</v>
      </c>
    </row>
    <row r="6049" spans="1:2" x14ac:dyDescent="0.3">
      <c r="A6049" s="5">
        <v>44007</v>
      </c>
      <c r="B6049" s="10">
        <v>43197</v>
      </c>
    </row>
    <row r="6050" spans="1:2" x14ac:dyDescent="0.3">
      <c r="A6050" s="5">
        <v>44008</v>
      </c>
      <c r="B6050" s="10">
        <v>43200</v>
      </c>
    </row>
    <row r="6051" spans="1:2" x14ac:dyDescent="0.3">
      <c r="A6051" s="5">
        <v>44011</v>
      </c>
      <c r="B6051" s="10">
        <v>43201</v>
      </c>
    </row>
    <row r="6052" spans="1:2" x14ac:dyDescent="0.3">
      <c r="A6052" s="5">
        <v>44012</v>
      </c>
      <c r="B6052" s="10">
        <v>43242</v>
      </c>
    </row>
    <row r="6053" spans="1:2" x14ac:dyDescent="0.3">
      <c r="A6053" s="5">
        <v>44013</v>
      </c>
      <c r="B6053" s="10">
        <v>43219</v>
      </c>
    </row>
    <row r="6054" spans="1:2" x14ac:dyDescent="0.3">
      <c r="A6054" s="5">
        <v>44014</v>
      </c>
      <c r="B6054" s="10">
        <v>43203</v>
      </c>
    </row>
    <row r="6055" spans="1:2" x14ac:dyDescent="0.3">
      <c r="A6055" s="5">
        <v>44015</v>
      </c>
      <c r="B6055" s="10">
        <v>43219</v>
      </c>
    </row>
    <row r="6056" spans="1:2" x14ac:dyDescent="0.3">
      <c r="A6056" s="5">
        <v>44018</v>
      </c>
      <c r="B6056" s="10">
        <v>43253</v>
      </c>
    </row>
    <row r="6057" spans="1:2" x14ac:dyDescent="0.3">
      <c r="A6057" s="5">
        <v>44019</v>
      </c>
      <c r="B6057" s="10">
        <v>43240</v>
      </c>
    </row>
    <row r="6058" spans="1:2" x14ac:dyDescent="0.3">
      <c r="A6058" s="5">
        <v>44020</v>
      </c>
      <c r="B6058" s="10">
        <v>43246</v>
      </c>
    </row>
    <row r="6059" spans="1:2" x14ac:dyDescent="0.3">
      <c r="A6059" s="5">
        <v>44025</v>
      </c>
      <c r="B6059" s="10">
        <v>43276</v>
      </c>
    </row>
    <row r="6060" spans="1:2" x14ac:dyDescent="0.3">
      <c r="A6060" s="5">
        <v>44026</v>
      </c>
      <c r="B6060" s="10">
        <v>43307</v>
      </c>
    </row>
    <row r="6061" spans="1:2" x14ac:dyDescent="0.3">
      <c r="A6061" s="5">
        <v>44027</v>
      </c>
      <c r="B6061" s="10">
        <v>43346</v>
      </c>
    </row>
    <row r="6062" spans="1:2" x14ac:dyDescent="0.3">
      <c r="A6062" s="5">
        <v>44028</v>
      </c>
      <c r="B6062" s="10">
        <v>43356</v>
      </c>
    </row>
    <row r="6063" spans="1:2" x14ac:dyDescent="0.3">
      <c r="A6063" s="5">
        <v>44029</v>
      </c>
      <c r="B6063" s="10">
        <v>43362</v>
      </c>
    </row>
    <row r="6064" spans="1:2" x14ac:dyDescent="0.3">
      <c r="A6064" s="5">
        <v>44032</v>
      </c>
      <c r="B6064" s="10">
        <v>43389</v>
      </c>
    </row>
    <row r="6065" spans="1:2" x14ac:dyDescent="0.3">
      <c r="A6065" s="5">
        <v>44033</v>
      </c>
      <c r="B6065" s="10">
        <v>43399</v>
      </c>
    </row>
    <row r="6066" spans="1:2" x14ac:dyDescent="0.3">
      <c r="A6066" s="5">
        <v>44034</v>
      </c>
      <c r="B6066" s="10">
        <v>43379</v>
      </c>
    </row>
    <row r="6067" spans="1:2" x14ac:dyDescent="0.3">
      <c r="A6067" s="5">
        <v>44035</v>
      </c>
      <c r="B6067" s="10">
        <v>43349</v>
      </c>
    </row>
    <row r="6068" spans="1:2" x14ac:dyDescent="0.3">
      <c r="A6068" s="5">
        <v>44036</v>
      </c>
      <c r="B6068" s="10">
        <v>43360</v>
      </c>
    </row>
    <row r="6069" spans="1:2" x14ac:dyDescent="0.3">
      <c r="A6069" s="5">
        <v>44039</v>
      </c>
      <c r="B6069" s="10">
        <v>43384</v>
      </c>
    </row>
    <row r="6070" spans="1:2" x14ac:dyDescent="0.3">
      <c r="A6070" s="5">
        <v>44040</v>
      </c>
      <c r="B6070" s="10">
        <v>43433</v>
      </c>
    </row>
    <row r="6071" spans="1:2" x14ac:dyDescent="0.3">
      <c r="A6071" s="5">
        <v>44041</v>
      </c>
      <c r="B6071" s="10">
        <v>43387</v>
      </c>
    </row>
    <row r="6072" spans="1:2" x14ac:dyDescent="0.3">
      <c r="A6072" s="5">
        <v>44042</v>
      </c>
      <c r="B6072" s="10">
        <v>43340</v>
      </c>
    </row>
    <row r="6073" spans="1:2" x14ac:dyDescent="0.3">
      <c r="A6073" s="5">
        <v>44043</v>
      </c>
      <c r="B6073" s="10">
        <v>43386</v>
      </c>
    </row>
    <row r="6074" spans="1:2" x14ac:dyDescent="0.3">
      <c r="A6074" s="5">
        <v>44046</v>
      </c>
      <c r="B6074" s="10">
        <v>43348</v>
      </c>
    </row>
    <row r="6075" spans="1:2" x14ac:dyDescent="0.3">
      <c r="A6075" s="5">
        <v>44047</v>
      </c>
      <c r="B6075" s="10">
        <v>43409</v>
      </c>
    </row>
    <row r="6076" spans="1:2" x14ac:dyDescent="0.3">
      <c r="A6076" s="5">
        <v>44048</v>
      </c>
      <c r="B6076" s="10">
        <v>43374</v>
      </c>
    </row>
    <row r="6077" spans="1:2" x14ac:dyDescent="0.3">
      <c r="A6077" s="5">
        <v>44049</v>
      </c>
      <c r="B6077" s="10">
        <v>43344</v>
      </c>
    </row>
    <row r="6078" spans="1:2" x14ac:dyDescent="0.3">
      <c r="A6078" s="5">
        <v>44050</v>
      </c>
      <c r="B6078" s="10">
        <v>43303</v>
      </c>
    </row>
    <row r="6079" spans="1:2" x14ac:dyDescent="0.3">
      <c r="A6079" s="5">
        <v>44053</v>
      </c>
      <c r="B6079" s="10">
        <v>43332</v>
      </c>
    </row>
    <row r="6080" spans="1:2" x14ac:dyDescent="0.3">
      <c r="A6080" s="5">
        <v>44054</v>
      </c>
      <c r="B6080" s="10">
        <v>43302</v>
      </c>
    </row>
    <row r="6081" spans="1:2" x14ac:dyDescent="0.3">
      <c r="A6081" s="5">
        <v>44055</v>
      </c>
      <c r="B6081" s="10">
        <v>43253</v>
      </c>
    </row>
    <row r="6082" spans="1:2" x14ac:dyDescent="0.3">
      <c r="A6082" s="5">
        <v>44056</v>
      </c>
      <c r="B6082" s="10">
        <v>43207</v>
      </c>
    </row>
    <row r="6083" spans="1:2" x14ac:dyDescent="0.3">
      <c r="A6083" s="5">
        <v>44057</v>
      </c>
      <c r="B6083" s="10">
        <v>43122</v>
      </c>
    </row>
    <row r="6084" spans="1:2" x14ac:dyDescent="0.3">
      <c r="A6084" s="5">
        <v>44061</v>
      </c>
      <c r="B6084" s="10">
        <v>43160</v>
      </c>
    </row>
    <row r="6085" spans="1:2" x14ac:dyDescent="0.3">
      <c r="A6085" s="5">
        <v>44062</v>
      </c>
      <c r="B6085" s="10">
        <v>43115</v>
      </c>
    </row>
    <row r="6086" spans="1:2" x14ac:dyDescent="0.3">
      <c r="A6086" s="5">
        <v>44063</v>
      </c>
      <c r="B6086" s="10">
        <v>43092</v>
      </c>
    </row>
    <row r="6087" spans="1:2" x14ac:dyDescent="0.3">
      <c r="A6087" s="5">
        <v>44064</v>
      </c>
      <c r="B6087" s="10">
        <v>43048</v>
      </c>
    </row>
    <row r="6088" spans="1:2" x14ac:dyDescent="0.3">
      <c r="A6088" s="5">
        <v>44067</v>
      </c>
      <c r="B6088" s="10">
        <v>43047</v>
      </c>
    </row>
    <row r="6089" spans="1:2" x14ac:dyDescent="0.3">
      <c r="A6089" s="5">
        <v>44068</v>
      </c>
      <c r="B6089" s="10">
        <v>42983</v>
      </c>
    </row>
    <row r="6090" spans="1:2" x14ac:dyDescent="0.3">
      <c r="A6090" s="5">
        <v>44069</v>
      </c>
      <c r="B6090" s="10">
        <v>42962</v>
      </c>
    </row>
    <row r="6091" spans="1:2" x14ac:dyDescent="0.3">
      <c r="A6091" s="5">
        <v>44070</v>
      </c>
      <c r="B6091" s="10">
        <v>42896</v>
      </c>
    </row>
    <row r="6092" spans="1:2" x14ac:dyDescent="0.3">
      <c r="A6092" s="5">
        <v>44071</v>
      </c>
      <c r="B6092" s="10">
        <v>42914</v>
      </c>
    </row>
    <row r="6093" spans="1:2" x14ac:dyDescent="0.3">
      <c r="A6093" s="5">
        <v>44074</v>
      </c>
      <c r="B6093" s="10">
        <v>42842</v>
      </c>
    </row>
    <row r="6094" spans="1:2" x14ac:dyDescent="0.3">
      <c r="A6094" s="5">
        <v>44075</v>
      </c>
      <c r="B6094" s="10">
        <v>42700</v>
      </c>
    </row>
    <row r="6095" spans="1:2" x14ac:dyDescent="0.3">
      <c r="A6095" s="5">
        <v>44076</v>
      </c>
      <c r="B6095" s="10">
        <v>42640</v>
      </c>
    </row>
    <row r="6096" spans="1:2" x14ac:dyDescent="0.3">
      <c r="A6096" s="5">
        <v>44077</v>
      </c>
      <c r="B6096" s="10">
        <v>42613</v>
      </c>
    </row>
    <row r="6097" spans="1:2" x14ac:dyDescent="0.3">
      <c r="A6097" s="5">
        <v>44078</v>
      </c>
      <c r="B6097" s="10">
        <v>42617</v>
      </c>
    </row>
    <row r="6098" spans="1:2" x14ac:dyDescent="0.3">
      <c r="A6098" s="5">
        <v>44081</v>
      </c>
      <c r="B6098" s="10">
        <v>42643</v>
      </c>
    </row>
    <row r="6099" spans="1:2" x14ac:dyDescent="0.3">
      <c r="A6099" s="5">
        <v>44082</v>
      </c>
      <c r="B6099" s="10">
        <v>42638</v>
      </c>
    </row>
    <row r="6100" spans="1:2" x14ac:dyDescent="0.3">
      <c r="A6100" s="5">
        <v>44083</v>
      </c>
      <c r="B6100" s="10">
        <v>42570</v>
      </c>
    </row>
    <row r="6101" spans="1:2" x14ac:dyDescent="0.3">
      <c r="A6101" s="5">
        <v>44084</v>
      </c>
      <c r="B6101" s="10">
        <v>42549</v>
      </c>
    </row>
    <row r="6102" spans="1:2" x14ac:dyDescent="0.3">
      <c r="A6102" s="5">
        <v>44085</v>
      </c>
      <c r="B6102" s="10">
        <v>42452</v>
      </c>
    </row>
    <row r="6103" spans="1:2" x14ac:dyDescent="0.3">
      <c r="A6103" s="5">
        <v>44088</v>
      </c>
      <c r="B6103" s="10">
        <v>42501</v>
      </c>
    </row>
    <row r="6104" spans="1:2" x14ac:dyDescent="0.3">
      <c r="A6104" s="5">
        <v>44089</v>
      </c>
      <c r="B6104" s="10">
        <v>42495</v>
      </c>
    </row>
    <row r="6105" spans="1:2" x14ac:dyDescent="0.3">
      <c r="A6105" s="5">
        <v>44090</v>
      </c>
      <c r="B6105" s="10">
        <v>42521</v>
      </c>
    </row>
    <row r="6106" spans="1:2" x14ac:dyDescent="0.3">
      <c r="A6106" s="5">
        <v>44091</v>
      </c>
      <c r="B6106" s="10">
        <v>42473</v>
      </c>
    </row>
    <row r="6107" spans="1:2" x14ac:dyDescent="0.3">
      <c r="A6107" s="5">
        <v>44092</v>
      </c>
      <c r="B6107" s="10">
        <v>42428</v>
      </c>
    </row>
    <row r="6108" spans="1:2" x14ac:dyDescent="0.3">
      <c r="A6108" s="5">
        <v>44095</v>
      </c>
      <c r="B6108" s="10">
        <v>42248</v>
      </c>
    </row>
    <row r="6109" spans="1:2" x14ac:dyDescent="0.3">
      <c r="A6109" s="5">
        <v>44096</v>
      </c>
      <c r="B6109" s="10">
        <v>42226</v>
      </c>
    </row>
    <row r="6110" spans="1:2" x14ac:dyDescent="0.3">
      <c r="A6110" s="5">
        <v>44097</v>
      </c>
      <c r="B6110" s="10">
        <v>42177</v>
      </c>
    </row>
    <row r="6111" spans="1:2" x14ac:dyDescent="0.3">
      <c r="A6111" s="5">
        <v>44098</v>
      </c>
      <c r="B6111" s="10">
        <v>42118</v>
      </c>
    </row>
    <row r="6112" spans="1:2" x14ac:dyDescent="0.3">
      <c r="A6112" s="5">
        <v>44099</v>
      </c>
      <c r="B6112" s="10">
        <v>41970</v>
      </c>
    </row>
    <row r="6113" spans="1:2" x14ac:dyDescent="0.3">
      <c r="A6113" s="5">
        <v>44102</v>
      </c>
      <c r="B6113" s="10">
        <v>41874</v>
      </c>
    </row>
    <row r="6114" spans="1:2" x14ac:dyDescent="0.3">
      <c r="A6114" s="5">
        <v>44103</v>
      </c>
      <c r="B6114" s="10">
        <v>41751</v>
      </c>
    </row>
    <row r="6115" spans="1:2" x14ac:dyDescent="0.3">
      <c r="A6115" s="5">
        <v>44104</v>
      </c>
      <c r="B6115" s="10">
        <v>41379</v>
      </c>
    </row>
    <row r="6116" spans="1:2" x14ac:dyDescent="0.3">
      <c r="A6116" s="5">
        <v>44105</v>
      </c>
      <c r="B6116" s="10">
        <v>41369</v>
      </c>
    </row>
    <row r="6117" spans="1:2" x14ac:dyDescent="0.3">
      <c r="A6117" s="5">
        <v>44106</v>
      </c>
      <c r="B6117" s="10">
        <v>41252</v>
      </c>
    </row>
    <row r="6118" spans="1:2" x14ac:dyDescent="0.3">
      <c r="A6118" s="5">
        <v>44109</v>
      </c>
      <c r="B6118" s="10">
        <v>41172</v>
      </c>
    </row>
    <row r="6119" spans="1:2" x14ac:dyDescent="0.3">
      <c r="A6119" s="5">
        <v>44110</v>
      </c>
      <c r="B6119" s="10">
        <v>41129</v>
      </c>
    </row>
    <row r="6120" spans="1:2" x14ac:dyDescent="0.3">
      <c r="A6120" s="5">
        <v>44111</v>
      </c>
      <c r="B6120" s="10">
        <v>41132</v>
      </c>
    </row>
    <row r="6121" spans="1:2" x14ac:dyDescent="0.3">
      <c r="A6121" s="5">
        <v>44112</v>
      </c>
      <c r="B6121" s="10">
        <v>41092</v>
      </c>
    </row>
    <row r="6122" spans="1:2" x14ac:dyDescent="0.3">
      <c r="A6122" s="5">
        <v>44113</v>
      </c>
      <c r="B6122" s="10">
        <v>41026</v>
      </c>
    </row>
    <row r="6123" spans="1:2" x14ac:dyDescent="0.3">
      <c r="A6123" s="5">
        <v>44117</v>
      </c>
      <c r="B6123" s="10">
        <v>40837</v>
      </c>
    </row>
    <row r="6124" spans="1:2" x14ac:dyDescent="0.3">
      <c r="A6124" s="5">
        <v>44118</v>
      </c>
      <c r="B6124" s="10">
        <v>40847</v>
      </c>
    </row>
    <row r="6125" spans="1:2" x14ac:dyDescent="0.3">
      <c r="A6125" s="5">
        <v>44119</v>
      </c>
      <c r="B6125" s="10">
        <v>40777</v>
      </c>
    </row>
    <row r="6126" spans="1:2" x14ac:dyDescent="0.3">
      <c r="A6126" s="5">
        <v>44120</v>
      </c>
      <c r="B6126" s="10">
        <v>40785</v>
      </c>
    </row>
    <row r="6127" spans="1:2" x14ac:dyDescent="0.3">
      <c r="A6127" s="5">
        <v>44123</v>
      </c>
      <c r="B6127" s="10">
        <v>40794</v>
      </c>
    </row>
    <row r="6128" spans="1:2" x14ac:dyDescent="0.3">
      <c r="A6128" s="5">
        <v>44124</v>
      </c>
      <c r="B6128" s="10">
        <v>40812</v>
      </c>
    </row>
    <row r="6129" spans="1:2" x14ac:dyDescent="0.3">
      <c r="A6129" s="5">
        <v>44125</v>
      </c>
      <c r="B6129" s="10">
        <v>40800</v>
      </c>
    </row>
    <row r="6130" spans="1:2" x14ac:dyDescent="0.3">
      <c r="A6130" s="5">
        <v>44126</v>
      </c>
      <c r="B6130" s="10">
        <v>40668</v>
      </c>
    </row>
    <row r="6131" spans="1:2" x14ac:dyDescent="0.3">
      <c r="A6131" s="5">
        <v>44127</v>
      </c>
      <c r="B6131" s="10">
        <v>40498</v>
      </c>
    </row>
    <row r="6132" spans="1:2" x14ac:dyDescent="0.3">
      <c r="A6132" s="5">
        <v>44130</v>
      </c>
      <c r="B6132" s="10">
        <v>40239</v>
      </c>
    </row>
    <row r="6133" spans="1:2" x14ac:dyDescent="0.3">
      <c r="A6133" s="5">
        <v>44131</v>
      </c>
      <c r="B6133" s="10">
        <v>40140</v>
      </c>
    </row>
    <row r="6134" spans="1:2" x14ac:dyDescent="0.3">
      <c r="A6134" s="5">
        <v>44132</v>
      </c>
      <c r="B6134" s="10">
        <v>39866</v>
      </c>
    </row>
    <row r="6135" spans="1:2" x14ac:dyDescent="0.3">
      <c r="A6135" s="5">
        <v>44133</v>
      </c>
      <c r="B6135" s="10">
        <v>39826</v>
      </c>
    </row>
    <row r="6136" spans="1:2" x14ac:dyDescent="0.3">
      <c r="A6136" s="5">
        <v>44134</v>
      </c>
      <c r="B6136" s="10">
        <v>39856</v>
      </c>
    </row>
    <row r="6137" spans="1:2" x14ac:dyDescent="0.3">
      <c r="A6137" s="5">
        <v>44137</v>
      </c>
      <c r="B6137" s="10">
        <v>39875</v>
      </c>
    </row>
    <row r="6138" spans="1:2" x14ac:dyDescent="0.3">
      <c r="A6138" s="5">
        <v>44138</v>
      </c>
      <c r="B6138" s="10">
        <v>39882</v>
      </c>
    </row>
    <row r="6139" spans="1:2" x14ac:dyDescent="0.3">
      <c r="A6139" s="5">
        <v>44139</v>
      </c>
      <c r="B6139" s="10">
        <v>39819</v>
      </c>
    </row>
    <row r="6140" spans="1:2" x14ac:dyDescent="0.3">
      <c r="A6140" s="5">
        <v>44140</v>
      </c>
      <c r="B6140" s="10">
        <v>39524</v>
      </c>
    </row>
    <row r="6141" spans="1:2" x14ac:dyDescent="0.3">
      <c r="A6141" s="5">
        <v>44144</v>
      </c>
      <c r="B6141" s="10">
        <v>39316</v>
      </c>
    </row>
    <row r="6142" spans="1:2" x14ac:dyDescent="0.3">
      <c r="A6142" s="5">
        <v>44145</v>
      </c>
      <c r="B6142" s="10">
        <v>39322</v>
      </c>
    </row>
    <row r="6143" spans="1:2" x14ac:dyDescent="0.3">
      <c r="A6143" s="5">
        <v>44146</v>
      </c>
      <c r="B6143" s="10">
        <v>39259</v>
      </c>
    </row>
    <row r="6144" spans="1:2" x14ac:dyDescent="0.3">
      <c r="A6144" s="5">
        <v>44147</v>
      </c>
      <c r="B6144" s="10">
        <v>39191</v>
      </c>
    </row>
    <row r="6145" spans="1:2" x14ac:dyDescent="0.3">
      <c r="A6145" s="5">
        <v>44148</v>
      </c>
      <c r="B6145" s="10">
        <v>39101</v>
      </c>
    </row>
    <row r="6146" spans="1:2" x14ac:dyDescent="0.3">
      <c r="A6146" s="5">
        <v>44151</v>
      </c>
      <c r="B6146" s="10">
        <v>39115</v>
      </c>
    </row>
    <row r="6147" spans="1:2" x14ac:dyDescent="0.3">
      <c r="A6147" s="5">
        <v>44152</v>
      </c>
      <c r="B6147" s="10">
        <v>39116</v>
      </c>
    </row>
    <row r="6148" spans="1:2" x14ac:dyDescent="0.3">
      <c r="A6148" s="5">
        <v>44153</v>
      </c>
      <c r="B6148" s="10">
        <v>39069</v>
      </c>
    </row>
    <row r="6149" spans="1:2" x14ac:dyDescent="0.3">
      <c r="A6149" s="5">
        <v>44154</v>
      </c>
      <c r="B6149" s="10">
        <v>38939</v>
      </c>
    </row>
    <row r="6150" spans="1:2" x14ac:dyDescent="0.3">
      <c r="A6150" s="5">
        <v>44155</v>
      </c>
      <c r="B6150" s="10">
        <v>38945</v>
      </c>
    </row>
    <row r="6151" spans="1:2" x14ac:dyDescent="0.3">
      <c r="A6151" s="5">
        <v>44159</v>
      </c>
      <c r="B6151" s="10">
        <v>38731</v>
      </c>
    </row>
    <row r="6152" spans="1:2" x14ac:dyDescent="0.3">
      <c r="A6152" s="5">
        <v>44160</v>
      </c>
      <c r="B6152" s="10">
        <v>38746</v>
      </c>
    </row>
    <row r="6153" spans="1:2" x14ac:dyDescent="0.3">
      <c r="A6153" s="5">
        <v>44161</v>
      </c>
      <c r="B6153" s="10">
        <v>38747</v>
      </c>
    </row>
    <row r="6154" spans="1:2" x14ac:dyDescent="0.3">
      <c r="A6154" s="5">
        <v>44162</v>
      </c>
      <c r="B6154" s="10">
        <v>38705</v>
      </c>
    </row>
    <row r="6155" spans="1:2" x14ac:dyDescent="0.3">
      <c r="A6155" s="5">
        <v>44165</v>
      </c>
      <c r="B6155" s="10">
        <v>38652</v>
      </c>
    </row>
    <row r="6156" spans="1:2" x14ac:dyDescent="0.3">
      <c r="A6156" s="5">
        <v>44166</v>
      </c>
      <c r="B6156" s="10">
        <v>38619</v>
      </c>
    </row>
    <row r="6157" spans="1:2" x14ac:dyDescent="0.3">
      <c r="A6157" s="5">
        <v>44167</v>
      </c>
      <c r="B6157" s="10">
        <v>38622</v>
      </c>
    </row>
    <row r="6158" spans="1:2" x14ac:dyDescent="0.3">
      <c r="A6158" s="5">
        <v>44168</v>
      </c>
      <c r="B6158" s="10">
        <v>38652</v>
      </c>
    </row>
    <row r="6159" spans="1:2" x14ac:dyDescent="0.3">
      <c r="A6159" s="5">
        <v>44169</v>
      </c>
      <c r="B6159" s="10">
        <v>38661</v>
      </c>
    </row>
    <row r="6160" spans="1:2" x14ac:dyDescent="0.3">
      <c r="A6160" s="5">
        <v>44174</v>
      </c>
      <c r="B6160" s="10">
        <v>38710</v>
      </c>
    </row>
    <row r="6161" spans="1:2" x14ac:dyDescent="0.3">
      <c r="A6161" s="5">
        <v>44175</v>
      </c>
      <c r="B6161" s="10">
        <v>38744</v>
      </c>
    </row>
    <row r="6162" spans="1:2" x14ac:dyDescent="0.3">
      <c r="A6162" s="5">
        <v>44176</v>
      </c>
      <c r="B6162" s="10">
        <v>38750</v>
      </c>
    </row>
    <row r="6163" spans="1:2" x14ac:dyDescent="0.3">
      <c r="A6163" s="5">
        <v>44179</v>
      </c>
      <c r="B6163" s="10">
        <v>38761</v>
      </c>
    </row>
    <row r="6164" spans="1:2" x14ac:dyDescent="0.3">
      <c r="A6164" s="5">
        <v>44180</v>
      </c>
      <c r="B6164" s="10">
        <v>38777</v>
      </c>
    </row>
    <row r="6165" spans="1:2" x14ac:dyDescent="0.3">
      <c r="A6165" s="5">
        <v>44181</v>
      </c>
      <c r="B6165" s="10">
        <v>38794</v>
      </c>
    </row>
    <row r="6166" spans="1:2" x14ac:dyDescent="0.3">
      <c r="A6166" s="5">
        <v>44182</v>
      </c>
      <c r="B6166" s="10">
        <v>38828</v>
      </c>
    </row>
    <row r="6167" spans="1:2" x14ac:dyDescent="0.3">
      <c r="A6167" s="5">
        <v>44183</v>
      </c>
      <c r="B6167" s="10">
        <v>38835</v>
      </c>
    </row>
    <row r="6168" spans="1:2" x14ac:dyDescent="0.3">
      <c r="A6168" s="5">
        <v>44186</v>
      </c>
      <c r="B6168" s="10">
        <v>38899</v>
      </c>
    </row>
    <row r="6169" spans="1:2" x14ac:dyDescent="0.3">
      <c r="A6169" s="5">
        <v>44187</v>
      </c>
      <c r="B6169" s="10">
        <v>39009</v>
      </c>
    </row>
    <row r="6170" spans="1:2" x14ac:dyDescent="0.3">
      <c r="A6170" s="5">
        <v>44188</v>
      </c>
      <c r="B6170" s="10">
        <v>39216</v>
      </c>
    </row>
    <row r="6171" spans="1:2" x14ac:dyDescent="0.3">
      <c r="A6171" s="5">
        <v>44193</v>
      </c>
      <c r="B6171" s="10">
        <v>39236</v>
      </c>
    </row>
    <row r="6172" spans="1:2" x14ac:dyDescent="0.3">
      <c r="A6172" s="5">
        <v>44194</v>
      </c>
      <c r="B6172" s="10">
        <v>39281</v>
      </c>
    </row>
    <row r="6173" spans="1:2" x14ac:dyDescent="0.3">
      <c r="A6173" s="5">
        <v>44195</v>
      </c>
      <c r="B6173" s="10">
        <v>39387</v>
      </c>
    </row>
    <row r="6174" spans="1:2" x14ac:dyDescent="0.3">
      <c r="A6174" s="5">
        <v>44200</v>
      </c>
      <c r="B6174" s="10">
        <v>39501</v>
      </c>
    </row>
    <row r="6175" spans="1:2" x14ac:dyDescent="0.3">
      <c r="A6175" s="5">
        <v>44201</v>
      </c>
      <c r="B6175" s="10">
        <v>39540</v>
      </c>
    </row>
    <row r="6176" spans="1:2" x14ac:dyDescent="0.3">
      <c r="A6176" s="5">
        <v>44202</v>
      </c>
      <c r="B6176" s="10">
        <v>39546</v>
      </c>
    </row>
    <row r="6177" spans="1:2" x14ac:dyDescent="0.3">
      <c r="A6177" s="5">
        <v>44203</v>
      </c>
      <c r="B6177" s="10">
        <v>39556</v>
      </c>
    </row>
    <row r="6178" spans="1:2" x14ac:dyDescent="0.3">
      <c r="A6178" s="5">
        <v>44204</v>
      </c>
      <c r="B6178" s="10">
        <v>39462</v>
      </c>
    </row>
    <row r="6179" spans="1:2" x14ac:dyDescent="0.3">
      <c r="A6179" s="5">
        <v>44207</v>
      </c>
      <c r="B6179" s="10">
        <v>39605</v>
      </c>
    </row>
    <row r="6180" spans="1:2" x14ac:dyDescent="0.3">
      <c r="A6180" s="5">
        <v>44208</v>
      </c>
      <c r="B6180" s="10">
        <v>39708</v>
      </c>
    </row>
    <row r="6181" spans="1:2" x14ac:dyDescent="0.3">
      <c r="A6181" s="5">
        <v>44209</v>
      </c>
      <c r="B6181" s="10">
        <v>39765</v>
      </c>
    </row>
    <row r="6182" spans="1:2" x14ac:dyDescent="0.3">
      <c r="A6182" s="5">
        <v>44210</v>
      </c>
      <c r="B6182" s="10">
        <v>39791</v>
      </c>
    </row>
    <row r="6183" spans="1:2" x14ac:dyDescent="0.3">
      <c r="A6183" s="5">
        <v>44211</v>
      </c>
      <c r="B6183" s="10">
        <v>39808</v>
      </c>
    </row>
    <row r="6184" spans="1:2" x14ac:dyDescent="0.3">
      <c r="A6184" s="5">
        <v>44214</v>
      </c>
      <c r="B6184" s="10">
        <v>39812</v>
      </c>
    </row>
    <row r="6185" spans="1:2" x14ac:dyDescent="0.3">
      <c r="A6185" s="5">
        <v>44215</v>
      </c>
      <c r="B6185" s="10">
        <v>39779</v>
      </c>
    </row>
    <row r="6186" spans="1:2" x14ac:dyDescent="0.3">
      <c r="A6186" s="5">
        <v>44216</v>
      </c>
      <c r="B6186" s="10">
        <v>39741</v>
      </c>
    </row>
    <row r="6187" spans="1:2" x14ac:dyDescent="0.3">
      <c r="A6187" s="5">
        <v>44217</v>
      </c>
      <c r="B6187" s="10">
        <v>39757</v>
      </c>
    </row>
    <row r="6188" spans="1:2" x14ac:dyDescent="0.3">
      <c r="A6188" s="5">
        <v>44218</v>
      </c>
      <c r="B6188" s="10">
        <v>39687</v>
      </c>
    </row>
    <row r="6189" spans="1:2" x14ac:dyDescent="0.3">
      <c r="A6189" s="5">
        <v>44221</v>
      </c>
      <c r="B6189" s="10">
        <v>39690</v>
      </c>
    </row>
    <row r="6190" spans="1:2" x14ac:dyDescent="0.3">
      <c r="A6190" s="5">
        <v>44222</v>
      </c>
      <c r="B6190" s="10">
        <v>39627</v>
      </c>
    </row>
    <row r="6191" spans="1:2" x14ac:dyDescent="0.3">
      <c r="A6191" s="5">
        <v>44223</v>
      </c>
      <c r="B6191" s="10">
        <v>39450</v>
      </c>
    </row>
    <row r="6192" spans="1:2" x14ac:dyDescent="0.3">
      <c r="A6192" s="5">
        <v>44224</v>
      </c>
      <c r="B6192" s="10">
        <v>39482</v>
      </c>
    </row>
    <row r="6193" spans="1:2" x14ac:dyDescent="0.3">
      <c r="A6193" s="5">
        <v>44225</v>
      </c>
      <c r="B6193" s="10">
        <v>39515</v>
      </c>
    </row>
    <row r="6194" spans="1:2" x14ac:dyDescent="0.3">
      <c r="A6194" s="5">
        <v>44228</v>
      </c>
      <c r="B6194" s="10">
        <v>39460</v>
      </c>
    </row>
    <row r="6195" spans="1:2" x14ac:dyDescent="0.3">
      <c r="A6195" s="5">
        <v>44229</v>
      </c>
      <c r="B6195" s="10">
        <v>39453</v>
      </c>
    </row>
    <row r="6196" spans="1:2" x14ac:dyDescent="0.3">
      <c r="A6196" s="5">
        <v>44230</v>
      </c>
      <c r="B6196" s="10">
        <v>39473</v>
      </c>
    </row>
    <row r="6197" spans="1:2" x14ac:dyDescent="0.3">
      <c r="A6197" s="5">
        <v>44231</v>
      </c>
      <c r="B6197" s="10">
        <v>39134</v>
      </c>
    </row>
    <row r="6198" spans="1:2" x14ac:dyDescent="0.3">
      <c r="A6198" s="5">
        <v>44232</v>
      </c>
      <c r="B6198" s="10">
        <v>39174</v>
      </c>
    </row>
    <row r="6199" spans="1:2" x14ac:dyDescent="0.3">
      <c r="A6199" s="5">
        <v>44235</v>
      </c>
      <c r="B6199" s="10">
        <v>39233</v>
      </c>
    </row>
    <row r="6200" spans="1:2" x14ac:dyDescent="0.3">
      <c r="A6200" s="5">
        <v>44236</v>
      </c>
      <c r="B6200" s="10">
        <v>39270</v>
      </c>
    </row>
    <row r="6201" spans="1:2" x14ac:dyDescent="0.3">
      <c r="A6201" s="5">
        <v>44237</v>
      </c>
      <c r="B6201" s="10">
        <v>39278</v>
      </c>
    </row>
    <row r="6202" spans="1:2" x14ac:dyDescent="0.3">
      <c r="A6202" s="5">
        <v>44238</v>
      </c>
      <c r="B6202" s="10">
        <v>39359</v>
      </c>
    </row>
    <row r="6203" spans="1:2" x14ac:dyDescent="0.3">
      <c r="A6203" s="5">
        <v>44239</v>
      </c>
      <c r="B6203" s="10">
        <v>39369</v>
      </c>
    </row>
    <row r="6204" spans="1:2" x14ac:dyDescent="0.3">
      <c r="A6204" s="5">
        <v>44244</v>
      </c>
      <c r="B6204" s="10">
        <v>39399</v>
      </c>
    </row>
    <row r="6205" spans="1:2" x14ac:dyDescent="0.3">
      <c r="A6205" s="5">
        <v>44245</v>
      </c>
      <c r="B6205" s="10">
        <v>39310</v>
      </c>
    </row>
    <row r="6206" spans="1:2" x14ac:dyDescent="0.3">
      <c r="A6206" s="5">
        <v>44246</v>
      </c>
      <c r="B6206" s="10">
        <v>39425</v>
      </c>
    </row>
    <row r="6207" spans="1:2" x14ac:dyDescent="0.3">
      <c r="A6207" s="5">
        <v>44249</v>
      </c>
      <c r="B6207" s="10">
        <v>39476</v>
      </c>
    </row>
    <row r="6208" spans="1:2" x14ac:dyDescent="0.3">
      <c r="A6208" s="5">
        <v>44250</v>
      </c>
      <c r="B6208" s="10">
        <v>39498</v>
      </c>
    </row>
    <row r="6209" spans="1:2" x14ac:dyDescent="0.3">
      <c r="A6209" s="5">
        <v>44251</v>
      </c>
      <c r="B6209" s="10">
        <v>39506</v>
      </c>
    </row>
    <row r="6210" spans="1:2" x14ac:dyDescent="0.3">
      <c r="A6210" s="5">
        <v>44252</v>
      </c>
      <c r="B6210" s="10">
        <v>39517</v>
      </c>
    </row>
    <row r="6211" spans="1:2" x14ac:dyDescent="0.3">
      <c r="A6211" s="5">
        <v>44253</v>
      </c>
      <c r="B6211" s="10">
        <v>39518</v>
      </c>
    </row>
    <row r="6212" spans="1:2" x14ac:dyDescent="0.3">
      <c r="A6212" s="5">
        <v>44256</v>
      </c>
      <c r="B6212" s="10">
        <v>39617</v>
      </c>
    </row>
    <row r="6213" spans="1:2" x14ac:dyDescent="0.3">
      <c r="A6213" s="5">
        <v>44257</v>
      </c>
      <c r="B6213" s="10">
        <v>39654</v>
      </c>
    </row>
    <row r="6214" spans="1:2" x14ac:dyDescent="0.3">
      <c r="A6214" s="5">
        <v>44258</v>
      </c>
      <c r="B6214" s="10">
        <v>39718</v>
      </c>
    </row>
    <row r="6215" spans="1:2" x14ac:dyDescent="0.3">
      <c r="A6215" s="5">
        <v>44259</v>
      </c>
      <c r="B6215" s="10">
        <v>39784</v>
      </c>
    </row>
    <row r="6216" spans="1:2" x14ac:dyDescent="0.3">
      <c r="A6216" s="5">
        <v>44260</v>
      </c>
      <c r="B6216" s="10">
        <v>39799</v>
      </c>
    </row>
    <row r="6217" spans="1:2" x14ac:dyDescent="0.3">
      <c r="A6217" s="5">
        <v>44263</v>
      </c>
      <c r="B6217" s="10">
        <v>39729</v>
      </c>
    </row>
    <row r="6218" spans="1:2" x14ac:dyDescent="0.3">
      <c r="A6218" s="5">
        <v>44264</v>
      </c>
      <c r="B6218" s="10">
        <v>39747</v>
      </c>
    </row>
    <row r="6219" spans="1:2" x14ac:dyDescent="0.3">
      <c r="A6219" s="5">
        <v>44265</v>
      </c>
      <c r="B6219" s="10">
        <v>39750</v>
      </c>
    </row>
    <row r="6220" spans="1:2" x14ac:dyDescent="0.3">
      <c r="A6220" s="5">
        <v>44266</v>
      </c>
      <c r="B6220" s="10">
        <v>39807</v>
      </c>
    </row>
    <row r="6221" spans="1:2" x14ac:dyDescent="0.3">
      <c r="A6221" s="5">
        <v>44267</v>
      </c>
      <c r="B6221" s="10">
        <v>39823</v>
      </c>
    </row>
    <row r="6222" spans="1:2" x14ac:dyDescent="0.3">
      <c r="A6222" s="5">
        <v>44270</v>
      </c>
      <c r="B6222" s="10">
        <v>39865</v>
      </c>
    </row>
    <row r="6223" spans="1:2" x14ac:dyDescent="0.3">
      <c r="A6223" s="5">
        <v>44271</v>
      </c>
      <c r="B6223" s="10">
        <v>39881</v>
      </c>
    </row>
    <row r="6224" spans="1:2" x14ac:dyDescent="0.3">
      <c r="A6224" s="5">
        <v>44272</v>
      </c>
      <c r="B6224" s="10">
        <v>39834</v>
      </c>
    </row>
    <row r="6225" spans="1:2" x14ac:dyDescent="0.3">
      <c r="A6225" s="5">
        <v>44273</v>
      </c>
      <c r="B6225" s="10">
        <v>39774</v>
      </c>
    </row>
    <row r="6226" spans="1:2" x14ac:dyDescent="0.3">
      <c r="A6226" s="5">
        <v>44274</v>
      </c>
      <c r="B6226" s="10">
        <v>39728</v>
      </c>
    </row>
    <row r="6227" spans="1:2" x14ac:dyDescent="0.3">
      <c r="A6227" s="5">
        <v>44277</v>
      </c>
      <c r="B6227" s="10">
        <v>39651</v>
      </c>
    </row>
    <row r="6228" spans="1:2" x14ac:dyDescent="0.3">
      <c r="A6228" s="5">
        <v>44278</v>
      </c>
      <c r="B6228" s="10">
        <v>39679</v>
      </c>
    </row>
    <row r="6229" spans="1:2" x14ac:dyDescent="0.3">
      <c r="A6229" s="5">
        <v>44280</v>
      </c>
      <c r="B6229" s="10">
        <v>39610</v>
      </c>
    </row>
    <row r="6230" spans="1:2" x14ac:dyDescent="0.3">
      <c r="A6230" s="5">
        <v>44281</v>
      </c>
      <c r="B6230" s="10">
        <v>39539</v>
      </c>
    </row>
    <row r="6231" spans="1:2" x14ac:dyDescent="0.3">
      <c r="A6231" s="5">
        <v>44284</v>
      </c>
      <c r="B6231" s="10">
        <v>39471</v>
      </c>
    </row>
    <row r="6232" spans="1:2" x14ac:dyDescent="0.3">
      <c r="A6232" s="5">
        <v>44285</v>
      </c>
      <c r="B6232" s="10">
        <v>39520</v>
      </c>
    </row>
    <row r="6233" spans="1:2" x14ac:dyDescent="0.3">
      <c r="A6233" s="5">
        <v>44286</v>
      </c>
      <c r="B6233" s="10">
        <v>39593</v>
      </c>
    </row>
    <row r="6234" spans="1:2" x14ac:dyDescent="0.3">
      <c r="A6234" s="5">
        <v>44291</v>
      </c>
      <c r="B6234" s="10">
        <v>39645</v>
      </c>
    </row>
    <row r="6235" spans="1:2" x14ac:dyDescent="0.3">
      <c r="A6235" s="5">
        <v>44292</v>
      </c>
      <c r="B6235" s="10">
        <v>39709</v>
      </c>
    </row>
    <row r="6236" spans="1:2" x14ac:dyDescent="0.3">
      <c r="A6236" s="5">
        <v>44293</v>
      </c>
      <c r="B6236" s="10">
        <v>39751</v>
      </c>
    </row>
    <row r="6237" spans="1:2" x14ac:dyDescent="0.3">
      <c r="A6237" s="5">
        <v>44294</v>
      </c>
      <c r="B6237" s="10">
        <v>39801</v>
      </c>
    </row>
    <row r="6238" spans="1:2" x14ac:dyDescent="0.3">
      <c r="A6238" s="5">
        <v>44295</v>
      </c>
      <c r="B6238" s="10">
        <v>39850</v>
      </c>
    </row>
    <row r="6239" spans="1:2" x14ac:dyDescent="0.3">
      <c r="A6239" s="5">
        <v>44298</v>
      </c>
      <c r="B6239" s="10">
        <v>39922</v>
      </c>
    </row>
    <row r="6240" spans="1:2" x14ac:dyDescent="0.3">
      <c r="A6240" s="5">
        <v>44299</v>
      </c>
      <c r="B6240" s="10">
        <v>39998</v>
      </c>
    </row>
    <row r="6241" spans="1:2" x14ac:dyDescent="0.3">
      <c r="A6241" s="5">
        <v>44300</v>
      </c>
      <c r="B6241" s="10">
        <v>40020</v>
      </c>
    </row>
    <row r="6242" spans="1:2" x14ac:dyDescent="0.3">
      <c r="A6242" s="5">
        <v>44301</v>
      </c>
      <c r="B6242" s="10">
        <v>40070</v>
      </c>
    </row>
    <row r="6243" spans="1:2" x14ac:dyDescent="0.3">
      <c r="A6243" s="5">
        <v>44302</v>
      </c>
      <c r="B6243" s="10">
        <v>40078</v>
      </c>
    </row>
    <row r="6244" spans="1:2" x14ac:dyDescent="0.3">
      <c r="A6244" s="5">
        <v>44305</v>
      </c>
      <c r="B6244" s="10">
        <v>40146</v>
      </c>
    </row>
    <row r="6245" spans="1:2" x14ac:dyDescent="0.3">
      <c r="A6245" s="5">
        <v>44306</v>
      </c>
      <c r="B6245" s="10">
        <v>40187</v>
      </c>
    </row>
    <row r="6246" spans="1:2" x14ac:dyDescent="0.3">
      <c r="A6246" s="5">
        <v>44307</v>
      </c>
      <c r="B6246" s="10">
        <v>40208</v>
      </c>
    </row>
    <row r="6247" spans="1:2" x14ac:dyDescent="0.3">
      <c r="A6247" s="5">
        <v>44308</v>
      </c>
      <c r="B6247" s="10">
        <v>40220</v>
      </c>
    </row>
    <row r="6248" spans="1:2" x14ac:dyDescent="0.3">
      <c r="A6248" s="5">
        <v>44309</v>
      </c>
      <c r="B6248" s="10">
        <v>40257</v>
      </c>
    </row>
    <row r="6249" spans="1:2" x14ac:dyDescent="0.3">
      <c r="A6249" s="5">
        <v>44312</v>
      </c>
      <c r="B6249" s="10">
        <v>40271</v>
      </c>
    </row>
    <row r="6250" spans="1:2" x14ac:dyDescent="0.3">
      <c r="A6250" s="5">
        <v>44313</v>
      </c>
      <c r="B6250" s="10">
        <v>40330</v>
      </c>
    </row>
    <row r="6251" spans="1:2" x14ac:dyDescent="0.3">
      <c r="A6251" s="5">
        <v>44314</v>
      </c>
      <c r="B6251" s="10">
        <v>40339</v>
      </c>
    </row>
    <row r="6252" spans="1:2" x14ac:dyDescent="0.3">
      <c r="A6252" s="5">
        <v>44315</v>
      </c>
      <c r="B6252" s="10">
        <v>40357</v>
      </c>
    </row>
    <row r="6253" spans="1:2" x14ac:dyDescent="0.3">
      <c r="A6253" s="5">
        <v>44316</v>
      </c>
      <c r="B6253" s="10">
        <v>40263</v>
      </c>
    </row>
    <row r="6254" spans="1:2" x14ac:dyDescent="0.3">
      <c r="A6254" s="5">
        <v>44319</v>
      </c>
      <c r="B6254" s="10">
        <v>40360</v>
      </c>
    </row>
    <row r="6255" spans="1:2" x14ac:dyDescent="0.3">
      <c r="A6255" s="5">
        <v>44320</v>
      </c>
      <c r="B6255" s="10">
        <v>40433</v>
      </c>
    </row>
    <row r="6256" spans="1:2" x14ac:dyDescent="0.3">
      <c r="A6256" s="5">
        <v>44321</v>
      </c>
      <c r="B6256" s="10">
        <v>40493</v>
      </c>
    </row>
    <row r="6257" spans="1:2" x14ac:dyDescent="0.3">
      <c r="A6257" s="5">
        <v>44322</v>
      </c>
      <c r="B6257" s="10">
        <v>40300</v>
      </c>
    </row>
    <row r="6258" spans="1:2" x14ac:dyDescent="0.3">
      <c r="A6258" s="5">
        <v>44323</v>
      </c>
      <c r="B6258" s="10">
        <v>40454</v>
      </c>
    </row>
    <row r="6259" spans="1:2" x14ac:dyDescent="0.3">
      <c r="A6259" s="5">
        <v>44326</v>
      </c>
      <c r="B6259" s="10">
        <v>40616</v>
      </c>
    </row>
    <row r="6260" spans="1:2" x14ac:dyDescent="0.3">
      <c r="A6260" s="5">
        <v>44327</v>
      </c>
      <c r="B6260" s="10">
        <v>40762</v>
      </c>
    </row>
    <row r="6261" spans="1:2" x14ac:dyDescent="0.3">
      <c r="A6261" s="5">
        <v>44328</v>
      </c>
      <c r="B6261" s="10">
        <v>40880</v>
      </c>
    </row>
    <row r="6262" spans="1:2" x14ac:dyDescent="0.3">
      <c r="A6262" s="5">
        <v>44329</v>
      </c>
      <c r="B6262" s="10">
        <v>40947</v>
      </c>
    </row>
    <row r="6263" spans="1:2" x14ac:dyDescent="0.3">
      <c r="A6263" s="5">
        <v>44330</v>
      </c>
      <c r="B6263" s="10">
        <v>41002</v>
      </c>
    </row>
    <row r="6264" spans="1:2" x14ac:dyDescent="0.3">
      <c r="A6264" s="5">
        <v>44333</v>
      </c>
      <c r="B6264" s="10">
        <v>41266</v>
      </c>
    </row>
    <row r="6265" spans="1:2" x14ac:dyDescent="0.3">
      <c r="A6265" s="5">
        <v>44334</v>
      </c>
      <c r="B6265" s="10">
        <v>41376</v>
      </c>
    </row>
    <row r="6266" spans="1:2" x14ac:dyDescent="0.3">
      <c r="A6266" s="5">
        <v>44335</v>
      </c>
      <c r="B6266" s="10">
        <v>41483</v>
      </c>
    </row>
    <row r="6267" spans="1:2" x14ac:dyDescent="0.3">
      <c r="A6267" s="5">
        <v>44336</v>
      </c>
      <c r="B6267" s="10">
        <v>41517</v>
      </c>
    </row>
    <row r="6268" spans="1:2" x14ac:dyDescent="0.3">
      <c r="A6268" s="5">
        <v>44337</v>
      </c>
      <c r="B6268" s="10">
        <v>41591</v>
      </c>
    </row>
    <row r="6269" spans="1:2" x14ac:dyDescent="0.3">
      <c r="A6269" s="5">
        <v>44342</v>
      </c>
      <c r="B6269" s="10">
        <v>41715</v>
      </c>
    </row>
    <row r="6270" spans="1:2" x14ac:dyDescent="0.3">
      <c r="A6270" s="5">
        <v>44343</v>
      </c>
      <c r="B6270" s="10">
        <v>41785</v>
      </c>
    </row>
    <row r="6271" spans="1:2" x14ac:dyDescent="0.3">
      <c r="A6271" s="5">
        <v>44344</v>
      </c>
      <c r="B6271" s="10">
        <v>41888</v>
      </c>
    </row>
    <row r="6272" spans="1:2" x14ac:dyDescent="0.3">
      <c r="A6272" s="5">
        <v>44347</v>
      </c>
      <c r="B6272" s="10">
        <v>41872</v>
      </c>
    </row>
    <row r="6273" spans="1:2" x14ac:dyDescent="0.3">
      <c r="A6273" s="5">
        <v>44348</v>
      </c>
      <c r="B6273" s="10">
        <v>41964</v>
      </c>
    </row>
    <row r="6274" spans="1:2" x14ac:dyDescent="0.3">
      <c r="A6274" s="5">
        <v>44349</v>
      </c>
      <c r="B6274" s="10">
        <v>42066</v>
      </c>
    </row>
    <row r="6275" spans="1:2" x14ac:dyDescent="0.3">
      <c r="A6275" s="5">
        <v>44350</v>
      </c>
      <c r="B6275" s="10">
        <v>42122</v>
      </c>
    </row>
    <row r="6276" spans="1:2" x14ac:dyDescent="0.3">
      <c r="A6276" s="5">
        <v>44351</v>
      </c>
      <c r="B6276" s="10">
        <v>42202</v>
      </c>
    </row>
    <row r="6277" spans="1:2" x14ac:dyDescent="0.3">
      <c r="A6277" s="5">
        <v>44354</v>
      </c>
      <c r="B6277" s="10">
        <v>42292</v>
      </c>
    </row>
    <row r="6278" spans="1:2" x14ac:dyDescent="0.3">
      <c r="A6278" s="5">
        <v>44355</v>
      </c>
      <c r="B6278" s="10">
        <v>42430</v>
      </c>
    </row>
    <row r="6279" spans="1:2" x14ac:dyDescent="0.3">
      <c r="A6279" s="5">
        <v>44356</v>
      </c>
      <c r="B6279" s="10">
        <v>42618</v>
      </c>
    </row>
    <row r="6280" spans="1:2" x14ac:dyDescent="0.3">
      <c r="A6280" s="5">
        <v>44357</v>
      </c>
      <c r="B6280" s="10">
        <v>42658</v>
      </c>
    </row>
    <row r="6281" spans="1:2" x14ac:dyDescent="0.3">
      <c r="A6281" s="5">
        <v>44358</v>
      </c>
      <c r="B6281" s="10">
        <v>42697</v>
      </c>
    </row>
    <row r="6282" spans="1:2" x14ac:dyDescent="0.3">
      <c r="A6282" s="5">
        <v>44361</v>
      </c>
      <c r="B6282" s="10">
        <v>42720</v>
      </c>
    </row>
    <row r="6283" spans="1:2" x14ac:dyDescent="0.3">
      <c r="A6283" s="5">
        <v>44362</v>
      </c>
      <c r="B6283" s="10">
        <v>42665</v>
      </c>
    </row>
    <row r="6284" spans="1:2" x14ac:dyDescent="0.3">
      <c r="A6284" s="5">
        <v>44363</v>
      </c>
      <c r="B6284" s="10">
        <v>42692</v>
      </c>
    </row>
    <row r="6285" spans="1:2" x14ac:dyDescent="0.3">
      <c r="A6285" s="5">
        <v>44364</v>
      </c>
      <c r="B6285" s="10">
        <v>42397</v>
      </c>
    </row>
    <row r="6286" spans="1:2" x14ac:dyDescent="0.3">
      <c r="A6286" s="5">
        <v>44365</v>
      </c>
      <c r="B6286" s="10">
        <v>42407</v>
      </c>
    </row>
    <row r="6287" spans="1:2" x14ac:dyDescent="0.3">
      <c r="A6287" s="5">
        <v>44369</v>
      </c>
      <c r="B6287" s="10">
        <v>42376</v>
      </c>
    </row>
    <row r="6288" spans="1:2" x14ac:dyDescent="0.3">
      <c r="A6288" s="5">
        <v>44370</v>
      </c>
      <c r="B6288" s="10">
        <v>42402</v>
      </c>
    </row>
    <row r="6289" spans="1:2" x14ac:dyDescent="0.3">
      <c r="A6289" s="5">
        <v>44371</v>
      </c>
      <c r="B6289" s="10">
        <v>42414</v>
      </c>
    </row>
    <row r="6290" spans="1:2" x14ac:dyDescent="0.3">
      <c r="A6290" s="5">
        <v>44372</v>
      </c>
      <c r="B6290" s="10">
        <v>42420</v>
      </c>
    </row>
    <row r="6291" spans="1:2" x14ac:dyDescent="0.3">
      <c r="A6291" s="5">
        <v>44375</v>
      </c>
      <c r="B6291" s="10">
        <v>42420</v>
      </c>
    </row>
    <row r="6292" spans="1:2" x14ac:dyDescent="0.3">
      <c r="A6292" s="5">
        <v>44376</v>
      </c>
      <c r="B6292" s="10">
        <v>42366</v>
      </c>
    </row>
    <row r="6293" spans="1:2" x14ac:dyDescent="0.3">
      <c r="A6293" s="5">
        <v>44377</v>
      </c>
      <c r="B6293" s="10">
        <v>42437</v>
      </c>
    </row>
    <row r="6294" spans="1:2" x14ac:dyDescent="0.3">
      <c r="A6294" s="5">
        <v>44378</v>
      </c>
      <c r="B6294" s="10">
        <v>42494</v>
      </c>
    </row>
    <row r="6295" spans="1:2" x14ac:dyDescent="0.3">
      <c r="A6295" s="5">
        <v>44379</v>
      </c>
      <c r="B6295" s="10">
        <v>42641</v>
      </c>
    </row>
    <row r="6296" spans="1:2" x14ac:dyDescent="0.3">
      <c r="A6296" s="5">
        <v>44382</v>
      </c>
      <c r="B6296" s="10">
        <v>42678</v>
      </c>
    </row>
    <row r="6297" spans="1:2" x14ac:dyDescent="0.3">
      <c r="A6297" s="5">
        <v>44383</v>
      </c>
      <c r="B6297" s="10">
        <v>42727</v>
      </c>
    </row>
    <row r="6298" spans="1:2" x14ac:dyDescent="0.3">
      <c r="A6298" s="5">
        <v>44384</v>
      </c>
      <c r="B6298" s="10">
        <v>42759</v>
      </c>
    </row>
    <row r="6299" spans="1:2" x14ac:dyDescent="0.3">
      <c r="A6299" s="5">
        <v>44385</v>
      </c>
      <c r="B6299" s="10">
        <v>42750</v>
      </c>
    </row>
    <row r="6300" spans="1:2" x14ac:dyDescent="0.3">
      <c r="A6300" s="5">
        <v>44389</v>
      </c>
      <c r="B6300" s="10">
        <v>42845</v>
      </c>
    </row>
    <row r="6301" spans="1:2" x14ac:dyDescent="0.3">
      <c r="A6301" s="5">
        <v>44390</v>
      </c>
      <c r="B6301" s="10">
        <v>42925</v>
      </c>
    </row>
    <row r="6302" spans="1:2" x14ac:dyDescent="0.3">
      <c r="A6302" s="5">
        <v>44391</v>
      </c>
      <c r="B6302" s="10">
        <v>42964</v>
      </c>
    </row>
    <row r="6303" spans="1:2" x14ac:dyDescent="0.3">
      <c r="A6303" s="5">
        <v>44392</v>
      </c>
      <c r="B6303" s="10">
        <v>42991</v>
      </c>
    </row>
    <row r="6304" spans="1:2" x14ac:dyDescent="0.3">
      <c r="A6304" s="5">
        <v>44393</v>
      </c>
      <c r="B6304" s="10">
        <v>42931</v>
      </c>
    </row>
    <row r="6305" spans="1:2" x14ac:dyDescent="0.3">
      <c r="A6305" s="5">
        <v>44396</v>
      </c>
      <c r="B6305" s="10">
        <v>42943</v>
      </c>
    </row>
    <row r="6306" spans="1:2" x14ac:dyDescent="0.3">
      <c r="A6306" s="5">
        <v>44397</v>
      </c>
      <c r="B6306" s="10">
        <v>43012</v>
      </c>
    </row>
    <row r="6307" spans="1:2" x14ac:dyDescent="0.3">
      <c r="A6307" s="5">
        <v>44398</v>
      </c>
      <c r="B6307" s="10">
        <v>43075</v>
      </c>
    </row>
    <row r="6308" spans="1:2" x14ac:dyDescent="0.3">
      <c r="A6308" s="5">
        <v>44399</v>
      </c>
      <c r="B6308" s="10">
        <v>43091</v>
      </c>
    </row>
    <row r="6309" spans="1:2" x14ac:dyDescent="0.3">
      <c r="A6309" s="5">
        <v>44400</v>
      </c>
      <c r="B6309" s="10">
        <v>43108</v>
      </c>
    </row>
    <row r="6310" spans="1:2" x14ac:dyDescent="0.3">
      <c r="A6310" s="5">
        <v>44403</v>
      </c>
      <c r="B6310" s="10">
        <v>43025</v>
      </c>
    </row>
    <row r="6311" spans="1:2" x14ac:dyDescent="0.3">
      <c r="A6311" s="5">
        <v>44404</v>
      </c>
      <c r="B6311" s="10">
        <v>42836</v>
      </c>
    </row>
    <row r="6312" spans="1:2" x14ac:dyDescent="0.3">
      <c r="A6312" s="5">
        <v>44405</v>
      </c>
      <c r="B6312" s="10">
        <v>42654</v>
      </c>
    </row>
    <row r="6313" spans="1:2" x14ac:dyDescent="0.3">
      <c r="A6313" s="5">
        <v>44406</v>
      </c>
      <c r="B6313" s="10">
        <v>42668</v>
      </c>
    </row>
    <row r="6314" spans="1:2" x14ac:dyDescent="0.3">
      <c r="A6314" s="5">
        <v>44407</v>
      </c>
      <c r="B6314" s="10">
        <v>42582</v>
      </c>
    </row>
    <row r="6315" spans="1:2" x14ac:dyDescent="0.3">
      <c r="A6315" s="5">
        <v>44410</v>
      </c>
      <c r="B6315" s="10">
        <v>42504</v>
      </c>
    </row>
    <row r="6316" spans="1:2" x14ac:dyDescent="0.3">
      <c r="A6316" s="5">
        <v>44411</v>
      </c>
      <c r="B6316" s="10">
        <v>42503</v>
      </c>
    </row>
    <row r="6317" spans="1:2" x14ac:dyDescent="0.3">
      <c r="A6317" s="5">
        <v>44412</v>
      </c>
      <c r="B6317" s="10">
        <v>42548</v>
      </c>
    </row>
    <row r="6318" spans="1:2" x14ac:dyDescent="0.3">
      <c r="A6318" s="5">
        <v>44413</v>
      </c>
      <c r="B6318" s="10">
        <v>42207</v>
      </c>
    </row>
    <row r="6319" spans="1:2" x14ac:dyDescent="0.3">
      <c r="A6319" s="5">
        <v>44414</v>
      </c>
      <c r="B6319" s="10">
        <v>42063</v>
      </c>
    </row>
    <row r="6320" spans="1:2" x14ac:dyDescent="0.3">
      <c r="A6320" s="5">
        <v>44417</v>
      </c>
      <c r="B6320" s="10">
        <v>42002</v>
      </c>
    </row>
    <row r="6321" spans="1:2" x14ac:dyDescent="0.3">
      <c r="A6321" s="5">
        <v>44418</v>
      </c>
      <c r="B6321" s="10">
        <v>41941</v>
      </c>
    </row>
    <row r="6322" spans="1:2" x14ac:dyDescent="0.3">
      <c r="A6322" s="5">
        <v>44419</v>
      </c>
      <c r="B6322" s="10">
        <v>41951</v>
      </c>
    </row>
    <row r="6323" spans="1:2" x14ac:dyDescent="0.3">
      <c r="A6323" s="5">
        <v>44420</v>
      </c>
      <c r="B6323" s="10">
        <v>41973</v>
      </c>
    </row>
    <row r="6324" spans="1:2" x14ac:dyDescent="0.3">
      <c r="A6324" s="5">
        <v>44421</v>
      </c>
      <c r="B6324" s="10">
        <v>41983</v>
      </c>
    </row>
    <row r="6325" spans="1:2" x14ac:dyDescent="0.3">
      <c r="A6325" s="5">
        <v>44425</v>
      </c>
      <c r="B6325" s="10">
        <v>41989</v>
      </c>
    </row>
    <row r="6326" spans="1:2" x14ac:dyDescent="0.3">
      <c r="A6326" s="5">
        <v>44426</v>
      </c>
      <c r="B6326" s="10">
        <v>41998</v>
      </c>
    </row>
    <row r="6327" spans="1:2" x14ac:dyDescent="0.3">
      <c r="A6327" s="5">
        <v>44427</v>
      </c>
      <c r="B6327" s="10">
        <v>42030</v>
      </c>
    </row>
    <row r="6328" spans="1:2" x14ac:dyDescent="0.3">
      <c r="A6328" s="5">
        <v>44428</v>
      </c>
      <c r="B6328" s="10">
        <v>42048</v>
      </c>
    </row>
    <row r="6329" spans="1:2" x14ac:dyDescent="0.3">
      <c r="A6329" s="5">
        <v>44431</v>
      </c>
      <c r="B6329" s="10">
        <v>46306</v>
      </c>
    </row>
    <row r="6330" spans="1:2" x14ac:dyDescent="0.3">
      <c r="A6330" s="5">
        <v>44432</v>
      </c>
      <c r="B6330" s="10">
        <v>46318</v>
      </c>
    </row>
    <row r="6331" spans="1:2" x14ac:dyDescent="0.3">
      <c r="A6331" s="5">
        <v>44433</v>
      </c>
      <c r="B6331" s="10">
        <v>46278</v>
      </c>
    </row>
    <row r="6332" spans="1:2" x14ac:dyDescent="0.3">
      <c r="A6332" s="5">
        <v>44434</v>
      </c>
      <c r="B6332" s="10">
        <v>46188</v>
      </c>
    </row>
    <row r="6333" spans="1:2" x14ac:dyDescent="0.3">
      <c r="A6333" s="5">
        <v>44435</v>
      </c>
      <c r="B6333" s="10">
        <v>46199</v>
      </c>
    </row>
    <row r="6334" spans="1:2" x14ac:dyDescent="0.3">
      <c r="A6334" s="5">
        <v>44438</v>
      </c>
      <c r="B6334" s="10">
        <v>46154</v>
      </c>
    </row>
    <row r="6335" spans="1:2" x14ac:dyDescent="0.3">
      <c r="A6335" s="5">
        <v>44439</v>
      </c>
      <c r="B6335" s="10">
        <v>46180</v>
      </c>
    </row>
    <row r="6336" spans="1:2" x14ac:dyDescent="0.3">
      <c r="A6336" s="5">
        <v>44440</v>
      </c>
      <c r="B6336" s="10">
        <v>46094</v>
      </c>
    </row>
    <row r="6337" spans="1:2" x14ac:dyDescent="0.3">
      <c r="A6337" s="5">
        <v>44441</v>
      </c>
      <c r="B6337" s="10">
        <v>46024</v>
      </c>
    </row>
    <row r="6338" spans="1:2" x14ac:dyDescent="0.3">
      <c r="A6338" s="5">
        <v>44442</v>
      </c>
      <c r="B6338" s="10">
        <v>46033</v>
      </c>
    </row>
    <row r="6339" spans="1:2" x14ac:dyDescent="0.3">
      <c r="A6339" s="5">
        <v>44445</v>
      </c>
      <c r="B6339" s="10">
        <v>45985</v>
      </c>
    </row>
    <row r="6340" spans="1:2" x14ac:dyDescent="0.3">
      <c r="A6340" s="5">
        <v>44446</v>
      </c>
      <c r="B6340" s="10">
        <v>45896</v>
      </c>
    </row>
    <row r="6341" spans="1:2" x14ac:dyDescent="0.3">
      <c r="A6341" s="5">
        <v>44447</v>
      </c>
      <c r="B6341" s="10">
        <v>45806</v>
      </c>
    </row>
    <row r="6342" spans="1:2" x14ac:dyDescent="0.3">
      <c r="A6342" s="5">
        <v>44448</v>
      </c>
      <c r="B6342" s="10">
        <v>45726</v>
      </c>
    </row>
    <row r="6343" spans="1:2" x14ac:dyDescent="0.3">
      <c r="A6343" s="5">
        <v>44449</v>
      </c>
      <c r="B6343" s="10">
        <v>45762</v>
      </c>
    </row>
    <row r="6344" spans="1:2" x14ac:dyDescent="0.3">
      <c r="A6344" s="5">
        <v>44452</v>
      </c>
      <c r="B6344" s="10">
        <v>45778</v>
      </c>
    </row>
    <row r="6345" spans="1:2" x14ac:dyDescent="0.3">
      <c r="A6345" s="5">
        <v>44453</v>
      </c>
      <c r="B6345" s="10">
        <v>45817</v>
      </c>
    </row>
    <row r="6346" spans="1:2" x14ac:dyDescent="0.3">
      <c r="A6346" s="5">
        <v>44454</v>
      </c>
      <c r="B6346" s="10">
        <v>45682</v>
      </c>
    </row>
    <row r="6347" spans="1:2" x14ac:dyDescent="0.3">
      <c r="A6347" s="5">
        <v>44455</v>
      </c>
      <c r="B6347" s="10">
        <v>45525</v>
      </c>
    </row>
    <row r="6348" spans="1:2" x14ac:dyDescent="0.3">
      <c r="A6348" s="5">
        <v>44456</v>
      </c>
      <c r="B6348" s="10">
        <v>45335</v>
      </c>
    </row>
    <row r="6349" spans="1:2" x14ac:dyDescent="0.3">
      <c r="A6349" s="5">
        <v>44459</v>
      </c>
      <c r="B6349" s="10">
        <v>45230</v>
      </c>
    </row>
    <row r="6350" spans="1:2" x14ac:dyDescent="0.3">
      <c r="A6350" s="5">
        <v>44460</v>
      </c>
      <c r="B6350" s="10">
        <v>45170</v>
      </c>
    </row>
    <row r="6351" spans="1:2" x14ac:dyDescent="0.3">
      <c r="A6351" s="5">
        <v>44461</v>
      </c>
      <c r="B6351" s="10">
        <v>43178</v>
      </c>
    </row>
    <row r="6352" spans="1:2" x14ac:dyDescent="0.3">
      <c r="A6352" s="5">
        <v>44462</v>
      </c>
      <c r="B6352" s="10">
        <v>43134</v>
      </c>
    </row>
    <row r="6353" spans="1:2" x14ac:dyDescent="0.3">
      <c r="A6353" s="5">
        <v>44463</v>
      </c>
      <c r="B6353" s="10">
        <v>43132</v>
      </c>
    </row>
    <row r="6354" spans="1:2" x14ac:dyDescent="0.3">
      <c r="A6354" s="5">
        <v>44466</v>
      </c>
      <c r="B6354" s="10">
        <v>43140</v>
      </c>
    </row>
    <row r="6355" spans="1:2" x14ac:dyDescent="0.3">
      <c r="A6355" s="5">
        <v>44467</v>
      </c>
      <c r="B6355" s="10">
        <v>43089</v>
      </c>
    </row>
    <row r="6356" spans="1:2" x14ac:dyDescent="0.3">
      <c r="A6356" s="5">
        <v>44468</v>
      </c>
      <c r="B6356" s="10">
        <v>42895</v>
      </c>
    </row>
    <row r="6357" spans="1:2" x14ac:dyDescent="0.3">
      <c r="A6357" s="5">
        <v>44469</v>
      </c>
      <c r="B6357" s="10">
        <v>42911</v>
      </c>
    </row>
    <row r="6358" spans="1:2" x14ac:dyDescent="0.3">
      <c r="A6358" s="5">
        <v>44470</v>
      </c>
      <c r="B6358" s="10">
        <v>42850</v>
      </c>
    </row>
    <row r="6359" spans="1:2" x14ac:dyDescent="0.3">
      <c r="A6359" s="5">
        <v>44473</v>
      </c>
      <c r="B6359" s="10">
        <v>42825</v>
      </c>
    </row>
    <row r="6360" spans="1:2" x14ac:dyDescent="0.3">
      <c r="A6360" s="5">
        <v>44474</v>
      </c>
      <c r="B6360" s="10">
        <v>42719</v>
      </c>
    </row>
    <row r="6361" spans="1:2" x14ac:dyDescent="0.3">
      <c r="A6361" s="5">
        <v>44475</v>
      </c>
      <c r="B6361" s="10">
        <v>42796</v>
      </c>
    </row>
    <row r="6362" spans="1:2" x14ac:dyDescent="0.3">
      <c r="A6362" s="5">
        <v>44476</v>
      </c>
      <c r="B6362" s="10">
        <v>42848</v>
      </c>
    </row>
    <row r="6363" spans="1:2" x14ac:dyDescent="0.3">
      <c r="A6363" s="5">
        <v>44481</v>
      </c>
      <c r="B6363" s="10">
        <v>42898</v>
      </c>
    </row>
    <row r="6364" spans="1:2" x14ac:dyDescent="0.3">
      <c r="A6364" s="5">
        <v>44482</v>
      </c>
      <c r="B6364" s="10">
        <v>43004</v>
      </c>
    </row>
    <row r="6365" spans="1:2" x14ac:dyDescent="0.3">
      <c r="A6365" s="5">
        <v>44483</v>
      </c>
      <c r="B6365" s="10">
        <v>43020</v>
      </c>
    </row>
    <row r="6366" spans="1:2" x14ac:dyDescent="0.3">
      <c r="A6366" s="5">
        <v>44484</v>
      </c>
      <c r="B6366" s="10">
        <v>42932</v>
      </c>
    </row>
    <row r="6367" spans="1:2" x14ac:dyDescent="0.3">
      <c r="A6367" s="5">
        <v>44487</v>
      </c>
      <c r="B6367" s="10">
        <v>42944</v>
      </c>
    </row>
    <row r="6368" spans="1:2" x14ac:dyDescent="0.3">
      <c r="A6368" s="5">
        <v>44488</v>
      </c>
      <c r="B6368" s="10">
        <v>42984</v>
      </c>
    </row>
    <row r="6369" spans="1:2" x14ac:dyDescent="0.3">
      <c r="A6369" s="5">
        <v>44489</v>
      </c>
      <c r="B6369" s="10">
        <v>42989</v>
      </c>
    </row>
    <row r="6370" spans="1:2" x14ac:dyDescent="0.3">
      <c r="A6370" s="5">
        <v>44490</v>
      </c>
      <c r="B6370" s="10">
        <v>43006</v>
      </c>
    </row>
    <row r="6371" spans="1:2" x14ac:dyDescent="0.3">
      <c r="A6371" s="5">
        <v>44491</v>
      </c>
      <c r="B6371" s="10">
        <v>43038</v>
      </c>
    </row>
    <row r="6372" spans="1:2" x14ac:dyDescent="0.3">
      <c r="A6372" s="5">
        <v>44494</v>
      </c>
      <c r="B6372" s="10">
        <v>43059</v>
      </c>
    </row>
    <row r="6373" spans="1:2" x14ac:dyDescent="0.3">
      <c r="A6373" s="5">
        <v>44495</v>
      </c>
      <c r="B6373" s="10">
        <v>43070</v>
      </c>
    </row>
    <row r="6374" spans="1:2" x14ac:dyDescent="0.3">
      <c r="A6374" s="5">
        <v>44496</v>
      </c>
      <c r="B6374" s="10">
        <v>43040</v>
      </c>
    </row>
    <row r="6375" spans="1:2" x14ac:dyDescent="0.3">
      <c r="A6375" s="5">
        <v>44497</v>
      </c>
      <c r="B6375" s="10">
        <v>43010</v>
      </c>
    </row>
    <row r="6376" spans="1:2" x14ac:dyDescent="0.3">
      <c r="A6376" s="5">
        <v>44498</v>
      </c>
      <c r="B6376" s="10">
        <v>42817</v>
      </c>
    </row>
    <row r="6377" spans="1:2" x14ac:dyDescent="0.3">
      <c r="A6377" s="5">
        <v>44501</v>
      </c>
      <c r="B6377" s="10">
        <v>42782</v>
      </c>
    </row>
    <row r="6378" spans="1:2" x14ac:dyDescent="0.3">
      <c r="A6378" s="5">
        <v>44502</v>
      </c>
      <c r="B6378" s="10">
        <v>42749</v>
      </c>
    </row>
    <row r="6379" spans="1:2" x14ac:dyDescent="0.3">
      <c r="A6379" s="5">
        <v>44503</v>
      </c>
      <c r="B6379" s="10">
        <v>42658</v>
      </c>
    </row>
    <row r="6380" spans="1:2" x14ac:dyDescent="0.3">
      <c r="A6380" s="5">
        <v>44504</v>
      </c>
      <c r="B6380" s="10">
        <v>42577</v>
      </c>
    </row>
    <row r="6381" spans="1:2" x14ac:dyDescent="0.3">
      <c r="A6381" s="5">
        <v>44505</v>
      </c>
      <c r="B6381" s="10">
        <v>42791</v>
      </c>
    </row>
    <row r="6382" spans="1:2" x14ac:dyDescent="0.3">
      <c r="A6382" s="5">
        <v>44508</v>
      </c>
      <c r="B6382" s="10">
        <v>42797</v>
      </c>
    </row>
    <row r="6383" spans="1:2" x14ac:dyDescent="0.3">
      <c r="A6383" s="5">
        <v>44509</v>
      </c>
      <c r="B6383" s="10">
        <v>42880</v>
      </c>
    </row>
    <row r="6384" spans="1:2" x14ac:dyDescent="0.3">
      <c r="A6384" s="5">
        <v>44510</v>
      </c>
      <c r="B6384" s="10">
        <v>42791</v>
      </c>
    </row>
    <row r="6385" spans="1:2" x14ac:dyDescent="0.3">
      <c r="A6385" s="5">
        <v>44511</v>
      </c>
      <c r="B6385" s="10">
        <v>42798</v>
      </c>
    </row>
    <row r="6386" spans="1:2" x14ac:dyDescent="0.3">
      <c r="A6386" s="5">
        <v>44512</v>
      </c>
      <c r="B6386" s="10">
        <v>42608</v>
      </c>
    </row>
    <row r="6387" spans="1:2" x14ac:dyDescent="0.3">
      <c r="A6387" s="5">
        <v>44515</v>
      </c>
      <c r="B6387" s="10">
        <v>42523</v>
      </c>
    </row>
    <row r="6388" spans="1:2" x14ac:dyDescent="0.3">
      <c r="A6388" s="5">
        <v>44516</v>
      </c>
      <c r="B6388" s="10">
        <v>42461</v>
      </c>
    </row>
    <row r="6389" spans="1:2" x14ac:dyDescent="0.3">
      <c r="A6389" s="5">
        <v>44517</v>
      </c>
      <c r="B6389" s="10">
        <v>42500</v>
      </c>
    </row>
    <row r="6390" spans="1:2" x14ac:dyDescent="0.3">
      <c r="A6390" s="5">
        <v>44518</v>
      </c>
      <c r="B6390" s="10">
        <v>42361</v>
      </c>
    </row>
    <row r="6391" spans="1:2" x14ac:dyDescent="0.3">
      <c r="A6391" s="5">
        <v>44519</v>
      </c>
      <c r="B6391" s="10">
        <v>42275</v>
      </c>
    </row>
    <row r="6392" spans="1:2" x14ac:dyDescent="0.3">
      <c r="A6392" s="5">
        <v>44523</v>
      </c>
      <c r="B6392" s="10">
        <v>42153</v>
      </c>
    </row>
    <row r="6393" spans="1:2" x14ac:dyDescent="0.3">
      <c r="A6393" s="5">
        <v>44524</v>
      </c>
      <c r="B6393" s="10">
        <v>42233</v>
      </c>
    </row>
    <row r="6394" spans="1:2" x14ac:dyDescent="0.3">
      <c r="A6394" s="5">
        <v>44525</v>
      </c>
      <c r="B6394" s="10">
        <v>42238</v>
      </c>
    </row>
    <row r="6395" spans="1:2" x14ac:dyDescent="0.3">
      <c r="A6395" s="5">
        <v>44526</v>
      </c>
      <c r="B6395" s="10">
        <v>42182</v>
      </c>
    </row>
    <row r="6396" spans="1:2" x14ac:dyDescent="0.3">
      <c r="A6396" s="5">
        <v>44529</v>
      </c>
      <c r="B6396" s="10">
        <v>42039</v>
      </c>
    </row>
    <row r="6397" spans="1:2" x14ac:dyDescent="0.3">
      <c r="A6397" s="5">
        <v>44530</v>
      </c>
      <c r="B6397" s="10">
        <v>41530</v>
      </c>
    </row>
    <row r="6398" spans="1:2" x14ac:dyDescent="0.3">
      <c r="A6398" s="5">
        <v>44531</v>
      </c>
      <c r="B6398" s="10">
        <v>41539</v>
      </c>
    </row>
    <row r="6399" spans="1:2" x14ac:dyDescent="0.3">
      <c r="A6399" s="5">
        <v>44532</v>
      </c>
      <c r="B6399" s="10">
        <v>41445</v>
      </c>
    </row>
    <row r="6400" spans="1:2" x14ac:dyDescent="0.3">
      <c r="A6400" s="5">
        <v>44533</v>
      </c>
      <c r="B6400" s="10">
        <v>41293</v>
      </c>
    </row>
    <row r="6401" spans="1:2" x14ac:dyDescent="0.3">
      <c r="A6401" s="5">
        <v>44536</v>
      </c>
      <c r="B6401" s="10">
        <v>41300</v>
      </c>
    </row>
    <row r="6402" spans="1:2" x14ac:dyDescent="0.3">
      <c r="A6402" s="5">
        <v>44537</v>
      </c>
      <c r="B6402" s="10">
        <v>41250</v>
      </c>
    </row>
    <row r="6403" spans="1:2" x14ac:dyDescent="0.3">
      <c r="A6403" s="5">
        <v>44539</v>
      </c>
      <c r="B6403" s="10">
        <v>41161</v>
      </c>
    </row>
    <row r="6404" spans="1:2" x14ac:dyDescent="0.3">
      <c r="A6404" s="5">
        <v>44540</v>
      </c>
      <c r="B6404" s="10">
        <v>41181</v>
      </c>
    </row>
    <row r="6405" spans="1:2" x14ac:dyDescent="0.3">
      <c r="A6405" s="5">
        <v>44543</v>
      </c>
      <c r="B6405" s="10">
        <v>41199</v>
      </c>
    </row>
    <row r="6406" spans="1:2" x14ac:dyDescent="0.3">
      <c r="A6406" s="5">
        <v>44544</v>
      </c>
      <c r="B6406" s="10">
        <v>41171</v>
      </c>
    </row>
    <row r="6407" spans="1:2" x14ac:dyDescent="0.3">
      <c r="A6407" s="5">
        <v>44545</v>
      </c>
      <c r="B6407" s="10">
        <v>41105</v>
      </c>
    </row>
    <row r="6408" spans="1:2" x14ac:dyDescent="0.3">
      <c r="A6408" s="5">
        <v>44546</v>
      </c>
      <c r="B6408" s="10">
        <v>41114</v>
      </c>
    </row>
    <row r="6409" spans="1:2" x14ac:dyDescent="0.3">
      <c r="A6409" s="5">
        <v>44547</v>
      </c>
      <c r="B6409" s="10">
        <v>41119</v>
      </c>
    </row>
    <row r="6410" spans="1:2" x14ac:dyDescent="0.3">
      <c r="A6410" s="5">
        <v>44550</v>
      </c>
      <c r="B6410" s="10">
        <v>41107</v>
      </c>
    </row>
    <row r="6411" spans="1:2" x14ac:dyDescent="0.3">
      <c r="A6411" s="5">
        <v>44551</v>
      </c>
      <c r="B6411" s="10">
        <v>41110</v>
      </c>
    </row>
    <row r="6412" spans="1:2" x14ac:dyDescent="0.3">
      <c r="A6412" s="5">
        <v>44552</v>
      </c>
      <c r="B6412" s="10">
        <v>39153</v>
      </c>
    </row>
    <row r="6413" spans="1:2" x14ac:dyDescent="0.3">
      <c r="A6413" s="5">
        <v>44553</v>
      </c>
      <c r="B6413" s="10">
        <v>39156</v>
      </c>
    </row>
    <row r="6414" spans="1:2" x14ac:dyDescent="0.3">
      <c r="A6414" s="5">
        <v>44557</v>
      </c>
      <c r="B6414" s="10">
        <v>39174</v>
      </c>
    </row>
    <row r="6415" spans="1:2" x14ac:dyDescent="0.3">
      <c r="A6415" s="5">
        <v>44558</v>
      </c>
      <c r="B6415" s="10">
        <v>39182</v>
      </c>
    </row>
    <row r="6416" spans="1:2" x14ac:dyDescent="0.3">
      <c r="A6416" s="5">
        <v>44559</v>
      </c>
      <c r="B6416" s="10">
        <v>39127</v>
      </c>
    </row>
    <row r="6417" spans="1:2" x14ac:dyDescent="0.3">
      <c r="A6417" s="5">
        <v>44560</v>
      </c>
      <c r="B6417" s="10">
        <v>39662</v>
      </c>
    </row>
    <row r="6418" spans="1:2" x14ac:dyDescent="0.3">
      <c r="A6418" s="5">
        <v>44564</v>
      </c>
      <c r="B6418" s="10">
        <v>39596</v>
      </c>
    </row>
    <row r="6419" spans="1:2" x14ac:dyDescent="0.3">
      <c r="A6419" s="5">
        <v>44565</v>
      </c>
      <c r="B6419" s="10">
        <v>39575</v>
      </c>
    </row>
    <row r="6420" spans="1:2" x14ac:dyDescent="0.3">
      <c r="A6420" s="5">
        <v>44566</v>
      </c>
      <c r="B6420" s="10">
        <v>39587</v>
      </c>
    </row>
    <row r="6421" spans="1:2" x14ac:dyDescent="0.3">
      <c r="A6421" s="5">
        <v>44567</v>
      </c>
      <c r="B6421" s="10">
        <v>39466</v>
      </c>
    </row>
    <row r="6422" spans="1:2" x14ac:dyDescent="0.3">
      <c r="A6422" s="5">
        <v>44568</v>
      </c>
      <c r="B6422" s="10">
        <v>39122</v>
      </c>
    </row>
    <row r="6423" spans="1:2" x14ac:dyDescent="0.3">
      <c r="A6423" s="5">
        <v>44571</v>
      </c>
      <c r="B6423" s="10">
        <v>39172</v>
      </c>
    </row>
    <row r="6424" spans="1:2" x14ac:dyDescent="0.3">
      <c r="A6424" s="5">
        <v>44572</v>
      </c>
      <c r="B6424" s="10">
        <v>39191</v>
      </c>
    </row>
    <row r="6425" spans="1:2" x14ac:dyDescent="0.3">
      <c r="A6425" s="5">
        <v>44573</v>
      </c>
      <c r="B6425" s="10">
        <v>39200</v>
      </c>
    </row>
    <row r="6426" spans="1:2" x14ac:dyDescent="0.3">
      <c r="A6426" s="5">
        <v>44574</v>
      </c>
      <c r="B6426" s="10">
        <v>39205</v>
      </c>
    </row>
    <row r="6427" spans="1:2" x14ac:dyDescent="0.3">
      <c r="A6427" s="5">
        <v>44575</v>
      </c>
      <c r="B6427" s="10">
        <v>39133</v>
      </c>
    </row>
    <row r="6428" spans="1:2" x14ac:dyDescent="0.3">
      <c r="A6428" s="5">
        <v>44578</v>
      </c>
      <c r="B6428" s="10">
        <v>39141</v>
      </c>
    </row>
    <row r="6429" spans="1:2" x14ac:dyDescent="0.3">
      <c r="A6429" s="5">
        <v>44579</v>
      </c>
      <c r="B6429" s="10">
        <v>39091</v>
      </c>
    </row>
    <row r="6430" spans="1:2" x14ac:dyDescent="0.3">
      <c r="A6430" s="5">
        <v>44580</v>
      </c>
      <c r="B6430" s="10">
        <v>39033</v>
      </c>
    </row>
    <row r="6431" spans="1:2" x14ac:dyDescent="0.3">
      <c r="A6431" s="5">
        <v>44581</v>
      </c>
      <c r="B6431" s="10">
        <v>38944</v>
      </c>
    </row>
    <row r="6432" spans="1:2" x14ac:dyDescent="0.3">
      <c r="A6432" s="5">
        <v>44582</v>
      </c>
      <c r="B6432" s="10">
        <v>38945</v>
      </c>
    </row>
    <row r="6433" spans="1:2" x14ac:dyDescent="0.3">
      <c r="A6433" s="5">
        <v>44585</v>
      </c>
      <c r="B6433" s="10">
        <v>38951</v>
      </c>
    </row>
    <row r="6434" spans="1:2" x14ac:dyDescent="0.3">
      <c r="A6434" s="5">
        <v>44586</v>
      </c>
      <c r="B6434" s="10">
        <v>38952</v>
      </c>
    </row>
    <row r="6435" spans="1:2" x14ac:dyDescent="0.3">
      <c r="A6435" s="5">
        <v>44587</v>
      </c>
      <c r="B6435" s="10">
        <v>38872</v>
      </c>
    </row>
    <row r="6436" spans="1:2" x14ac:dyDescent="0.3">
      <c r="A6436" s="5">
        <v>44588</v>
      </c>
      <c r="B6436" s="10">
        <v>38517</v>
      </c>
    </row>
    <row r="6437" spans="1:2" x14ac:dyDescent="0.3">
      <c r="A6437" s="5">
        <v>44589</v>
      </c>
      <c r="B6437" s="10">
        <v>37622</v>
      </c>
    </row>
    <row r="6438" spans="1:2" x14ac:dyDescent="0.3">
      <c r="A6438" s="5">
        <v>44592</v>
      </c>
      <c r="B6438" s="10">
        <v>37589</v>
      </c>
    </row>
    <row r="6439" spans="1:2" x14ac:dyDescent="0.3">
      <c r="A6439" s="5">
        <v>44593</v>
      </c>
      <c r="B6439" s="10">
        <v>37560</v>
      </c>
    </row>
    <row r="6440" spans="1:2" x14ac:dyDescent="0.3">
      <c r="A6440" s="5">
        <v>44594</v>
      </c>
      <c r="B6440" s="10">
        <v>37562</v>
      </c>
    </row>
    <row r="6441" spans="1:2" x14ac:dyDescent="0.3">
      <c r="A6441" s="5">
        <v>44595</v>
      </c>
      <c r="B6441" s="10">
        <v>37565</v>
      </c>
    </row>
    <row r="6442" spans="1:2" x14ac:dyDescent="0.3">
      <c r="A6442" s="5">
        <v>44596</v>
      </c>
      <c r="B6442" s="10">
        <v>37189</v>
      </c>
    </row>
    <row r="6443" spans="1:2" x14ac:dyDescent="0.3">
      <c r="A6443" s="5">
        <v>44599</v>
      </c>
      <c r="B6443" s="10">
        <v>37213</v>
      </c>
    </row>
    <row r="6444" spans="1:2" x14ac:dyDescent="0.3">
      <c r="A6444" s="5">
        <v>44600</v>
      </c>
      <c r="B6444" s="10">
        <v>37218</v>
      </c>
    </row>
    <row r="6445" spans="1:2" x14ac:dyDescent="0.3">
      <c r="A6445" s="5">
        <v>44601</v>
      </c>
      <c r="B6445" s="10">
        <v>37230</v>
      </c>
    </row>
    <row r="6446" spans="1:2" x14ac:dyDescent="0.3">
      <c r="A6446" s="5">
        <v>44602</v>
      </c>
      <c r="B6446" s="10">
        <v>37233</v>
      </c>
    </row>
    <row r="6447" spans="1:2" x14ac:dyDescent="0.3">
      <c r="A6447" s="5">
        <v>44603</v>
      </c>
      <c r="B6447" s="10">
        <v>37241</v>
      </c>
    </row>
    <row r="6448" spans="1:2" x14ac:dyDescent="0.3">
      <c r="A6448" s="5">
        <v>44606</v>
      </c>
      <c r="B6448" s="10">
        <v>37265</v>
      </c>
    </row>
    <row r="6449" spans="1:2" x14ac:dyDescent="0.3">
      <c r="A6449" s="5">
        <v>44607</v>
      </c>
      <c r="B6449" s="10">
        <v>37281</v>
      </c>
    </row>
    <row r="6450" spans="1:2" x14ac:dyDescent="0.3">
      <c r="A6450" s="5">
        <v>44608</v>
      </c>
      <c r="B6450" s="10">
        <v>37306</v>
      </c>
    </row>
    <row r="6451" spans="1:2" x14ac:dyDescent="0.3">
      <c r="A6451" s="5">
        <v>44609</v>
      </c>
      <c r="B6451" s="10">
        <v>37317</v>
      </c>
    </row>
    <row r="6452" spans="1:2" x14ac:dyDescent="0.3">
      <c r="A6452" s="5">
        <v>44610</v>
      </c>
      <c r="B6452" s="10">
        <v>37353</v>
      </c>
    </row>
    <row r="6453" spans="1:2" x14ac:dyDescent="0.3">
      <c r="A6453" s="5">
        <v>44613</v>
      </c>
      <c r="B6453" s="10">
        <v>37322</v>
      </c>
    </row>
    <row r="6454" spans="1:2" x14ac:dyDescent="0.3">
      <c r="A6454" s="5">
        <v>44614</v>
      </c>
      <c r="B6454" s="10">
        <v>37260</v>
      </c>
    </row>
    <row r="6455" spans="1:2" x14ac:dyDescent="0.3">
      <c r="A6455" s="5">
        <v>44615</v>
      </c>
      <c r="B6455" s="10">
        <v>37235</v>
      </c>
    </row>
    <row r="6456" spans="1:2" x14ac:dyDescent="0.3">
      <c r="A6456" s="5">
        <v>44616</v>
      </c>
      <c r="B6456" s="10">
        <v>37079</v>
      </c>
    </row>
    <row r="6457" spans="1:2" x14ac:dyDescent="0.3">
      <c r="A6457" s="5">
        <v>44617</v>
      </c>
      <c r="B6457" s="10">
        <v>37018</v>
      </c>
    </row>
    <row r="6458" spans="1:2" x14ac:dyDescent="0.3">
      <c r="A6458" s="5">
        <v>44622</v>
      </c>
      <c r="B6458" s="10">
        <v>37045</v>
      </c>
    </row>
    <row r="6459" spans="1:2" x14ac:dyDescent="0.3">
      <c r="A6459" s="5">
        <v>44623</v>
      </c>
      <c r="B6459" s="10">
        <v>37067</v>
      </c>
    </row>
    <row r="6460" spans="1:2" x14ac:dyDescent="0.3">
      <c r="A6460" s="5">
        <v>44624</v>
      </c>
      <c r="B6460" s="10">
        <v>37107</v>
      </c>
    </row>
    <row r="6461" spans="1:2" x14ac:dyDescent="0.3">
      <c r="A6461" s="5">
        <v>44627</v>
      </c>
      <c r="B6461" s="10">
        <v>37329</v>
      </c>
    </row>
    <row r="6462" spans="1:2" x14ac:dyDescent="0.3">
      <c r="A6462" s="5">
        <v>44628</v>
      </c>
      <c r="B6462" s="10">
        <v>37380</v>
      </c>
    </row>
    <row r="6463" spans="1:2" x14ac:dyDescent="0.3">
      <c r="A6463" s="5">
        <v>44629</v>
      </c>
      <c r="B6463" s="10">
        <v>37313</v>
      </c>
    </row>
    <row r="6464" spans="1:2" x14ac:dyDescent="0.3">
      <c r="A6464" s="5">
        <v>44630</v>
      </c>
      <c r="B6464" s="10">
        <v>37321</v>
      </c>
    </row>
    <row r="6465" spans="1:2" x14ac:dyDescent="0.3">
      <c r="A6465" s="5">
        <v>44631</v>
      </c>
      <c r="B6465" s="10">
        <v>37262</v>
      </c>
    </row>
    <row r="6466" spans="1:2" x14ac:dyDescent="0.3">
      <c r="A6466" s="5">
        <v>44634</v>
      </c>
      <c r="B6466" s="10">
        <v>37221</v>
      </c>
    </row>
    <row r="6467" spans="1:2" x14ac:dyDescent="0.3">
      <c r="A6467" s="5">
        <v>44635</v>
      </c>
      <c r="B6467" s="10">
        <v>37031</v>
      </c>
    </row>
    <row r="6468" spans="1:2" x14ac:dyDescent="0.3">
      <c r="A6468" s="5">
        <v>44636</v>
      </c>
      <c r="B6468" s="10">
        <v>37064</v>
      </c>
    </row>
    <row r="6469" spans="1:2" x14ac:dyDescent="0.3">
      <c r="A6469" s="5">
        <v>44637</v>
      </c>
      <c r="B6469" s="10">
        <v>37039</v>
      </c>
    </row>
    <row r="6470" spans="1:2" x14ac:dyDescent="0.3">
      <c r="A6470" s="5">
        <v>44638</v>
      </c>
      <c r="B6470" s="10">
        <v>37014</v>
      </c>
    </row>
    <row r="6471" spans="1:2" x14ac:dyDescent="0.3">
      <c r="A6471" s="5">
        <v>44641</v>
      </c>
      <c r="B6471" s="10">
        <v>37018</v>
      </c>
    </row>
    <row r="6472" spans="1:2" x14ac:dyDescent="0.3">
      <c r="A6472" s="5">
        <v>44642</v>
      </c>
      <c r="B6472" s="10">
        <v>37020</v>
      </c>
    </row>
    <row r="6473" spans="1:2" x14ac:dyDescent="0.3">
      <c r="A6473" s="5">
        <v>44643</v>
      </c>
      <c r="B6473" s="10">
        <v>37075</v>
      </c>
    </row>
    <row r="6474" spans="1:2" x14ac:dyDescent="0.3">
      <c r="A6474" s="5">
        <v>44645</v>
      </c>
      <c r="B6474" s="10">
        <v>43321</v>
      </c>
    </row>
    <row r="6475" spans="1:2" x14ac:dyDescent="0.3">
      <c r="A6475" s="5">
        <v>44648</v>
      </c>
      <c r="B6475" s="10">
        <v>43247</v>
      </c>
    </row>
    <row r="6476" spans="1:2" x14ac:dyDescent="0.3">
      <c r="A6476" s="5">
        <v>44649</v>
      </c>
      <c r="B6476" s="10">
        <v>43160</v>
      </c>
    </row>
    <row r="6477" spans="1:2" x14ac:dyDescent="0.3">
      <c r="A6477" s="5">
        <v>44650</v>
      </c>
      <c r="B6477" s="10">
        <v>43187</v>
      </c>
    </row>
    <row r="6478" spans="1:2" x14ac:dyDescent="0.3">
      <c r="A6478" s="5">
        <v>44651</v>
      </c>
      <c r="B6478" s="10">
        <v>43137</v>
      </c>
    </row>
    <row r="6479" spans="1:2" x14ac:dyDescent="0.3">
      <c r="A6479" s="5">
        <v>44652</v>
      </c>
      <c r="B6479" s="10">
        <v>43074</v>
      </c>
    </row>
    <row r="6480" spans="1:2" x14ac:dyDescent="0.3">
      <c r="A6480" s="5">
        <v>44655</v>
      </c>
      <c r="B6480" s="10">
        <v>43126</v>
      </c>
    </row>
    <row r="6481" spans="1:2" x14ac:dyDescent="0.3">
      <c r="A6481" s="5">
        <v>44656</v>
      </c>
      <c r="B6481" s="10">
        <v>43141</v>
      </c>
    </row>
    <row r="6482" spans="1:2" x14ac:dyDescent="0.3">
      <c r="A6482" s="5">
        <v>44657</v>
      </c>
      <c r="B6482" s="10">
        <v>43182</v>
      </c>
    </row>
    <row r="6483" spans="1:2" x14ac:dyDescent="0.3">
      <c r="A6483" s="5">
        <v>44658</v>
      </c>
      <c r="B6483" s="10">
        <v>43229</v>
      </c>
    </row>
    <row r="6484" spans="1:2" x14ac:dyDescent="0.3">
      <c r="A6484" s="5">
        <v>44659</v>
      </c>
      <c r="B6484" s="10">
        <v>43236</v>
      </c>
    </row>
    <row r="6485" spans="1:2" x14ac:dyDescent="0.3">
      <c r="A6485" s="5">
        <v>44662</v>
      </c>
      <c r="B6485" s="10">
        <v>43239</v>
      </c>
    </row>
    <row r="6486" spans="1:2" x14ac:dyDescent="0.3">
      <c r="A6486" s="5">
        <v>44663</v>
      </c>
      <c r="B6486" s="10">
        <v>43319</v>
      </c>
    </row>
    <row r="6487" spans="1:2" x14ac:dyDescent="0.3">
      <c r="A6487" s="5">
        <v>44664</v>
      </c>
      <c r="B6487" s="10">
        <v>43303</v>
      </c>
    </row>
    <row r="6488" spans="1:2" x14ac:dyDescent="0.3">
      <c r="A6488" s="5">
        <v>44669</v>
      </c>
      <c r="B6488" s="10">
        <v>43311</v>
      </c>
    </row>
    <row r="6489" spans="1:2" x14ac:dyDescent="0.3">
      <c r="A6489" s="5">
        <v>44670</v>
      </c>
      <c r="B6489" s="10">
        <v>43224</v>
      </c>
    </row>
    <row r="6490" spans="1:2" x14ac:dyDescent="0.3">
      <c r="A6490" s="5">
        <v>44671</v>
      </c>
      <c r="B6490" s="10">
        <v>43136</v>
      </c>
    </row>
    <row r="6491" spans="1:2" x14ac:dyDescent="0.3">
      <c r="A6491" s="5">
        <v>44672</v>
      </c>
      <c r="B6491" s="10">
        <v>43065</v>
      </c>
    </row>
    <row r="6492" spans="1:2" x14ac:dyDescent="0.3">
      <c r="A6492" s="5">
        <v>44673</v>
      </c>
      <c r="B6492" s="10">
        <v>42867</v>
      </c>
    </row>
    <row r="6493" spans="1:2" x14ac:dyDescent="0.3">
      <c r="A6493" s="5">
        <v>44676</v>
      </c>
      <c r="B6493" s="10">
        <v>42638</v>
      </c>
    </row>
    <row r="6494" spans="1:2" x14ac:dyDescent="0.3">
      <c r="A6494" s="5">
        <v>44677</v>
      </c>
      <c r="B6494" s="10">
        <v>42646</v>
      </c>
    </row>
    <row r="6495" spans="1:2" x14ac:dyDescent="0.3">
      <c r="A6495" s="5">
        <v>44678</v>
      </c>
      <c r="B6495" s="10">
        <v>42557</v>
      </c>
    </row>
    <row r="6496" spans="1:2" x14ac:dyDescent="0.3">
      <c r="A6496" s="5">
        <v>44679</v>
      </c>
      <c r="B6496" s="10">
        <v>42465</v>
      </c>
    </row>
    <row r="6497" spans="1:2" x14ac:dyDescent="0.3">
      <c r="A6497" s="5">
        <v>44680</v>
      </c>
      <c r="B6497" s="10">
        <v>42007</v>
      </c>
    </row>
    <row r="6498" spans="1:2" x14ac:dyDescent="0.3">
      <c r="A6498" s="5">
        <v>44683</v>
      </c>
      <c r="B6498" s="10">
        <v>42067</v>
      </c>
    </row>
    <row r="6499" spans="1:2" x14ac:dyDescent="0.3">
      <c r="A6499" s="5">
        <v>44684</v>
      </c>
      <c r="B6499" s="10">
        <v>42121</v>
      </c>
    </row>
    <row r="6500" spans="1:2" x14ac:dyDescent="0.3">
      <c r="A6500" s="5">
        <v>44685</v>
      </c>
      <c r="B6500" s="10">
        <v>42172</v>
      </c>
    </row>
    <row r="6501" spans="1:2" x14ac:dyDescent="0.3">
      <c r="A6501" s="5">
        <v>44686</v>
      </c>
      <c r="B6501" s="10">
        <v>41797</v>
      </c>
    </row>
    <row r="6502" spans="1:2" x14ac:dyDescent="0.3">
      <c r="A6502" s="5">
        <v>44687</v>
      </c>
      <c r="B6502" s="10">
        <v>41816</v>
      </c>
    </row>
    <row r="6503" spans="1:2" x14ac:dyDescent="0.3">
      <c r="A6503" s="5">
        <v>44690</v>
      </c>
      <c r="B6503" s="10">
        <v>41629</v>
      </c>
    </row>
    <row r="6504" spans="1:2" x14ac:dyDescent="0.3">
      <c r="A6504" s="5">
        <v>44691</v>
      </c>
      <c r="B6504" s="10">
        <v>41620</v>
      </c>
    </row>
    <row r="6505" spans="1:2" x14ac:dyDescent="0.3">
      <c r="A6505" s="5">
        <v>44692</v>
      </c>
      <c r="B6505" s="10">
        <v>41625</v>
      </c>
    </row>
    <row r="6506" spans="1:2" x14ac:dyDescent="0.3">
      <c r="A6506" s="5">
        <v>44693</v>
      </c>
      <c r="B6506" s="10">
        <v>41342</v>
      </c>
    </row>
    <row r="6507" spans="1:2" x14ac:dyDescent="0.3">
      <c r="A6507" s="5">
        <v>44694</v>
      </c>
      <c r="B6507" s="10">
        <v>41290</v>
      </c>
    </row>
    <row r="6508" spans="1:2" x14ac:dyDescent="0.3">
      <c r="A6508" s="5">
        <v>44697</v>
      </c>
      <c r="B6508" s="10">
        <v>41358</v>
      </c>
    </row>
    <row r="6509" spans="1:2" x14ac:dyDescent="0.3">
      <c r="A6509" s="5">
        <v>44698</v>
      </c>
      <c r="B6509" s="10">
        <v>41396</v>
      </c>
    </row>
    <row r="6510" spans="1:2" x14ac:dyDescent="0.3">
      <c r="A6510" s="5">
        <v>44700</v>
      </c>
      <c r="B6510" s="10">
        <v>41486</v>
      </c>
    </row>
    <row r="6511" spans="1:2" x14ac:dyDescent="0.3">
      <c r="A6511" s="5">
        <v>44701</v>
      </c>
      <c r="B6511" s="10">
        <v>41541</v>
      </c>
    </row>
    <row r="6512" spans="1:2" x14ac:dyDescent="0.3">
      <c r="A6512" s="5">
        <v>44704</v>
      </c>
      <c r="B6512" s="10">
        <v>41647</v>
      </c>
    </row>
    <row r="6513" spans="1:2" x14ac:dyDescent="0.3">
      <c r="A6513" s="5">
        <v>44705</v>
      </c>
      <c r="B6513" s="10">
        <v>41654</v>
      </c>
    </row>
    <row r="6514" spans="1:2" x14ac:dyDescent="0.3">
      <c r="A6514" s="5">
        <v>44707</v>
      </c>
      <c r="B6514" s="10">
        <v>41466</v>
      </c>
    </row>
    <row r="6515" spans="1:2" x14ac:dyDescent="0.3">
      <c r="A6515" s="5">
        <v>44708</v>
      </c>
      <c r="B6515" s="10">
        <v>41544</v>
      </c>
    </row>
    <row r="6516" spans="1:2" x14ac:dyDescent="0.3">
      <c r="A6516" s="5">
        <v>44711</v>
      </c>
      <c r="B6516" s="10">
        <v>41650</v>
      </c>
    </row>
    <row r="6517" spans="1:2" x14ac:dyDescent="0.3">
      <c r="A6517" s="5">
        <v>44712</v>
      </c>
      <c r="B6517" s="10">
        <v>41561</v>
      </c>
    </row>
    <row r="6518" spans="1:2" x14ac:dyDescent="0.3">
      <c r="A6518" s="5">
        <v>44713</v>
      </c>
      <c r="B6518" s="10">
        <v>41573</v>
      </c>
    </row>
    <row r="6519" spans="1:2" x14ac:dyDescent="0.3">
      <c r="A6519" s="5">
        <v>44714</v>
      </c>
      <c r="B6519" s="10">
        <v>41600</v>
      </c>
    </row>
    <row r="6520" spans="1:2" x14ac:dyDescent="0.3">
      <c r="A6520" s="5">
        <v>44715</v>
      </c>
      <c r="B6520" s="10">
        <v>41613</v>
      </c>
    </row>
    <row r="6521" spans="1:2" x14ac:dyDescent="0.3">
      <c r="A6521" s="5">
        <v>44718</v>
      </c>
      <c r="B6521" s="10">
        <v>41622</v>
      </c>
    </row>
    <row r="6522" spans="1:2" x14ac:dyDescent="0.3">
      <c r="A6522" s="5">
        <v>44719</v>
      </c>
      <c r="B6522" s="10">
        <v>41642</v>
      </c>
    </row>
    <row r="6523" spans="1:2" x14ac:dyDescent="0.3">
      <c r="A6523" s="5">
        <v>44720</v>
      </c>
      <c r="B6523" s="10">
        <v>41621</v>
      </c>
    </row>
    <row r="6524" spans="1:2" x14ac:dyDescent="0.3">
      <c r="A6524" s="5">
        <v>44721</v>
      </c>
      <c r="B6524" s="10">
        <v>41627</v>
      </c>
    </row>
    <row r="6525" spans="1:2" x14ac:dyDescent="0.3">
      <c r="A6525" s="5">
        <v>44722</v>
      </c>
      <c r="B6525" s="10">
        <v>41597</v>
      </c>
    </row>
    <row r="6526" spans="1:2" x14ac:dyDescent="0.3">
      <c r="A6526" s="5">
        <v>44725</v>
      </c>
      <c r="B6526" s="10">
        <v>41352</v>
      </c>
    </row>
    <row r="6527" spans="1:2" x14ac:dyDescent="0.3">
      <c r="A6527" s="5">
        <v>44726</v>
      </c>
      <c r="B6527" s="10">
        <v>41231</v>
      </c>
    </row>
    <row r="6528" spans="1:2" x14ac:dyDescent="0.3">
      <c r="A6528" s="5">
        <v>44727</v>
      </c>
      <c r="B6528" s="10">
        <v>41096</v>
      </c>
    </row>
    <row r="6529" spans="1:2" x14ac:dyDescent="0.3">
      <c r="A6529" s="5">
        <v>44728</v>
      </c>
      <c r="B6529" s="10">
        <v>40903</v>
      </c>
    </row>
    <row r="6530" spans="1:2" x14ac:dyDescent="0.3">
      <c r="A6530" s="5">
        <v>44733</v>
      </c>
      <c r="B6530" s="10">
        <v>40011</v>
      </c>
    </row>
    <row r="6531" spans="1:2" x14ac:dyDescent="0.3">
      <c r="A6531" s="5">
        <v>44734</v>
      </c>
      <c r="B6531" s="10">
        <v>38231</v>
      </c>
    </row>
    <row r="6532" spans="1:2" x14ac:dyDescent="0.3">
      <c r="A6532" s="5">
        <v>44735</v>
      </c>
      <c r="B6532" s="10">
        <v>38085</v>
      </c>
    </row>
    <row r="6533" spans="1:2" x14ac:dyDescent="0.3">
      <c r="A6533" s="5">
        <v>44736</v>
      </c>
      <c r="B6533" s="10">
        <v>38006</v>
      </c>
    </row>
    <row r="6534" spans="1:2" x14ac:dyDescent="0.3">
      <c r="A6534" s="5">
        <v>44739</v>
      </c>
      <c r="B6534" s="10">
        <v>38119</v>
      </c>
    </row>
    <row r="6535" spans="1:2" x14ac:dyDescent="0.3">
      <c r="A6535" s="5">
        <v>44740</v>
      </c>
      <c r="B6535" s="10">
        <v>42164</v>
      </c>
    </row>
    <row r="6536" spans="1:2" x14ac:dyDescent="0.3">
      <c r="A6536" s="5">
        <v>44741</v>
      </c>
      <c r="B6536" s="10">
        <v>42472</v>
      </c>
    </row>
    <row r="6537" spans="1:2" x14ac:dyDescent="0.3">
      <c r="A6537" s="5">
        <v>44742</v>
      </c>
      <c r="B6537" s="10">
        <v>42787</v>
      </c>
    </row>
    <row r="6538" spans="1:2" x14ac:dyDescent="0.3">
      <c r="A6538" s="5">
        <v>44743</v>
      </c>
      <c r="B6538" s="10">
        <v>42358</v>
      </c>
    </row>
    <row r="6539" spans="1:2" x14ac:dyDescent="0.3">
      <c r="A6539" s="5">
        <v>44746</v>
      </c>
      <c r="B6539" s="10">
        <v>42367</v>
      </c>
    </row>
    <row r="6540" spans="1:2" x14ac:dyDescent="0.3">
      <c r="A6540" s="5">
        <v>44747</v>
      </c>
      <c r="B6540" s="10">
        <v>42316</v>
      </c>
    </row>
    <row r="6541" spans="1:2" x14ac:dyDescent="0.3">
      <c r="A6541" s="5">
        <v>44748</v>
      </c>
      <c r="B6541" s="10">
        <v>42275</v>
      </c>
    </row>
    <row r="6542" spans="1:2" x14ac:dyDescent="0.3">
      <c r="A6542" s="5">
        <v>44749</v>
      </c>
      <c r="B6542" s="10">
        <v>42211</v>
      </c>
    </row>
    <row r="6543" spans="1:2" x14ac:dyDescent="0.3">
      <c r="A6543" s="5">
        <v>44750</v>
      </c>
      <c r="B6543" s="10">
        <v>40455</v>
      </c>
    </row>
    <row r="6544" spans="1:2" x14ac:dyDescent="0.3">
      <c r="A6544" s="5">
        <v>44753</v>
      </c>
      <c r="B6544" s="10">
        <v>40457</v>
      </c>
    </row>
    <row r="6545" spans="1:2" x14ac:dyDescent="0.3">
      <c r="A6545" s="5">
        <v>44754</v>
      </c>
      <c r="B6545" s="10">
        <v>40397</v>
      </c>
    </row>
    <row r="6546" spans="1:2" x14ac:dyDescent="0.3">
      <c r="A6546" s="5">
        <v>44755</v>
      </c>
      <c r="B6546" s="10">
        <v>40403</v>
      </c>
    </row>
    <row r="6547" spans="1:2" x14ac:dyDescent="0.3">
      <c r="A6547" s="5">
        <v>44756</v>
      </c>
      <c r="B6547" s="10">
        <v>40132</v>
      </c>
    </row>
    <row r="6548" spans="1:2" x14ac:dyDescent="0.3">
      <c r="A6548" s="5">
        <v>44757</v>
      </c>
      <c r="B6548" s="10">
        <v>40147</v>
      </c>
    </row>
    <row r="6549" spans="1:2" x14ac:dyDescent="0.3">
      <c r="A6549" s="5">
        <v>44760</v>
      </c>
      <c r="B6549" s="10">
        <v>40014</v>
      </c>
    </row>
    <row r="6550" spans="1:2" x14ac:dyDescent="0.3">
      <c r="A6550" s="5">
        <v>44761</v>
      </c>
      <c r="B6550" s="10">
        <v>39864</v>
      </c>
    </row>
    <row r="6551" spans="1:2" x14ac:dyDescent="0.3">
      <c r="A6551" s="5">
        <v>44762</v>
      </c>
      <c r="B6551" s="10">
        <v>39747</v>
      </c>
    </row>
    <row r="6552" spans="1:2" x14ac:dyDescent="0.3">
      <c r="A6552" s="5">
        <v>44763</v>
      </c>
      <c r="B6552" s="10">
        <v>39681</v>
      </c>
    </row>
    <row r="6553" spans="1:2" x14ac:dyDescent="0.3">
      <c r="A6553" s="5">
        <v>44764</v>
      </c>
      <c r="B6553" s="10">
        <v>39718</v>
      </c>
    </row>
    <row r="6554" spans="1:2" x14ac:dyDescent="0.3">
      <c r="A6554" s="5">
        <v>44767</v>
      </c>
      <c r="B6554" s="10">
        <v>39760</v>
      </c>
    </row>
    <row r="6555" spans="1:2" x14ac:dyDescent="0.3">
      <c r="A6555" s="5">
        <v>44768</v>
      </c>
      <c r="B6555" s="10">
        <v>39464</v>
      </c>
    </row>
    <row r="6556" spans="1:2" x14ac:dyDescent="0.3">
      <c r="A6556" s="5">
        <v>44769</v>
      </c>
      <c r="B6556" s="10">
        <v>39354</v>
      </c>
    </row>
    <row r="6557" spans="1:2" x14ac:dyDescent="0.3">
      <c r="A6557" s="5">
        <v>44770</v>
      </c>
      <c r="B6557" s="10">
        <v>39217</v>
      </c>
    </row>
    <row r="6558" spans="1:2" x14ac:dyDescent="0.3">
      <c r="A6558" s="5">
        <v>44771</v>
      </c>
      <c r="B6558" s="10">
        <v>38232</v>
      </c>
    </row>
    <row r="6559" spans="1:2" x14ac:dyDescent="0.3">
      <c r="A6559" s="5">
        <v>44774</v>
      </c>
      <c r="B6559" s="10">
        <v>38039</v>
      </c>
    </row>
    <row r="6560" spans="1:2" x14ac:dyDescent="0.3">
      <c r="A6560" s="5">
        <v>44775</v>
      </c>
      <c r="B6560" s="10">
        <v>38010</v>
      </c>
    </row>
    <row r="6561" spans="1:2" x14ac:dyDescent="0.3">
      <c r="A6561" s="5">
        <v>44776</v>
      </c>
      <c r="B6561" s="10">
        <v>37819</v>
      </c>
    </row>
    <row r="6562" spans="1:2" x14ac:dyDescent="0.3">
      <c r="A6562" s="5">
        <v>44777</v>
      </c>
      <c r="B6562" s="10">
        <v>37334</v>
      </c>
    </row>
    <row r="6563" spans="1:2" x14ac:dyDescent="0.3">
      <c r="A6563" s="5">
        <v>44778</v>
      </c>
      <c r="B6563" s="10">
        <v>37213</v>
      </c>
    </row>
    <row r="6564" spans="1:2" x14ac:dyDescent="0.3">
      <c r="A6564" s="5">
        <v>44781</v>
      </c>
      <c r="B6564" s="10">
        <v>37155</v>
      </c>
    </row>
    <row r="6565" spans="1:2" x14ac:dyDescent="0.3">
      <c r="A6565" s="5">
        <v>44782</v>
      </c>
      <c r="B6565" s="10">
        <v>37054</v>
      </c>
    </row>
    <row r="6566" spans="1:2" x14ac:dyDescent="0.3">
      <c r="A6566" s="5">
        <v>44783</v>
      </c>
      <c r="B6566" s="10">
        <v>37081</v>
      </c>
    </row>
    <row r="6567" spans="1:2" x14ac:dyDescent="0.3">
      <c r="A6567" s="5">
        <v>44784</v>
      </c>
      <c r="B6567" s="10">
        <v>37010</v>
      </c>
    </row>
    <row r="6568" spans="1:2" x14ac:dyDescent="0.3">
      <c r="A6568" s="5">
        <v>44785</v>
      </c>
      <c r="B6568" s="10">
        <v>37018</v>
      </c>
    </row>
    <row r="6569" spans="1:2" x14ac:dyDescent="0.3">
      <c r="A6569" s="5">
        <v>44789</v>
      </c>
      <c r="B6569" s="10">
        <v>36867</v>
      </c>
    </row>
    <row r="6570" spans="1:2" x14ac:dyDescent="0.3">
      <c r="A6570" s="5">
        <v>44790</v>
      </c>
      <c r="B6570" s="10">
        <v>36952</v>
      </c>
    </row>
    <row r="6571" spans="1:2" x14ac:dyDescent="0.3">
      <c r="A6571" s="5">
        <v>44791</v>
      </c>
      <c r="B6571" s="10">
        <v>37122</v>
      </c>
    </row>
    <row r="6572" spans="1:2" x14ac:dyDescent="0.3">
      <c r="A6572" s="5">
        <v>44792</v>
      </c>
      <c r="B6572" s="10">
        <v>37066</v>
      </c>
    </row>
    <row r="6573" spans="1:2" x14ac:dyDescent="0.3">
      <c r="A6573" s="5">
        <v>44795</v>
      </c>
      <c r="B6573" s="10">
        <v>36981</v>
      </c>
    </row>
    <row r="6574" spans="1:2" x14ac:dyDescent="0.3">
      <c r="A6574" s="5">
        <v>44796</v>
      </c>
      <c r="B6574" s="10">
        <v>37024</v>
      </c>
    </row>
    <row r="6575" spans="1:2" x14ac:dyDescent="0.3">
      <c r="A6575" s="5">
        <v>44797</v>
      </c>
      <c r="B6575" s="10">
        <v>37004</v>
      </c>
    </row>
    <row r="6576" spans="1:2" x14ac:dyDescent="0.3">
      <c r="A6576" s="5">
        <v>44798</v>
      </c>
      <c r="B6576" s="10">
        <v>37027</v>
      </c>
    </row>
    <row r="6577" spans="1:2" x14ac:dyDescent="0.3">
      <c r="A6577" s="5">
        <v>44799</v>
      </c>
      <c r="B6577" s="10">
        <v>36932</v>
      </c>
    </row>
    <row r="6578" spans="1:2" x14ac:dyDescent="0.3">
      <c r="A6578" s="5">
        <v>44802</v>
      </c>
      <c r="B6578" s="10">
        <v>36841</v>
      </c>
    </row>
    <row r="6579" spans="1:2" x14ac:dyDescent="0.3">
      <c r="A6579" s="5">
        <v>44803</v>
      </c>
      <c r="B6579" s="10">
        <v>36846</v>
      </c>
    </row>
    <row r="6580" spans="1:2" x14ac:dyDescent="0.3">
      <c r="A6580" s="5">
        <v>44804</v>
      </c>
      <c r="B6580" s="10">
        <v>36734</v>
      </c>
    </row>
    <row r="6581" spans="1:2" x14ac:dyDescent="0.3">
      <c r="A6581" s="5">
        <v>44805</v>
      </c>
      <c r="B6581" s="10">
        <v>36642</v>
      </c>
    </row>
    <row r="6582" spans="1:2" x14ac:dyDescent="0.3">
      <c r="A6582" s="5">
        <v>44809</v>
      </c>
      <c r="B6582" s="10">
        <v>36577</v>
      </c>
    </row>
    <row r="6583" spans="1:2" x14ac:dyDescent="0.3">
      <c r="A6583" s="5">
        <v>44810</v>
      </c>
      <c r="B6583" s="10">
        <v>36630</v>
      </c>
    </row>
    <row r="6584" spans="1:2" x14ac:dyDescent="0.3">
      <c r="A6584" s="5">
        <v>44811</v>
      </c>
      <c r="B6584" s="10">
        <v>36861</v>
      </c>
    </row>
    <row r="6585" spans="1:2" x14ac:dyDescent="0.3">
      <c r="A6585" s="5">
        <v>44812</v>
      </c>
      <c r="B6585" s="10">
        <v>37284</v>
      </c>
    </row>
    <row r="6586" spans="1:2" x14ac:dyDescent="0.3">
      <c r="A6586" s="5">
        <v>44813</v>
      </c>
      <c r="B6586" s="10">
        <v>37508</v>
      </c>
    </row>
    <row r="6587" spans="1:2" x14ac:dyDescent="0.3">
      <c r="A6587" s="5">
        <v>44816</v>
      </c>
      <c r="B6587" s="10">
        <v>37652</v>
      </c>
    </row>
    <row r="6588" spans="1:2" x14ac:dyDescent="0.3">
      <c r="A6588" s="5">
        <v>44817</v>
      </c>
      <c r="B6588" s="10">
        <v>37753</v>
      </c>
    </row>
    <row r="6589" spans="1:2" x14ac:dyDescent="0.3">
      <c r="A6589" s="5">
        <v>44818</v>
      </c>
      <c r="B6589" s="10">
        <v>37922</v>
      </c>
    </row>
    <row r="6590" spans="1:2" x14ac:dyDescent="0.3">
      <c r="A6590" s="5">
        <v>44819</v>
      </c>
      <c r="B6590" s="10">
        <v>37916</v>
      </c>
    </row>
    <row r="6591" spans="1:2" x14ac:dyDescent="0.3">
      <c r="A6591" s="5">
        <v>44820</v>
      </c>
      <c r="B6591" s="10">
        <v>38120</v>
      </c>
    </row>
    <row r="6592" spans="1:2" x14ac:dyDescent="0.3">
      <c r="A6592" s="5">
        <v>44823</v>
      </c>
      <c r="B6592" s="10">
        <v>38251</v>
      </c>
    </row>
    <row r="6593" spans="1:2" x14ac:dyDescent="0.3">
      <c r="A6593" s="5">
        <v>44824</v>
      </c>
      <c r="B6593" s="10">
        <v>38341</v>
      </c>
    </row>
    <row r="6594" spans="1:2" x14ac:dyDescent="0.3">
      <c r="A6594" s="5">
        <v>44825</v>
      </c>
      <c r="B6594" s="10">
        <v>37593</v>
      </c>
    </row>
    <row r="6595" spans="1:2" x14ac:dyDescent="0.3">
      <c r="A6595" s="5">
        <v>44826</v>
      </c>
      <c r="B6595" s="10">
        <v>36141</v>
      </c>
    </row>
    <row r="6596" spans="1:2" x14ac:dyDescent="0.3">
      <c r="A6596" s="5">
        <v>44827</v>
      </c>
      <c r="B6596" s="10">
        <v>36075</v>
      </c>
    </row>
    <row r="6597" spans="1:2" x14ac:dyDescent="0.3">
      <c r="A6597" s="5">
        <v>44830</v>
      </c>
      <c r="B6597" s="10">
        <v>36309</v>
      </c>
    </row>
    <row r="6598" spans="1:2" x14ac:dyDescent="0.3">
      <c r="A6598" s="5">
        <v>44831</v>
      </c>
      <c r="B6598" s="10">
        <v>36570</v>
      </c>
    </row>
    <row r="6599" spans="1:2" x14ac:dyDescent="0.3">
      <c r="A6599" s="5">
        <v>44832</v>
      </c>
      <c r="B6599" s="10">
        <v>36839</v>
      </c>
    </row>
    <row r="6600" spans="1:2" x14ac:dyDescent="0.3">
      <c r="A6600" s="5">
        <v>44833</v>
      </c>
      <c r="B6600" s="10">
        <v>37278</v>
      </c>
    </row>
    <row r="6601" spans="1:2" x14ac:dyDescent="0.3">
      <c r="A6601" s="5">
        <v>44834</v>
      </c>
      <c r="B6601" s="10">
        <v>37625</v>
      </c>
    </row>
    <row r="6602" spans="1:2" x14ac:dyDescent="0.3">
      <c r="A6602" s="5">
        <v>44837</v>
      </c>
      <c r="B6602" s="10">
        <v>37671</v>
      </c>
    </row>
    <row r="6603" spans="1:2" x14ac:dyDescent="0.3">
      <c r="A6603" s="5">
        <v>44838</v>
      </c>
      <c r="B6603" s="10">
        <v>37752</v>
      </c>
    </row>
    <row r="6604" spans="1:2" x14ac:dyDescent="0.3">
      <c r="A6604" s="5">
        <v>44839</v>
      </c>
      <c r="B6604" s="10">
        <v>37832</v>
      </c>
    </row>
    <row r="6605" spans="1:2" x14ac:dyDescent="0.3">
      <c r="A6605" s="5">
        <v>44840</v>
      </c>
      <c r="B6605" s="10">
        <v>36547</v>
      </c>
    </row>
    <row r="6606" spans="1:2" x14ac:dyDescent="0.3">
      <c r="A6606" s="5">
        <v>44845</v>
      </c>
      <c r="B6606" s="10">
        <v>40123</v>
      </c>
    </row>
    <row r="6607" spans="1:2" x14ac:dyDescent="0.3">
      <c r="A6607" s="5">
        <v>44846</v>
      </c>
      <c r="B6607" s="10">
        <v>40074</v>
      </c>
    </row>
    <row r="6608" spans="1:2" x14ac:dyDescent="0.3">
      <c r="A6608" s="5">
        <v>44847</v>
      </c>
      <c r="B6608" s="10">
        <v>40052</v>
      </c>
    </row>
    <row r="6609" spans="1:2" x14ac:dyDescent="0.3">
      <c r="A6609" s="5">
        <v>44848</v>
      </c>
      <c r="B6609" s="10">
        <v>39263</v>
      </c>
    </row>
    <row r="6610" spans="1:2" x14ac:dyDescent="0.3">
      <c r="A6610" s="5">
        <v>44851</v>
      </c>
      <c r="B6610" s="10">
        <v>39192</v>
      </c>
    </row>
    <row r="6611" spans="1:2" x14ac:dyDescent="0.3">
      <c r="A6611" s="5">
        <v>44852</v>
      </c>
      <c r="B6611" s="10">
        <v>39200</v>
      </c>
    </row>
    <row r="6612" spans="1:2" x14ac:dyDescent="0.3">
      <c r="A6612" s="5">
        <v>44853</v>
      </c>
      <c r="B6612" s="10">
        <v>39085</v>
      </c>
    </row>
    <row r="6613" spans="1:2" x14ac:dyDescent="0.3">
      <c r="A6613" s="5">
        <v>44854</v>
      </c>
      <c r="B6613" s="10">
        <v>39788</v>
      </c>
    </row>
    <row r="6614" spans="1:2" x14ac:dyDescent="0.3">
      <c r="A6614" s="5">
        <v>44855</v>
      </c>
      <c r="B6614" s="10">
        <v>39737</v>
      </c>
    </row>
    <row r="6615" spans="1:2" x14ac:dyDescent="0.3">
      <c r="A6615" s="5">
        <v>44858</v>
      </c>
      <c r="B6615" s="10">
        <v>39666</v>
      </c>
    </row>
    <row r="6616" spans="1:2" x14ac:dyDescent="0.3">
      <c r="A6616" s="5">
        <v>44859</v>
      </c>
      <c r="B6616" s="10">
        <v>39679</v>
      </c>
    </row>
    <row r="6617" spans="1:2" x14ac:dyDescent="0.3">
      <c r="A6617" s="5">
        <v>44860</v>
      </c>
      <c r="B6617" s="10">
        <v>39697</v>
      </c>
    </row>
    <row r="6618" spans="1:2" x14ac:dyDescent="0.3">
      <c r="A6618" s="5">
        <v>44861</v>
      </c>
      <c r="B6618" s="10">
        <v>39706</v>
      </c>
    </row>
    <row r="6619" spans="1:2" x14ac:dyDescent="0.3">
      <c r="A6619" s="5">
        <v>44862</v>
      </c>
      <c r="B6619" s="10">
        <v>38940</v>
      </c>
    </row>
    <row r="6620" spans="1:2" x14ac:dyDescent="0.3">
      <c r="A6620" s="5">
        <v>44865</v>
      </c>
      <c r="B6620" s="10">
        <v>38676</v>
      </c>
    </row>
    <row r="6621" spans="1:2" x14ac:dyDescent="0.3">
      <c r="A6621" s="5">
        <v>44866</v>
      </c>
      <c r="B6621" s="10">
        <v>38746</v>
      </c>
    </row>
    <row r="6622" spans="1:2" x14ac:dyDescent="0.3">
      <c r="A6622" s="5">
        <v>44867</v>
      </c>
      <c r="B6622" s="10">
        <v>38653</v>
      </c>
    </row>
    <row r="6623" spans="1:2" x14ac:dyDescent="0.3">
      <c r="A6623" s="5">
        <v>44868</v>
      </c>
      <c r="B6623" s="10">
        <v>38485</v>
      </c>
    </row>
    <row r="6624" spans="1:2" x14ac:dyDescent="0.3">
      <c r="A6624" s="5">
        <v>44869</v>
      </c>
      <c r="B6624" s="10">
        <v>38266</v>
      </c>
    </row>
    <row r="6625" spans="1:2" x14ac:dyDescent="0.3">
      <c r="A6625" s="5">
        <v>44872</v>
      </c>
      <c r="B6625" s="10">
        <v>38014</v>
      </c>
    </row>
    <row r="6626" spans="1:2" x14ac:dyDescent="0.3">
      <c r="A6626" s="5">
        <v>44873</v>
      </c>
      <c r="B6626" s="10">
        <v>37837</v>
      </c>
    </row>
    <row r="6627" spans="1:2" x14ac:dyDescent="0.3">
      <c r="A6627" s="5">
        <v>44874</v>
      </c>
      <c r="B6627" s="10">
        <v>37828</v>
      </c>
    </row>
    <row r="6628" spans="1:2" x14ac:dyDescent="0.3">
      <c r="A6628" s="5">
        <v>44875</v>
      </c>
      <c r="B6628" s="10">
        <v>37803</v>
      </c>
    </row>
    <row r="6629" spans="1:2" x14ac:dyDescent="0.3">
      <c r="A6629" s="5">
        <v>44876</v>
      </c>
      <c r="B6629" s="10">
        <v>38086</v>
      </c>
    </row>
    <row r="6630" spans="1:2" x14ac:dyDescent="0.3">
      <c r="A6630" s="5">
        <v>44879</v>
      </c>
      <c r="B6630" s="10">
        <v>38007</v>
      </c>
    </row>
    <row r="6631" spans="1:2" x14ac:dyDescent="0.3">
      <c r="A6631" s="5">
        <v>44880</v>
      </c>
      <c r="B6631" s="10">
        <v>37867</v>
      </c>
    </row>
    <row r="6632" spans="1:2" x14ac:dyDescent="0.3">
      <c r="A6632" s="5">
        <v>44881</v>
      </c>
      <c r="B6632" s="10">
        <v>37790</v>
      </c>
    </row>
    <row r="6633" spans="1:2" x14ac:dyDescent="0.3">
      <c r="A6633" s="5">
        <v>44882</v>
      </c>
      <c r="B6633" s="10">
        <v>37617</v>
      </c>
    </row>
    <row r="6634" spans="1:2" x14ac:dyDescent="0.3">
      <c r="A6634" s="5">
        <v>44883</v>
      </c>
      <c r="B6634" s="10">
        <v>37564</v>
      </c>
    </row>
    <row r="6635" spans="1:2" x14ac:dyDescent="0.3">
      <c r="A6635" s="5">
        <v>44887</v>
      </c>
      <c r="B6635" s="10">
        <v>37588</v>
      </c>
    </row>
    <row r="6636" spans="1:2" x14ac:dyDescent="0.3">
      <c r="A6636" s="5">
        <v>44888</v>
      </c>
      <c r="B6636" s="10">
        <v>37604</v>
      </c>
    </row>
    <row r="6637" spans="1:2" x14ac:dyDescent="0.3">
      <c r="A6637" s="5">
        <v>44889</v>
      </c>
      <c r="B6637" s="10">
        <v>37622</v>
      </c>
    </row>
    <row r="6638" spans="1:2" x14ac:dyDescent="0.3">
      <c r="A6638" s="5">
        <v>44890</v>
      </c>
      <c r="B6638" s="10">
        <v>37538</v>
      </c>
    </row>
    <row r="6639" spans="1:2" x14ac:dyDescent="0.3">
      <c r="A6639" s="5">
        <v>44893</v>
      </c>
      <c r="B6639" s="10">
        <v>37658</v>
      </c>
    </row>
    <row r="6640" spans="1:2" x14ac:dyDescent="0.3">
      <c r="A6640" s="5">
        <v>44894</v>
      </c>
      <c r="B6640" s="10">
        <v>37861</v>
      </c>
    </row>
    <row r="6641" spans="1:2" x14ac:dyDescent="0.3">
      <c r="A6641" s="5">
        <v>44895</v>
      </c>
      <c r="B6641" s="10">
        <v>38009</v>
      </c>
    </row>
    <row r="6642" spans="1:2" x14ac:dyDescent="0.3">
      <c r="A6642" s="5">
        <v>44896</v>
      </c>
      <c r="B6642" s="10">
        <v>38188</v>
      </c>
    </row>
    <row r="6643" spans="1:2" x14ac:dyDescent="0.3">
      <c r="A6643" s="5">
        <v>44897</v>
      </c>
      <c r="B6643" s="10">
        <v>38294</v>
      </c>
    </row>
    <row r="6644" spans="1:2" x14ac:dyDescent="0.3">
      <c r="A6644" s="5">
        <v>44900</v>
      </c>
      <c r="B6644" s="10">
        <v>38568</v>
      </c>
    </row>
    <row r="6645" spans="1:2" x14ac:dyDescent="0.3">
      <c r="A6645" s="5">
        <v>44901</v>
      </c>
      <c r="B6645" s="10">
        <v>38702</v>
      </c>
    </row>
    <row r="6646" spans="1:2" x14ac:dyDescent="0.3">
      <c r="A6646" s="5">
        <v>44902</v>
      </c>
      <c r="B6646" s="10">
        <v>39007</v>
      </c>
    </row>
    <row r="6647" spans="1:2" x14ac:dyDescent="0.3">
      <c r="A6647" s="5">
        <v>44907</v>
      </c>
      <c r="B6647" s="10">
        <v>39594</v>
      </c>
    </row>
    <row r="6648" spans="1:2" x14ac:dyDescent="0.3">
      <c r="A6648" s="5">
        <v>44908</v>
      </c>
      <c r="B6648" s="10">
        <v>39681</v>
      </c>
    </row>
    <row r="6649" spans="1:2" x14ac:dyDescent="0.3">
      <c r="A6649" s="5">
        <v>44909</v>
      </c>
      <c r="B6649" s="10">
        <v>39694</v>
      </c>
    </row>
    <row r="6650" spans="1:2" x14ac:dyDescent="0.3">
      <c r="A6650" s="5">
        <v>44910</v>
      </c>
      <c r="B6650" s="10">
        <v>39637</v>
      </c>
    </row>
    <row r="6651" spans="1:2" x14ac:dyDescent="0.3">
      <c r="A6651" s="5">
        <v>44911</v>
      </c>
      <c r="B6651" s="10">
        <v>39794</v>
      </c>
    </row>
    <row r="6652" spans="1:2" x14ac:dyDescent="0.3">
      <c r="A6652" s="5">
        <v>44914</v>
      </c>
      <c r="B6652" s="10">
        <v>39797</v>
      </c>
    </row>
    <row r="6653" spans="1:2" x14ac:dyDescent="0.3">
      <c r="A6653" s="5">
        <v>44915</v>
      </c>
      <c r="B6653" s="10">
        <v>39898</v>
      </c>
    </row>
    <row r="6654" spans="1:2" x14ac:dyDescent="0.3">
      <c r="A6654" s="5">
        <v>44916</v>
      </c>
      <c r="B6654" s="10">
        <v>39057</v>
      </c>
    </row>
    <row r="6655" spans="1:2" x14ac:dyDescent="0.3">
      <c r="A6655" s="5">
        <v>44917</v>
      </c>
      <c r="B6655" s="10">
        <v>43267</v>
      </c>
    </row>
    <row r="6656" spans="1:2" x14ac:dyDescent="0.3">
      <c r="A6656" s="5">
        <v>44918</v>
      </c>
      <c r="B6656" s="10">
        <v>43470</v>
      </c>
    </row>
    <row r="6657" spans="1:2" x14ac:dyDescent="0.3">
      <c r="A6657" s="5">
        <v>44921</v>
      </c>
      <c r="B6657" s="10">
        <v>43545</v>
      </c>
    </row>
    <row r="6658" spans="1:2" x14ac:dyDescent="0.3">
      <c r="A6658" s="5">
        <v>44922</v>
      </c>
      <c r="B6658" s="10">
        <v>43655</v>
      </c>
    </row>
    <row r="6659" spans="1:2" x14ac:dyDescent="0.3">
      <c r="A6659" s="5">
        <v>44923</v>
      </c>
      <c r="B6659" s="10">
        <v>43802</v>
      </c>
    </row>
    <row r="6660" spans="1:2" x14ac:dyDescent="0.3">
      <c r="A6660" s="5">
        <v>44924</v>
      </c>
      <c r="B6660" s="10">
        <v>44170</v>
      </c>
    </row>
    <row r="6661" spans="1:2" x14ac:dyDescent="0.3">
      <c r="A6661" s="5">
        <v>44925</v>
      </c>
      <c r="B6661" s="10">
        <v>44598</v>
      </c>
    </row>
    <row r="6662" spans="1:2" x14ac:dyDescent="0.3">
      <c r="A6662" s="5">
        <v>44928</v>
      </c>
      <c r="B6662" s="10">
        <v>44608</v>
      </c>
    </row>
    <row r="6663" spans="1:2" x14ac:dyDescent="0.3">
      <c r="A6663" s="5">
        <v>44929</v>
      </c>
      <c r="B6663" s="10">
        <v>44613</v>
      </c>
    </row>
    <row r="6664" spans="1:2" x14ac:dyDescent="0.3">
      <c r="A6664" s="5">
        <v>44930</v>
      </c>
      <c r="B6664" s="10">
        <v>44694</v>
      </c>
    </row>
    <row r="6665" spans="1:2" x14ac:dyDescent="0.3">
      <c r="A6665" s="5">
        <v>44931</v>
      </c>
      <c r="B6665" s="10">
        <v>44838</v>
      </c>
    </row>
    <row r="6666" spans="1:2" x14ac:dyDescent="0.3">
      <c r="A6666" s="5">
        <v>44932</v>
      </c>
      <c r="B6666" s="10">
        <v>44432</v>
      </c>
    </row>
    <row r="6667" spans="1:2" x14ac:dyDescent="0.3">
      <c r="A6667" s="5">
        <v>44935</v>
      </c>
      <c r="B6667" s="10">
        <v>43371</v>
      </c>
    </row>
    <row r="6668" spans="1:2" x14ac:dyDescent="0.3">
      <c r="A6668" s="5">
        <v>44936</v>
      </c>
      <c r="B6668" s="10">
        <v>43395</v>
      </c>
    </row>
    <row r="6669" spans="1:2" x14ac:dyDescent="0.3">
      <c r="A6669" s="5">
        <v>44937</v>
      </c>
      <c r="B6669" s="10">
        <v>43406</v>
      </c>
    </row>
    <row r="6670" spans="1:2" x14ac:dyDescent="0.3">
      <c r="A6670" s="5">
        <v>44938</v>
      </c>
      <c r="B6670" s="10">
        <v>43534</v>
      </c>
    </row>
    <row r="6671" spans="1:2" x14ac:dyDescent="0.3">
      <c r="A6671" s="5">
        <v>44939</v>
      </c>
      <c r="B6671" s="10">
        <v>43115</v>
      </c>
    </row>
    <row r="6672" spans="1:2" x14ac:dyDescent="0.3">
      <c r="A6672" s="5">
        <v>44942</v>
      </c>
      <c r="B6672" s="10">
        <v>42987</v>
      </c>
    </row>
    <row r="6673" spans="1:2" x14ac:dyDescent="0.3">
      <c r="A6673" s="5">
        <v>44943</v>
      </c>
      <c r="B6673" s="10">
        <v>42890</v>
      </c>
    </row>
    <row r="6674" spans="1:2" x14ac:dyDescent="0.3">
      <c r="A6674" s="5">
        <v>44944</v>
      </c>
      <c r="B6674" s="10">
        <v>42845</v>
      </c>
    </row>
    <row r="6675" spans="1:2" x14ac:dyDescent="0.3">
      <c r="A6675" s="5">
        <v>44945</v>
      </c>
      <c r="B6675" s="10">
        <v>42816</v>
      </c>
    </row>
    <row r="6676" spans="1:2" x14ac:dyDescent="0.3">
      <c r="A6676" s="5">
        <v>44946</v>
      </c>
      <c r="B6676" s="10">
        <v>42710</v>
      </c>
    </row>
    <row r="6677" spans="1:2" x14ac:dyDescent="0.3">
      <c r="A6677" s="5">
        <v>44949</v>
      </c>
      <c r="B6677" s="10">
        <v>42659</v>
      </c>
    </row>
    <row r="6678" spans="1:2" x14ac:dyDescent="0.3">
      <c r="A6678" s="5">
        <v>44950</v>
      </c>
      <c r="B6678" s="10">
        <v>42649</v>
      </c>
    </row>
    <row r="6679" spans="1:2" x14ac:dyDescent="0.3">
      <c r="A6679" s="5">
        <v>44951</v>
      </c>
      <c r="B6679" s="10">
        <v>42481</v>
      </c>
    </row>
    <row r="6680" spans="1:2" x14ac:dyDescent="0.3">
      <c r="A6680" s="5">
        <v>44952</v>
      </c>
      <c r="B6680" s="10">
        <v>42274</v>
      </c>
    </row>
    <row r="6681" spans="1:2" x14ac:dyDescent="0.3">
      <c r="A6681" s="5">
        <v>44953</v>
      </c>
      <c r="B6681" s="10">
        <v>42265</v>
      </c>
    </row>
    <row r="6682" spans="1:2" x14ac:dyDescent="0.3">
      <c r="A6682" s="5">
        <v>44956</v>
      </c>
      <c r="B6682" s="10">
        <v>41518</v>
      </c>
    </row>
    <row r="6683" spans="1:2" x14ac:dyDescent="0.3">
      <c r="A6683" s="5">
        <v>44957</v>
      </c>
      <c r="B6683" s="10">
        <v>41417</v>
      </c>
    </row>
    <row r="6684" spans="1:2" x14ac:dyDescent="0.3">
      <c r="A6684" s="5">
        <v>44958</v>
      </c>
      <c r="B6684" s="10">
        <v>41379</v>
      </c>
    </row>
    <row r="6685" spans="1:2" x14ac:dyDescent="0.3">
      <c r="A6685" s="5">
        <v>44959</v>
      </c>
      <c r="B6685" s="10">
        <v>41314</v>
      </c>
    </row>
    <row r="6686" spans="1:2" x14ac:dyDescent="0.3">
      <c r="A6686" s="5">
        <v>44960</v>
      </c>
      <c r="B6686" s="10">
        <v>41022</v>
      </c>
    </row>
    <row r="6687" spans="1:2" x14ac:dyDescent="0.3">
      <c r="A6687" s="5">
        <v>44963</v>
      </c>
      <c r="B6687" s="10">
        <v>40288</v>
      </c>
    </row>
    <row r="6688" spans="1:2" x14ac:dyDescent="0.3">
      <c r="A6688" s="5">
        <v>44964</v>
      </c>
      <c r="B6688" s="10">
        <v>40287</v>
      </c>
    </row>
    <row r="6689" spans="1:2" x14ac:dyDescent="0.3">
      <c r="A6689" s="5">
        <v>44965</v>
      </c>
      <c r="B6689" s="10">
        <v>40169</v>
      </c>
    </row>
    <row r="6690" spans="1:2" x14ac:dyDescent="0.3">
      <c r="A6690" s="5">
        <v>44966</v>
      </c>
      <c r="B6690" s="10">
        <v>40076</v>
      </c>
    </row>
    <row r="6691" spans="1:2" x14ac:dyDescent="0.3">
      <c r="A6691" s="5">
        <v>44967</v>
      </c>
      <c r="B6691" s="10">
        <v>40012</v>
      </c>
    </row>
    <row r="6692" spans="1:2" x14ac:dyDescent="0.3">
      <c r="A6692" s="5">
        <v>44970</v>
      </c>
      <c r="B6692" s="10">
        <v>40008</v>
      </c>
    </row>
    <row r="6693" spans="1:2" x14ac:dyDescent="0.3">
      <c r="A6693" s="5">
        <v>44971</v>
      </c>
      <c r="B6693" s="10">
        <v>40009</v>
      </c>
    </row>
    <row r="6694" spans="1:2" x14ac:dyDescent="0.3">
      <c r="A6694" s="5">
        <v>44972</v>
      </c>
      <c r="B6694" s="10">
        <v>39561</v>
      </c>
    </row>
    <row r="6695" spans="1:2" x14ac:dyDescent="0.3">
      <c r="A6695" s="5">
        <v>44973</v>
      </c>
      <c r="B6695" s="10">
        <v>39514</v>
      </c>
    </row>
    <row r="6696" spans="1:2" x14ac:dyDescent="0.3">
      <c r="A6696" s="5">
        <v>44974</v>
      </c>
      <c r="B6696" s="10">
        <v>39335</v>
      </c>
    </row>
    <row r="6697" spans="1:2" x14ac:dyDescent="0.3">
      <c r="A6697" s="5">
        <v>44979</v>
      </c>
      <c r="B6697" s="10">
        <v>39261</v>
      </c>
    </row>
    <row r="6698" spans="1:2" x14ac:dyDescent="0.3">
      <c r="A6698" s="5">
        <v>44980</v>
      </c>
      <c r="B6698" s="10">
        <v>39183</v>
      </c>
    </row>
    <row r="6699" spans="1:2" x14ac:dyDescent="0.3">
      <c r="A6699" s="5">
        <v>44981</v>
      </c>
      <c r="B6699" s="10">
        <v>39006</v>
      </c>
    </row>
    <row r="6700" spans="1:2" x14ac:dyDescent="0.3">
      <c r="A6700" s="5">
        <v>44984</v>
      </c>
      <c r="B6700" s="10">
        <v>39045</v>
      </c>
    </row>
    <row r="6701" spans="1:2" x14ac:dyDescent="0.3">
      <c r="A6701" s="5">
        <v>44985</v>
      </c>
      <c r="B6701" s="10">
        <v>38709</v>
      </c>
    </row>
    <row r="6702" spans="1:2" x14ac:dyDescent="0.3">
      <c r="A6702" s="5">
        <v>44986</v>
      </c>
      <c r="B6702" s="10">
        <v>38722</v>
      </c>
    </row>
    <row r="6703" spans="1:2" x14ac:dyDescent="0.3">
      <c r="A6703" s="5">
        <v>44987</v>
      </c>
      <c r="B6703" s="10">
        <v>38584</v>
      </c>
    </row>
    <row r="6704" spans="1:2" x14ac:dyDescent="0.3">
      <c r="A6704" s="5">
        <v>44988</v>
      </c>
      <c r="B6704" s="10">
        <v>38598</v>
      </c>
    </row>
    <row r="6705" spans="1:2" x14ac:dyDescent="0.3">
      <c r="A6705" s="5">
        <v>44991</v>
      </c>
      <c r="B6705" s="10">
        <v>38517</v>
      </c>
    </row>
    <row r="6706" spans="1:2" x14ac:dyDescent="0.3">
      <c r="A6706" s="5">
        <v>44992</v>
      </c>
      <c r="B6706" s="10">
        <v>38323</v>
      </c>
    </row>
    <row r="6707" spans="1:2" x14ac:dyDescent="0.3">
      <c r="A6707" s="5">
        <v>44993</v>
      </c>
      <c r="B6707" s="10">
        <v>38272</v>
      </c>
    </row>
    <row r="6708" spans="1:2" x14ac:dyDescent="0.3">
      <c r="A6708" s="5">
        <v>44994</v>
      </c>
      <c r="B6708" s="10">
        <v>38180</v>
      </c>
    </row>
    <row r="6709" spans="1:2" x14ac:dyDescent="0.3">
      <c r="A6709" s="5">
        <v>44995</v>
      </c>
      <c r="B6709" s="10">
        <v>38208</v>
      </c>
    </row>
    <row r="6710" spans="1:2" x14ac:dyDescent="0.3">
      <c r="A6710" s="5">
        <v>44998</v>
      </c>
      <c r="B6710" s="10">
        <v>38331</v>
      </c>
    </row>
    <row r="6711" spans="1:2" x14ac:dyDescent="0.3">
      <c r="A6711" s="5">
        <v>44999</v>
      </c>
      <c r="B6711" s="10">
        <v>38142</v>
      </c>
    </row>
    <row r="6712" spans="1:2" x14ac:dyDescent="0.3">
      <c r="A6712" s="5">
        <v>45000</v>
      </c>
      <c r="B6712" s="10">
        <v>37783</v>
      </c>
    </row>
    <row r="6713" spans="1:2" x14ac:dyDescent="0.3">
      <c r="A6713" s="5">
        <v>45001</v>
      </c>
      <c r="B6713" s="10">
        <v>37712</v>
      </c>
    </row>
    <row r="6714" spans="1:2" x14ac:dyDescent="0.3">
      <c r="A6714" s="5">
        <v>45002</v>
      </c>
      <c r="B6714" s="10">
        <v>37672</v>
      </c>
    </row>
    <row r="6715" spans="1:2" x14ac:dyDescent="0.3">
      <c r="A6715" s="5">
        <v>45005</v>
      </c>
      <c r="B6715" s="10">
        <v>38008</v>
      </c>
    </row>
    <row r="6716" spans="1:2" x14ac:dyDescent="0.3">
      <c r="A6716" s="5">
        <v>45006</v>
      </c>
      <c r="B6716" s="10">
        <v>37837</v>
      </c>
    </row>
    <row r="6717" spans="1:2" x14ac:dyDescent="0.3">
      <c r="A6717" s="5">
        <v>45007</v>
      </c>
      <c r="B6717" s="10">
        <v>37596</v>
      </c>
    </row>
    <row r="6718" spans="1:2" x14ac:dyDescent="0.3">
      <c r="A6718" s="5">
        <v>45008</v>
      </c>
      <c r="B6718" s="10">
        <v>37606</v>
      </c>
    </row>
    <row r="6719" spans="1:2" x14ac:dyDescent="0.3">
      <c r="A6719" s="5">
        <v>45012</v>
      </c>
      <c r="B6719" s="10">
        <v>37161</v>
      </c>
    </row>
    <row r="6720" spans="1:2" x14ac:dyDescent="0.3">
      <c r="A6720" s="5">
        <v>45013</v>
      </c>
      <c r="B6720" s="10">
        <v>37076</v>
      </c>
    </row>
    <row r="6721" spans="1:2" x14ac:dyDescent="0.3">
      <c r="A6721" s="5">
        <v>45014</v>
      </c>
      <c r="B6721" s="10">
        <v>36851</v>
      </c>
    </row>
    <row r="6722" spans="1:2" x14ac:dyDescent="0.3">
      <c r="A6722" s="5">
        <v>45015</v>
      </c>
      <c r="B6722" s="10">
        <v>36509</v>
      </c>
    </row>
    <row r="6723" spans="1:2" x14ac:dyDescent="0.3">
      <c r="A6723" s="5">
        <v>45016</v>
      </c>
      <c r="B6723" s="10">
        <v>39060</v>
      </c>
    </row>
    <row r="6724" spans="1:2" x14ac:dyDescent="0.3">
      <c r="A6724" s="5">
        <v>45019</v>
      </c>
      <c r="B6724" s="10">
        <v>38809</v>
      </c>
    </row>
    <row r="6725" spans="1:2" x14ac:dyDescent="0.3">
      <c r="A6725" s="5">
        <v>45020</v>
      </c>
      <c r="B6725" s="10">
        <v>38777</v>
      </c>
    </row>
    <row r="6726" spans="1:2" x14ac:dyDescent="0.3">
      <c r="A6726" s="5">
        <v>45021</v>
      </c>
      <c r="B6726" s="10">
        <v>38662</v>
      </c>
    </row>
    <row r="6727" spans="1:2" x14ac:dyDescent="0.3">
      <c r="A6727" s="5">
        <v>45026</v>
      </c>
      <c r="B6727" s="10">
        <v>37210</v>
      </c>
    </row>
    <row r="6728" spans="1:2" x14ac:dyDescent="0.3">
      <c r="A6728" s="5">
        <v>45027</v>
      </c>
      <c r="B6728" s="10">
        <v>37218</v>
      </c>
    </row>
    <row r="6729" spans="1:2" x14ac:dyDescent="0.3">
      <c r="A6729" s="5">
        <v>45028</v>
      </c>
      <c r="B6729" s="10">
        <v>37224</v>
      </c>
    </row>
    <row r="6730" spans="1:2" x14ac:dyDescent="0.3">
      <c r="A6730" s="5">
        <v>45029</v>
      </c>
      <c r="B6730" s="10">
        <v>37538</v>
      </c>
    </row>
    <row r="6731" spans="1:2" x14ac:dyDescent="0.3">
      <c r="A6731" s="5">
        <v>45030</v>
      </c>
      <c r="B6731" s="10">
        <v>36901</v>
      </c>
    </row>
    <row r="6732" spans="1:2" x14ac:dyDescent="0.3">
      <c r="A6732" s="5">
        <v>45033</v>
      </c>
      <c r="B6732" s="10">
        <v>36731</v>
      </c>
    </row>
    <row r="6733" spans="1:2" x14ac:dyDescent="0.3">
      <c r="A6733" s="5">
        <v>45034</v>
      </c>
      <c r="B6733" s="10">
        <v>36638</v>
      </c>
    </row>
    <row r="6734" spans="1:2" x14ac:dyDescent="0.3">
      <c r="A6734" s="5">
        <v>45035</v>
      </c>
      <c r="B6734" s="10">
        <v>36365</v>
      </c>
    </row>
    <row r="6735" spans="1:2" x14ac:dyDescent="0.3">
      <c r="A6735" s="5">
        <v>45036</v>
      </c>
      <c r="B6735" s="10">
        <v>36413</v>
      </c>
    </row>
    <row r="6736" spans="1:2" x14ac:dyDescent="0.3">
      <c r="A6736" s="5">
        <v>45037</v>
      </c>
      <c r="B6736" s="10">
        <v>36503</v>
      </c>
    </row>
    <row r="6737" spans="1:2" x14ac:dyDescent="0.3">
      <c r="A6737" s="5">
        <v>45040</v>
      </c>
      <c r="B6737" s="10">
        <v>36569</v>
      </c>
    </row>
    <row r="6738" spans="1:2" x14ac:dyDescent="0.3">
      <c r="A6738" s="5">
        <v>45041</v>
      </c>
      <c r="B6738" s="10">
        <v>36478</v>
      </c>
    </row>
    <row r="6739" spans="1:2" x14ac:dyDescent="0.3">
      <c r="A6739" s="5">
        <v>45042</v>
      </c>
      <c r="B6739" s="10">
        <v>36354</v>
      </c>
    </row>
    <row r="6740" spans="1:2" x14ac:dyDescent="0.3">
      <c r="A6740" s="5">
        <v>45043</v>
      </c>
      <c r="B6740" s="10">
        <v>36104</v>
      </c>
    </row>
    <row r="6741" spans="1:2" x14ac:dyDescent="0.3">
      <c r="A6741" s="5">
        <v>45044</v>
      </c>
      <c r="B6741" s="10">
        <v>35001</v>
      </c>
    </row>
    <row r="6742" spans="1:2" x14ac:dyDescent="0.3">
      <c r="A6742" s="5">
        <v>45048</v>
      </c>
      <c r="B6742" s="10">
        <v>35080</v>
      </c>
    </row>
    <row r="6743" spans="1:2" x14ac:dyDescent="0.3">
      <c r="A6743" s="5">
        <v>45049</v>
      </c>
      <c r="B6743" s="10">
        <v>34891</v>
      </c>
    </row>
    <row r="6744" spans="1:2" x14ac:dyDescent="0.3">
      <c r="A6744" s="5">
        <v>45050</v>
      </c>
      <c r="B6744" s="10">
        <v>34130</v>
      </c>
    </row>
    <row r="6745" spans="1:2" x14ac:dyDescent="0.3">
      <c r="A6745" s="5">
        <v>45051</v>
      </c>
      <c r="B6745" s="10">
        <v>34008</v>
      </c>
    </row>
    <row r="6746" spans="1:2" x14ac:dyDescent="0.3">
      <c r="A6746" s="5">
        <v>45054</v>
      </c>
      <c r="B6746" s="10">
        <v>33944</v>
      </c>
    </row>
    <row r="6747" spans="1:2" x14ac:dyDescent="0.3">
      <c r="A6747" s="5">
        <v>45055</v>
      </c>
      <c r="B6747" s="10">
        <v>33850</v>
      </c>
    </row>
    <row r="6748" spans="1:2" x14ac:dyDescent="0.3">
      <c r="A6748" s="5">
        <v>45056</v>
      </c>
      <c r="B6748" s="10">
        <v>33723</v>
      </c>
    </row>
    <row r="6749" spans="1:2" x14ac:dyDescent="0.3">
      <c r="A6749" s="5">
        <v>45057</v>
      </c>
      <c r="B6749" s="10">
        <v>33631</v>
      </c>
    </row>
    <row r="6750" spans="1:2" x14ac:dyDescent="0.3">
      <c r="A6750" s="5">
        <v>45058</v>
      </c>
      <c r="B6750" s="10">
        <v>33588</v>
      </c>
    </row>
    <row r="6751" spans="1:2" x14ac:dyDescent="0.3">
      <c r="A6751" s="5">
        <v>45061</v>
      </c>
      <c r="B6751" s="10">
        <v>33481</v>
      </c>
    </row>
    <row r="6752" spans="1:2" x14ac:dyDescent="0.3">
      <c r="A6752" s="5">
        <v>45062</v>
      </c>
      <c r="B6752" s="10">
        <v>33350</v>
      </c>
    </row>
    <row r="6753" spans="1:2" x14ac:dyDescent="0.3">
      <c r="A6753" s="5">
        <v>45063</v>
      </c>
      <c r="B6753" s="10">
        <v>33298</v>
      </c>
    </row>
    <row r="6754" spans="1:2" x14ac:dyDescent="0.3">
      <c r="A6754" s="5">
        <v>45064</v>
      </c>
      <c r="B6754" s="10">
        <v>33132</v>
      </c>
    </row>
    <row r="6755" spans="1:2" x14ac:dyDescent="0.3">
      <c r="A6755" s="5">
        <v>45065</v>
      </c>
      <c r="B6755" s="10">
        <v>33159</v>
      </c>
    </row>
    <row r="6756" spans="1:2" x14ac:dyDescent="0.3">
      <c r="A6756" s="5">
        <v>45068</v>
      </c>
      <c r="B6756" s="10">
        <v>33062</v>
      </c>
    </row>
    <row r="6757" spans="1:2" x14ac:dyDescent="0.3">
      <c r="A6757" s="5">
        <v>45069</v>
      </c>
      <c r="B6757" s="10">
        <v>32910</v>
      </c>
    </row>
    <row r="6758" spans="1:2" x14ac:dyDescent="0.3">
      <c r="A6758" s="5">
        <v>45070</v>
      </c>
      <c r="B6758" s="10">
        <v>32966</v>
      </c>
    </row>
    <row r="6759" spans="1:2" x14ac:dyDescent="0.3">
      <c r="A6759" s="5">
        <v>45075</v>
      </c>
      <c r="B6759" s="10">
        <v>32883</v>
      </c>
    </row>
    <row r="6760" spans="1:2" x14ac:dyDescent="0.3">
      <c r="A6760" s="5">
        <v>45076</v>
      </c>
      <c r="B6760" s="10">
        <v>32813</v>
      </c>
    </row>
    <row r="6761" spans="1:2" x14ac:dyDescent="0.3">
      <c r="A6761" s="5">
        <v>45077</v>
      </c>
      <c r="B6761" s="10">
        <v>33001</v>
      </c>
    </row>
    <row r="6762" spans="1:2" x14ac:dyDescent="0.3">
      <c r="A6762" s="5">
        <v>45078</v>
      </c>
      <c r="B6762" s="10">
        <v>33067</v>
      </c>
    </row>
    <row r="6763" spans="1:2" x14ac:dyDescent="0.3">
      <c r="A6763" s="5">
        <v>45079</v>
      </c>
      <c r="B6763" s="10">
        <v>32998</v>
      </c>
    </row>
    <row r="6764" spans="1:2" x14ac:dyDescent="0.3">
      <c r="A6764" s="5">
        <v>45082</v>
      </c>
      <c r="B6764" s="10">
        <v>33011</v>
      </c>
    </row>
    <row r="6765" spans="1:2" x14ac:dyDescent="0.3">
      <c r="A6765" s="5">
        <v>45083</v>
      </c>
      <c r="B6765" s="10">
        <v>32871</v>
      </c>
    </row>
    <row r="6766" spans="1:2" x14ac:dyDescent="0.3">
      <c r="A6766" s="5">
        <v>45084</v>
      </c>
      <c r="B6766" s="10">
        <v>32725</v>
      </c>
    </row>
    <row r="6767" spans="1:2" x14ac:dyDescent="0.3">
      <c r="A6767" s="5">
        <v>45085</v>
      </c>
      <c r="B6767" s="10">
        <v>32680</v>
      </c>
    </row>
    <row r="6768" spans="1:2" x14ac:dyDescent="0.3">
      <c r="A6768" s="5">
        <v>45086</v>
      </c>
      <c r="B6768" s="10">
        <v>32488</v>
      </c>
    </row>
    <row r="6769" spans="1:2" x14ac:dyDescent="0.3">
      <c r="A6769" s="5">
        <v>45089</v>
      </c>
      <c r="B6769" s="10">
        <v>32363</v>
      </c>
    </row>
    <row r="6770" spans="1:2" x14ac:dyDescent="0.3">
      <c r="A6770" s="5">
        <v>45090</v>
      </c>
      <c r="B6770" s="10">
        <v>32366</v>
      </c>
    </row>
    <row r="6771" spans="1:2" x14ac:dyDescent="0.3">
      <c r="A6771" s="5">
        <v>45091</v>
      </c>
      <c r="B6771" s="10">
        <v>32336</v>
      </c>
    </row>
    <row r="6772" spans="1:2" x14ac:dyDescent="0.3">
      <c r="A6772" s="5">
        <v>45092</v>
      </c>
      <c r="B6772" s="10">
        <v>32141</v>
      </c>
    </row>
    <row r="6773" spans="1:2" x14ac:dyDescent="0.3">
      <c r="A6773" s="5">
        <v>45093</v>
      </c>
      <c r="B6773" s="10">
        <v>31852</v>
      </c>
    </row>
    <row r="6774" spans="1:2" x14ac:dyDescent="0.3">
      <c r="A6774" s="5">
        <v>45098</v>
      </c>
      <c r="B6774" s="10">
        <v>31616</v>
      </c>
    </row>
    <row r="6775" spans="1:2" x14ac:dyDescent="0.3">
      <c r="A6775" s="5">
        <v>45099</v>
      </c>
      <c r="B6775" s="10">
        <v>31455</v>
      </c>
    </row>
    <row r="6776" spans="1:2" x14ac:dyDescent="0.3">
      <c r="A6776" s="5">
        <v>45100</v>
      </c>
      <c r="B6776" s="10">
        <v>31279</v>
      </c>
    </row>
    <row r="6777" spans="1:2" x14ac:dyDescent="0.3">
      <c r="A6777" s="5">
        <v>45103</v>
      </c>
      <c r="B6777" s="10">
        <v>31154</v>
      </c>
    </row>
    <row r="6778" spans="1:2" x14ac:dyDescent="0.3">
      <c r="A6778" s="5">
        <v>45104</v>
      </c>
      <c r="B6778" s="10">
        <v>31026</v>
      </c>
    </row>
    <row r="6779" spans="1:2" x14ac:dyDescent="0.3">
      <c r="A6779" s="5">
        <v>45105</v>
      </c>
      <c r="B6779" s="10">
        <v>30859</v>
      </c>
    </row>
    <row r="6780" spans="1:2" x14ac:dyDescent="0.3">
      <c r="A6780" s="5">
        <v>45106</v>
      </c>
      <c r="B6780" s="10">
        <v>30785</v>
      </c>
    </row>
    <row r="6781" spans="1:2" x14ac:dyDescent="0.3">
      <c r="A6781" s="5">
        <v>45107</v>
      </c>
      <c r="B6781" s="10">
        <v>27926</v>
      </c>
    </row>
    <row r="6782" spans="1:2" x14ac:dyDescent="0.3">
      <c r="A6782" s="5">
        <v>45110</v>
      </c>
      <c r="B6782" s="10">
        <v>27898</v>
      </c>
    </row>
    <row r="6783" spans="1:2" x14ac:dyDescent="0.3">
      <c r="A6783" s="5">
        <v>45111</v>
      </c>
      <c r="B6783" s="10">
        <v>27721</v>
      </c>
    </row>
    <row r="6784" spans="1:2" x14ac:dyDescent="0.3">
      <c r="A6784" s="5">
        <v>45112</v>
      </c>
      <c r="B6784" s="10">
        <v>27529</v>
      </c>
    </row>
    <row r="6785" spans="1:2" x14ac:dyDescent="0.3">
      <c r="A6785" s="5">
        <v>45113</v>
      </c>
      <c r="B6785" s="10">
        <v>27436</v>
      </c>
    </row>
    <row r="6786" spans="1:2" x14ac:dyDescent="0.3">
      <c r="A6786" s="5">
        <v>45114</v>
      </c>
      <c r="B6786" s="10">
        <v>26616</v>
      </c>
    </row>
    <row r="6787" spans="1:2" x14ac:dyDescent="0.3">
      <c r="A6787" s="5">
        <v>45117</v>
      </c>
      <c r="B6787" s="10">
        <v>26550</v>
      </c>
    </row>
    <row r="6788" spans="1:2" x14ac:dyDescent="0.3">
      <c r="A6788" s="5">
        <v>45118</v>
      </c>
      <c r="B6788" s="10">
        <v>26416</v>
      </c>
    </row>
    <row r="6789" spans="1:2" x14ac:dyDescent="0.3">
      <c r="A6789" s="5">
        <v>45119</v>
      </c>
      <c r="B6789" s="10">
        <v>26335</v>
      </c>
    </row>
    <row r="6790" spans="1:2" x14ac:dyDescent="0.3">
      <c r="A6790" s="5">
        <v>45120</v>
      </c>
      <c r="B6790" s="10">
        <v>26189</v>
      </c>
    </row>
    <row r="6791" spans="1:2" x14ac:dyDescent="0.3">
      <c r="A6791" s="5">
        <v>45121</v>
      </c>
      <c r="B6791" s="10">
        <v>26036</v>
      </c>
    </row>
    <row r="6792" spans="1:2" x14ac:dyDescent="0.3">
      <c r="A6792" s="5">
        <v>45124</v>
      </c>
      <c r="B6792" s="10">
        <v>25849</v>
      </c>
    </row>
    <row r="6793" spans="1:2" x14ac:dyDescent="0.3">
      <c r="A6793" s="5">
        <v>45125</v>
      </c>
      <c r="B6793" s="10">
        <v>25765</v>
      </c>
    </row>
    <row r="6794" spans="1:2" x14ac:dyDescent="0.3">
      <c r="A6794" s="5">
        <v>45126</v>
      </c>
      <c r="B6794" s="10">
        <v>25501</v>
      </c>
    </row>
    <row r="6795" spans="1:2" x14ac:dyDescent="0.3">
      <c r="A6795" s="5">
        <v>45127</v>
      </c>
      <c r="B6795" s="10">
        <v>25441</v>
      </c>
    </row>
    <row r="6796" spans="1:2" x14ac:dyDescent="0.3">
      <c r="A6796" s="5">
        <v>45128</v>
      </c>
      <c r="B6796" s="10">
        <v>25210</v>
      </c>
    </row>
    <row r="6797" spans="1:2" x14ac:dyDescent="0.3">
      <c r="A6797" s="5">
        <v>45131</v>
      </c>
      <c r="B6797" s="10">
        <v>25280</v>
      </c>
    </row>
    <row r="6798" spans="1:2" x14ac:dyDescent="0.3">
      <c r="A6798" s="5">
        <v>45132</v>
      </c>
      <c r="B6798" s="10">
        <v>25350</v>
      </c>
    </row>
    <row r="6799" spans="1:2" x14ac:dyDescent="0.3">
      <c r="A6799" s="5">
        <v>45133</v>
      </c>
      <c r="B6799" s="10">
        <v>25258</v>
      </c>
    </row>
    <row r="6800" spans="1:2" x14ac:dyDescent="0.3">
      <c r="A6800" s="5">
        <v>45134</v>
      </c>
      <c r="B6800" s="10">
        <v>25349</v>
      </c>
    </row>
    <row r="6801" spans="1:2" x14ac:dyDescent="0.3">
      <c r="A6801" s="5">
        <v>45135</v>
      </c>
      <c r="B6801" s="10">
        <v>25651</v>
      </c>
    </row>
    <row r="6802" spans="1:2" x14ac:dyDescent="0.3">
      <c r="A6802" s="5">
        <v>45138</v>
      </c>
      <c r="B6802" s="10">
        <v>24092</v>
      </c>
    </row>
    <row r="6803" spans="1:2" x14ac:dyDescent="0.3">
      <c r="A6803" s="5">
        <v>45139</v>
      </c>
      <c r="B6803" s="10">
        <v>24042</v>
      </c>
    </row>
    <row r="6804" spans="1:2" x14ac:dyDescent="0.3">
      <c r="A6804" s="5">
        <v>45140</v>
      </c>
      <c r="B6804" s="10">
        <v>24020</v>
      </c>
    </row>
    <row r="6805" spans="1:2" x14ac:dyDescent="0.3">
      <c r="A6805" s="5">
        <v>45141</v>
      </c>
      <c r="B6805" s="10">
        <v>24146</v>
      </c>
    </row>
    <row r="6806" spans="1:2" x14ac:dyDescent="0.3">
      <c r="A6806" s="5">
        <v>45142</v>
      </c>
      <c r="B6806" s="10">
        <v>24372</v>
      </c>
    </row>
    <row r="6807" spans="1:2" x14ac:dyDescent="0.3">
      <c r="A6807" s="5">
        <v>45145</v>
      </c>
      <c r="B6807" s="10">
        <v>24268</v>
      </c>
    </row>
    <row r="6808" spans="1:2" x14ac:dyDescent="0.3">
      <c r="A6808" s="5">
        <v>45146</v>
      </c>
      <c r="B6808" s="10">
        <v>24129</v>
      </c>
    </row>
    <row r="6809" spans="1:2" x14ac:dyDescent="0.3">
      <c r="A6809" s="5">
        <v>45147</v>
      </c>
      <c r="B6809" s="10">
        <v>23891</v>
      </c>
    </row>
    <row r="6810" spans="1:2" x14ac:dyDescent="0.3">
      <c r="A6810" s="5">
        <v>45148</v>
      </c>
      <c r="B6810" s="10">
        <v>23828</v>
      </c>
    </row>
    <row r="6811" spans="1:2" x14ac:dyDescent="0.3">
      <c r="A6811" s="5">
        <v>45149</v>
      </c>
      <c r="B6811" s="10">
        <v>23671</v>
      </c>
    </row>
    <row r="6812" spans="1:2" x14ac:dyDescent="0.3">
      <c r="A6812" s="5">
        <v>45152</v>
      </c>
      <c r="B6812" s="10">
        <v>23762</v>
      </c>
    </row>
    <row r="6813" spans="1:2" x14ac:dyDescent="0.3">
      <c r="A6813" s="5">
        <v>45153</v>
      </c>
      <c r="B6813" s="10">
        <v>23667</v>
      </c>
    </row>
    <row r="6814" spans="1:2" x14ac:dyDescent="0.3">
      <c r="A6814" s="5">
        <v>45154</v>
      </c>
      <c r="B6814" s="10">
        <v>23612</v>
      </c>
    </row>
    <row r="6815" spans="1:2" x14ac:dyDescent="0.3">
      <c r="A6815" s="5">
        <v>45155</v>
      </c>
      <c r="B6815" s="10">
        <v>23721</v>
      </c>
    </row>
    <row r="6816" spans="1:2" x14ac:dyDescent="0.3">
      <c r="A6816" s="5">
        <v>45156</v>
      </c>
      <c r="B6816" s="10">
        <v>23637</v>
      </c>
    </row>
    <row r="6817" spans="1:2" x14ac:dyDescent="0.3">
      <c r="A6817" s="5">
        <v>45160</v>
      </c>
      <c r="B6817" s="10">
        <v>23639</v>
      </c>
    </row>
    <row r="6818" spans="1:2" x14ac:dyDescent="0.3">
      <c r="A6818" s="5">
        <v>45161</v>
      </c>
      <c r="B6818" s="10">
        <v>29004</v>
      </c>
    </row>
    <row r="6819" spans="1:2" x14ac:dyDescent="0.3">
      <c r="A6819" s="5">
        <v>45162</v>
      </c>
      <c r="B6819" s="10">
        <v>28995</v>
      </c>
    </row>
    <row r="6820" spans="1:2" x14ac:dyDescent="0.3">
      <c r="A6820" s="5">
        <v>45163</v>
      </c>
      <c r="B6820" s="10">
        <v>27955</v>
      </c>
    </row>
    <row r="6821" spans="1:2" x14ac:dyDescent="0.3">
      <c r="A6821" s="5">
        <v>45166</v>
      </c>
      <c r="B6821" s="10">
        <v>28011</v>
      </c>
    </row>
    <row r="6822" spans="1:2" x14ac:dyDescent="0.3">
      <c r="A6822" s="5">
        <v>45167</v>
      </c>
      <c r="B6822" s="10">
        <v>28035</v>
      </c>
    </row>
    <row r="6823" spans="1:2" x14ac:dyDescent="0.3">
      <c r="A6823" s="5">
        <v>45168</v>
      </c>
      <c r="B6823" s="10">
        <v>27942</v>
      </c>
    </row>
    <row r="6824" spans="1:2" x14ac:dyDescent="0.3">
      <c r="A6824" s="5">
        <v>45169</v>
      </c>
      <c r="B6824" s="10">
        <v>27818</v>
      </c>
    </row>
    <row r="6825" spans="1:2" x14ac:dyDescent="0.3">
      <c r="A6825" s="5">
        <v>45170</v>
      </c>
      <c r="B6825" s="10">
        <v>27824</v>
      </c>
    </row>
    <row r="6826" spans="1:2" x14ac:dyDescent="0.3">
      <c r="A6826" s="5">
        <v>45173</v>
      </c>
      <c r="B6826" s="10">
        <v>27775</v>
      </c>
    </row>
    <row r="6827" spans="1:2" x14ac:dyDescent="0.3">
      <c r="A6827" s="5">
        <v>45174</v>
      </c>
      <c r="B6827" s="10">
        <v>27679</v>
      </c>
    </row>
    <row r="6828" spans="1:2" x14ac:dyDescent="0.3">
      <c r="A6828" s="5">
        <v>45175</v>
      </c>
      <c r="B6828" s="10">
        <v>27630</v>
      </c>
    </row>
    <row r="6829" spans="1:2" x14ac:dyDescent="0.3">
      <c r="A6829" s="5">
        <v>45176</v>
      </c>
      <c r="B6829" s="10">
        <v>27651</v>
      </c>
    </row>
    <row r="6830" spans="1:2" x14ac:dyDescent="0.3">
      <c r="A6830" s="5">
        <v>45177</v>
      </c>
      <c r="B6830" s="10">
        <v>27686</v>
      </c>
    </row>
    <row r="6831" spans="1:2" x14ac:dyDescent="0.3">
      <c r="A6831" s="5">
        <v>45180</v>
      </c>
      <c r="B6831" s="10">
        <v>27737</v>
      </c>
    </row>
    <row r="6832" spans="1:2" x14ac:dyDescent="0.3">
      <c r="A6832" s="5">
        <v>45181</v>
      </c>
      <c r="B6832" s="10">
        <v>27767</v>
      </c>
    </row>
    <row r="6833" spans="1:2" x14ac:dyDescent="0.3">
      <c r="A6833" s="5">
        <v>45182</v>
      </c>
      <c r="B6833" s="10">
        <v>27786</v>
      </c>
    </row>
    <row r="6834" spans="1:2" x14ac:dyDescent="0.3">
      <c r="A6834" s="5">
        <v>45183</v>
      </c>
      <c r="B6834" s="10">
        <v>27784</v>
      </c>
    </row>
    <row r="6835" spans="1:2" x14ac:dyDescent="0.3">
      <c r="A6835" s="5">
        <v>45184</v>
      </c>
      <c r="B6835" s="10">
        <v>27530</v>
      </c>
    </row>
    <row r="6836" spans="1:2" x14ac:dyDescent="0.3">
      <c r="A6836" s="5">
        <v>45187</v>
      </c>
      <c r="B6836" s="10">
        <v>27470</v>
      </c>
    </row>
    <row r="6837" spans="1:2" x14ac:dyDescent="0.3">
      <c r="A6837" s="5">
        <v>45188</v>
      </c>
      <c r="B6837" s="10">
        <v>27438</v>
      </c>
    </row>
    <row r="6838" spans="1:2" x14ac:dyDescent="0.3">
      <c r="A6838" s="5">
        <v>45189</v>
      </c>
      <c r="B6838" s="10">
        <v>27425</v>
      </c>
    </row>
    <row r="6839" spans="1:2" x14ac:dyDescent="0.3">
      <c r="A6839" s="5">
        <v>45190</v>
      </c>
      <c r="B6839" s="10">
        <v>27342</v>
      </c>
    </row>
    <row r="6840" spans="1:2" x14ac:dyDescent="0.3">
      <c r="A6840" s="5">
        <v>45191</v>
      </c>
      <c r="B6840" s="10">
        <v>27254</v>
      </c>
    </row>
    <row r="6841" spans="1:2" x14ac:dyDescent="0.3">
      <c r="A6841" s="5">
        <v>45194</v>
      </c>
      <c r="B6841" s="10">
        <v>27204</v>
      </c>
    </row>
    <row r="6842" spans="1:2" x14ac:dyDescent="0.3">
      <c r="A6842" s="5">
        <v>45195</v>
      </c>
      <c r="B6842" s="10">
        <v>27152</v>
      </c>
    </row>
    <row r="6843" spans="1:2" x14ac:dyDescent="0.3">
      <c r="A6843" s="5">
        <v>45196</v>
      </c>
      <c r="B6843" s="10">
        <v>27057</v>
      </c>
    </row>
    <row r="6844" spans="1:2" x14ac:dyDescent="0.3">
      <c r="A6844" s="5">
        <v>45197</v>
      </c>
      <c r="B6844" s="10">
        <v>27068</v>
      </c>
    </row>
    <row r="6845" spans="1:2" x14ac:dyDescent="0.3">
      <c r="A6845" s="5">
        <v>45198</v>
      </c>
      <c r="B6845" s="10">
        <v>26925</v>
      </c>
    </row>
    <row r="6846" spans="1:2" x14ac:dyDescent="0.3">
      <c r="A6846" s="5">
        <v>45201</v>
      </c>
      <c r="B6846" s="10">
        <v>26634</v>
      </c>
    </row>
    <row r="6847" spans="1:2" x14ac:dyDescent="0.3">
      <c r="A6847" s="5">
        <v>45202</v>
      </c>
      <c r="B6847" s="10">
        <v>26558</v>
      </c>
    </row>
    <row r="6848" spans="1:2" x14ac:dyDescent="0.3">
      <c r="A6848" s="5">
        <v>45203</v>
      </c>
      <c r="B6848" s="10">
        <v>26470</v>
      </c>
    </row>
    <row r="6849" spans="1:2" x14ac:dyDescent="0.3">
      <c r="A6849" s="5">
        <v>45204</v>
      </c>
      <c r="B6849" s="10">
        <v>26382</v>
      </c>
    </row>
    <row r="6850" spans="1:2" x14ac:dyDescent="0.3">
      <c r="A6850" s="5">
        <v>45205</v>
      </c>
      <c r="B6850" s="10">
        <v>26262</v>
      </c>
    </row>
    <row r="6851" spans="1:2" x14ac:dyDescent="0.3">
      <c r="A6851" s="5">
        <v>45208</v>
      </c>
      <c r="B6851" s="10">
        <v>26269</v>
      </c>
    </row>
    <row r="6852" spans="1:2" x14ac:dyDescent="0.3">
      <c r="A6852" s="5">
        <v>45209</v>
      </c>
      <c r="B6852" s="10">
        <v>26059</v>
      </c>
    </row>
    <row r="6853" spans="1:2" x14ac:dyDescent="0.3">
      <c r="A6853" s="5">
        <v>45210</v>
      </c>
      <c r="B6853" s="10">
        <v>25772</v>
      </c>
    </row>
    <row r="6854" spans="1:2" x14ac:dyDescent="0.3">
      <c r="A6854" s="5">
        <v>45211</v>
      </c>
      <c r="B6854" s="10">
        <v>25225</v>
      </c>
    </row>
    <row r="6855" spans="1:2" x14ac:dyDescent="0.3">
      <c r="A6855" s="5">
        <v>45216</v>
      </c>
      <c r="B6855" s="10">
        <v>24995</v>
      </c>
    </row>
    <row r="6856" spans="1:2" x14ac:dyDescent="0.3">
      <c r="A6856" s="5">
        <v>45217</v>
      </c>
      <c r="B6856" s="10">
        <v>24789</v>
      </c>
    </row>
    <row r="6857" spans="1:2" x14ac:dyDescent="0.3">
      <c r="A6857" s="5">
        <v>45218</v>
      </c>
      <c r="B6857" s="10">
        <v>24793</v>
      </c>
    </row>
    <row r="6858" spans="1:2" x14ac:dyDescent="0.3">
      <c r="A6858" s="5">
        <v>45219</v>
      </c>
      <c r="B6858" s="10">
        <v>24543</v>
      </c>
    </row>
    <row r="6859" spans="1:2" x14ac:dyDescent="0.3">
      <c r="A6859" s="5">
        <v>45222</v>
      </c>
      <c r="B6859" s="10">
        <v>24553</v>
      </c>
    </row>
    <row r="6860" spans="1:2" x14ac:dyDescent="0.3">
      <c r="A6860" s="5">
        <v>45223</v>
      </c>
      <c r="B6860" s="10">
        <v>24556</v>
      </c>
    </row>
    <row r="6861" spans="1:2" x14ac:dyDescent="0.3">
      <c r="A6861" s="5">
        <v>45224</v>
      </c>
      <c r="B6861" s="10">
        <v>24499</v>
      </c>
    </row>
    <row r="6862" spans="1:2" x14ac:dyDescent="0.3">
      <c r="A6862" s="5">
        <v>45225</v>
      </c>
      <c r="B6862" s="10">
        <v>24553</v>
      </c>
    </row>
    <row r="6863" spans="1:2" x14ac:dyDescent="0.3">
      <c r="A6863" s="5">
        <v>45226</v>
      </c>
      <c r="B6863" s="10">
        <v>24561</v>
      </c>
    </row>
    <row r="6864" spans="1:2" x14ac:dyDescent="0.3">
      <c r="A6864" s="5">
        <v>45229</v>
      </c>
      <c r="B6864" s="10">
        <v>24614</v>
      </c>
    </row>
    <row r="6865" spans="1:2" x14ac:dyDescent="0.3">
      <c r="A6865" s="5">
        <v>45230</v>
      </c>
      <c r="B6865" s="10">
        <v>22559</v>
      </c>
    </row>
    <row r="6866" spans="1:2" x14ac:dyDescent="0.3">
      <c r="A6866" s="5">
        <v>45231</v>
      </c>
      <c r="B6866" s="10">
        <v>21876</v>
      </c>
    </row>
    <row r="6867" spans="1:2" x14ac:dyDescent="0.3">
      <c r="A6867" s="5">
        <v>45232</v>
      </c>
      <c r="B6867" s="10">
        <v>21878</v>
      </c>
    </row>
    <row r="6868" spans="1:2" x14ac:dyDescent="0.3">
      <c r="A6868" s="5">
        <v>45233</v>
      </c>
      <c r="B6868" s="10">
        <v>21883</v>
      </c>
    </row>
    <row r="6869" spans="1:2" x14ac:dyDescent="0.3">
      <c r="A6869" s="5">
        <v>45237</v>
      </c>
      <c r="B6869" s="10">
        <v>20928</v>
      </c>
    </row>
    <row r="6870" spans="1:2" x14ac:dyDescent="0.3">
      <c r="A6870" s="5">
        <v>45238</v>
      </c>
      <c r="B6870" s="10">
        <v>20938</v>
      </c>
    </row>
    <row r="6871" spans="1:2" x14ac:dyDescent="0.3">
      <c r="A6871" s="5">
        <v>45239</v>
      </c>
      <c r="B6871" s="10">
        <v>20950</v>
      </c>
    </row>
    <row r="6872" spans="1:2" x14ac:dyDescent="0.3">
      <c r="A6872" s="5">
        <v>45240</v>
      </c>
      <c r="B6872" s="10">
        <v>20905</v>
      </c>
    </row>
    <row r="6873" spans="1:2" x14ac:dyDescent="0.3">
      <c r="A6873" s="5">
        <v>45243</v>
      </c>
      <c r="B6873" s="10">
        <v>20977</v>
      </c>
    </row>
    <row r="6874" spans="1:2" x14ac:dyDescent="0.3">
      <c r="A6874" s="5">
        <v>45244</v>
      </c>
      <c r="B6874" s="10">
        <v>21167</v>
      </c>
    </row>
    <row r="6875" spans="1:2" x14ac:dyDescent="0.3">
      <c r="A6875" s="5">
        <v>45245</v>
      </c>
      <c r="B6875" s="10">
        <v>21102</v>
      </c>
    </row>
    <row r="6876" spans="1:2" x14ac:dyDescent="0.3">
      <c r="A6876" s="5">
        <v>45246</v>
      </c>
      <c r="B6876" s="10">
        <v>21403</v>
      </c>
    </row>
    <row r="6877" spans="1:2" x14ac:dyDescent="0.3">
      <c r="A6877" s="5">
        <v>45247</v>
      </c>
      <c r="B6877" s="10">
        <v>21505</v>
      </c>
    </row>
    <row r="6878" spans="1:2" x14ac:dyDescent="0.3">
      <c r="A6878" s="5">
        <v>45251</v>
      </c>
      <c r="B6878" s="10">
        <v>21631</v>
      </c>
    </row>
    <row r="6879" spans="1:2" x14ac:dyDescent="0.3">
      <c r="A6879" s="5">
        <v>45252</v>
      </c>
      <c r="B6879" s="10">
        <v>21539</v>
      </c>
    </row>
    <row r="6880" spans="1:2" x14ac:dyDescent="0.3">
      <c r="A6880" s="5">
        <v>45253</v>
      </c>
      <c r="B6880" s="10">
        <v>21554</v>
      </c>
    </row>
    <row r="6881" spans="1:2" x14ac:dyDescent="0.3">
      <c r="A6881" s="5">
        <v>45254</v>
      </c>
      <c r="B6881" s="10">
        <v>21551</v>
      </c>
    </row>
    <row r="6882" spans="1:2" x14ac:dyDescent="0.3">
      <c r="A6882" s="5">
        <v>45257</v>
      </c>
      <c r="B6882" s="10">
        <v>21538</v>
      </c>
    </row>
    <row r="6883" spans="1:2" x14ac:dyDescent="0.3">
      <c r="A6883" s="5">
        <v>45258</v>
      </c>
      <c r="B6883" s="10">
        <v>21535</v>
      </c>
    </row>
    <row r="6884" spans="1:2" x14ac:dyDescent="0.3">
      <c r="A6884" s="5">
        <v>45259</v>
      </c>
      <c r="B6884" s="10">
        <v>21603</v>
      </c>
    </row>
    <row r="6885" spans="1:2" x14ac:dyDescent="0.3">
      <c r="A6885" s="5">
        <v>45260</v>
      </c>
      <c r="B6885" s="10">
        <v>21513</v>
      </c>
    </row>
    <row r="6886" spans="1:2" x14ac:dyDescent="0.3">
      <c r="A6886" s="5">
        <v>45261</v>
      </c>
      <c r="B6886" s="10">
        <v>21428</v>
      </c>
    </row>
    <row r="6887" spans="1:2" x14ac:dyDescent="0.3">
      <c r="A6887" s="5">
        <v>45264</v>
      </c>
      <c r="B6887" s="10">
        <v>21329</v>
      </c>
    </row>
    <row r="6888" spans="1:2" x14ac:dyDescent="0.3">
      <c r="A6888" s="5">
        <v>45265</v>
      </c>
      <c r="B6888" s="10">
        <v>21345</v>
      </c>
    </row>
    <row r="6889" spans="1:2" x14ac:dyDescent="0.3">
      <c r="A6889" s="5">
        <v>45266</v>
      </c>
      <c r="B6889" s="10">
        <v>21168</v>
      </c>
    </row>
    <row r="6890" spans="1:2" x14ac:dyDescent="0.3">
      <c r="A6890" s="5">
        <v>45267</v>
      </c>
      <c r="B6890" s="10">
        <v>21209</v>
      </c>
    </row>
    <row r="6891" spans="1:2" x14ac:dyDescent="0.3">
      <c r="A6891" s="5">
        <v>45271</v>
      </c>
      <c r="B6891" s="10">
        <v>21017</v>
      </c>
    </row>
    <row r="6892" spans="1:2" x14ac:dyDescent="0.3">
      <c r="A6892" s="5">
        <v>45272</v>
      </c>
      <c r="B6892" s="10">
        <v>20920</v>
      </c>
    </row>
    <row r="6893" spans="1:2" x14ac:dyDescent="0.3">
      <c r="A6893" s="5">
        <v>45273</v>
      </c>
      <c r="B6893" s="10">
        <v>21133</v>
      </c>
    </row>
    <row r="6894" spans="1:2" x14ac:dyDescent="0.3">
      <c r="A6894" s="5">
        <v>45274</v>
      </c>
      <c r="B6894" s="10">
        <v>21499</v>
      </c>
    </row>
    <row r="6895" spans="1:2" x14ac:dyDescent="0.3">
      <c r="A6895" s="5">
        <v>45275</v>
      </c>
      <c r="B6895" s="10">
        <v>21451</v>
      </c>
    </row>
    <row r="6896" spans="1:2" x14ac:dyDescent="0.3">
      <c r="A6896" s="5">
        <v>45278</v>
      </c>
      <c r="B6896" s="10">
        <v>21477</v>
      </c>
    </row>
    <row r="6897" spans="1:2" x14ac:dyDescent="0.3">
      <c r="A6897" s="5">
        <v>45279</v>
      </c>
      <c r="B6897" s="10">
        <v>22663</v>
      </c>
    </row>
    <row r="6898" spans="1:2" x14ac:dyDescent="0.3">
      <c r="A6898" s="5">
        <v>45280</v>
      </c>
      <c r="B6898" s="10">
        <v>22758</v>
      </c>
    </row>
    <row r="6899" spans="1:2" x14ac:dyDescent="0.3">
      <c r="A6899" s="5">
        <v>45281</v>
      </c>
      <c r="B6899" s="10">
        <v>22209</v>
      </c>
    </row>
    <row r="6900" spans="1:2" x14ac:dyDescent="0.3">
      <c r="A6900" s="5">
        <v>45282</v>
      </c>
      <c r="B6900" s="10">
        <v>22581</v>
      </c>
    </row>
    <row r="6901" spans="1:2" x14ac:dyDescent="0.3">
      <c r="A6901" s="5">
        <v>45286</v>
      </c>
      <c r="B6901" s="10">
        <v>22571</v>
      </c>
    </row>
    <row r="6902" spans="1:2" x14ac:dyDescent="0.3">
      <c r="A6902" s="5">
        <v>45287</v>
      </c>
      <c r="B6902" s="10">
        <v>22763</v>
      </c>
    </row>
    <row r="6903" spans="1:2" x14ac:dyDescent="0.3">
      <c r="A6903" s="5">
        <v>45288</v>
      </c>
      <c r="B6903" s="10">
        <v>23125</v>
      </c>
    </row>
    <row r="6904" spans="1:2" x14ac:dyDescent="0.3">
      <c r="A6904" s="5">
        <v>45289</v>
      </c>
      <c r="B6904" s="10">
        <v>23073</v>
      </c>
    </row>
    <row r="6905" spans="1:2" x14ac:dyDescent="0.3">
      <c r="A6905" s="5">
        <v>45293</v>
      </c>
      <c r="B6905" s="10">
        <v>23470</v>
      </c>
    </row>
    <row r="6906" spans="1:2" x14ac:dyDescent="0.3">
      <c r="A6906" s="5">
        <v>45294</v>
      </c>
      <c r="B6906" s="10">
        <v>23677</v>
      </c>
    </row>
    <row r="6907" spans="1:2" x14ac:dyDescent="0.3">
      <c r="A6907" s="5">
        <v>45295</v>
      </c>
      <c r="B6907" s="10">
        <v>23835</v>
      </c>
    </row>
    <row r="6908" spans="1:2" x14ac:dyDescent="0.3">
      <c r="A6908" s="5">
        <v>45296</v>
      </c>
      <c r="B6908" s="10">
        <v>24119</v>
      </c>
    </row>
    <row r="6909" spans="1:2" x14ac:dyDescent="0.3">
      <c r="A6909" s="5">
        <v>45299</v>
      </c>
      <c r="B6909" s="10">
        <v>23233</v>
      </c>
    </row>
    <row r="6910" spans="1:2" x14ac:dyDescent="0.3">
      <c r="A6910" s="5">
        <v>45300</v>
      </c>
      <c r="B6910" s="10">
        <v>23286</v>
      </c>
    </row>
    <row r="6911" spans="1:2" x14ac:dyDescent="0.3">
      <c r="A6911" s="5">
        <v>45301</v>
      </c>
      <c r="B6911" s="10">
        <v>23411</v>
      </c>
    </row>
    <row r="6912" spans="1:2" x14ac:dyDescent="0.3">
      <c r="A6912" s="5">
        <v>45302</v>
      </c>
      <c r="B6912" s="10">
        <v>23571</v>
      </c>
    </row>
    <row r="6913" spans="1:2" x14ac:dyDescent="0.3">
      <c r="A6913" s="5">
        <v>45303</v>
      </c>
      <c r="B6913" s="10">
        <v>23980</v>
      </c>
    </row>
    <row r="6914" spans="1:2" x14ac:dyDescent="0.3">
      <c r="A6914" s="5">
        <v>45306</v>
      </c>
      <c r="B6914" s="10">
        <v>24001</v>
      </c>
    </row>
    <row r="6915" spans="1:2" x14ac:dyDescent="0.3">
      <c r="A6915" s="5">
        <v>45307</v>
      </c>
      <c r="B6915" s="10">
        <v>23972</v>
      </c>
    </row>
    <row r="6916" spans="1:2" x14ac:dyDescent="0.3">
      <c r="A6916" s="5">
        <v>45308</v>
      </c>
      <c r="B6916" s="10">
        <v>24167</v>
      </c>
    </row>
    <row r="6917" spans="1:2" x14ac:dyDescent="0.3">
      <c r="A6917" s="5">
        <v>45309</v>
      </c>
      <c r="B6917" s="10">
        <v>24300</v>
      </c>
    </row>
    <row r="6918" spans="1:2" x14ac:dyDescent="0.3">
      <c r="A6918" s="5">
        <v>45310</v>
      </c>
      <c r="B6918" s="10">
        <v>24427</v>
      </c>
    </row>
    <row r="6919" spans="1:2" x14ac:dyDescent="0.3">
      <c r="A6919" s="5">
        <v>45313</v>
      </c>
      <c r="B6919" s="10">
        <v>24488</v>
      </c>
    </row>
    <row r="6920" spans="1:2" x14ac:dyDescent="0.3">
      <c r="A6920" s="5">
        <v>45314</v>
      </c>
      <c r="B6920" s="10">
        <v>24675</v>
      </c>
    </row>
    <row r="6921" spans="1:2" x14ac:dyDescent="0.3">
      <c r="A6921" s="5">
        <v>45315</v>
      </c>
      <c r="B6921" s="10">
        <v>24848</v>
      </c>
    </row>
    <row r="6922" spans="1:2" x14ac:dyDescent="0.3">
      <c r="A6922" s="5">
        <v>45316</v>
      </c>
      <c r="B6922" s="10">
        <v>24859</v>
      </c>
    </row>
    <row r="6923" spans="1:2" x14ac:dyDescent="0.3">
      <c r="A6923" s="5">
        <v>45317</v>
      </c>
      <c r="B6923" s="10">
        <v>25007</v>
      </c>
    </row>
    <row r="6924" spans="1:2" x14ac:dyDescent="0.3">
      <c r="A6924" s="5">
        <v>45320</v>
      </c>
      <c r="B6924" s="10">
        <v>25158</v>
      </c>
    </row>
    <row r="6925" spans="1:2" x14ac:dyDescent="0.3">
      <c r="A6925" s="5">
        <v>45321</v>
      </c>
      <c r="B6925" s="10">
        <v>25105</v>
      </c>
    </row>
    <row r="6926" spans="1:2" x14ac:dyDescent="0.3">
      <c r="A6926" s="5">
        <v>45322</v>
      </c>
      <c r="B6926" s="10">
        <v>27642</v>
      </c>
    </row>
    <row r="6927" spans="1:2" x14ac:dyDescent="0.3">
      <c r="A6927" s="5">
        <v>45323</v>
      </c>
      <c r="B6927" s="10">
        <v>27072</v>
      </c>
    </row>
    <row r="6928" spans="1:2" x14ac:dyDescent="0.3">
      <c r="A6928" s="5">
        <v>45324</v>
      </c>
      <c r="B6928" s="10">
        <v>27016</v>
      </c>
    </row>
    <row r="6929" spans="1:2" x14ac:dyDescent="0.3">
      <c r="A6929" s="5">
        <v>45327</v>
      </c>
      <c r="B6929" s="10">
        <v>26991</v>
      </c>
    </row>
    <row r="6930" spans="1:2" x14ac:dyDescent="0.3">
      <c r="A6930" s="5">
        <v>45328</v>
      </c>
      <c r="B6930" s="10">
        <v>26414</v>
      </c>
    </row>
    <row r="6931" spans="1:2" x14ac:dyDescent="0.3">
      <c r="A6931" s="5">
        <v>45329</v>
      </c>
      <c r="B6931" s="10">
        <v>26483</v>
      </c>
    </row>
    <row r="6932" spans="1:2" x14ac:dyDescent="0.3">
      <c r="A6932" s="5">
        <v>45330</v>
      </c>
      <c r="B6932" s="10">
        <v>26377</v>
      </c>
    </row>
    <row r="6933" spans="1:2" x14ac:dyDescent="0.3">
      <c r="A6933" s="5">
        <v>45331</v>
      </c>
      <c r="B6933" s="10">
        <v>26502</v>
      </c>
    </row>
    <row r="6934" spans="1:2" x14ac:dyDescent="0.3">
      <c r="A6934" s="5">
        <v>45336</v>
      </c>
      <c r="B6934" s="10">
        <v>26603</v>
      </c>
    </row>
    <row r="6935" spans="1:2" x14ac:dyDescent="0.3">
      <c r="A6935" s="5">
        <v>45337</v>
      </c>
      <c r="B6935" s="10">
        <v>26641</v>
      </c>
    </row>
    <row r="6936" spans="1:2" x14ac:dyDescent="0.3">
      <c r="A6936" s="5">
        <v>45338</v>
      </c>
      <c r="B6936" s="10">
        <v>26860</v>
      </c>
    </row>
    <row r="6937" spans="1:2" x14ac:dyDescent="0.3">
      <c r="A6937" s="5">
        <v>45341</v>
      </c>
      <c r="B6937" s="10">
        <v>26859</v>
      </c>
    </row>
    <row r="6938" spans="1:2" x14ac:dyDescent="0.3">
      <c r="A6938" s="5">
        <v>45342</v>
      </c>
      <c r="B6938" s="10">
        <v>27104</v>
      </c>
    </row>
    <row r="6939" spans="1:2" x14ac:dyDescent="0.3">
      <c r="A6939" s="5">
        <v>45343</v>
      </c>
      <c r="B6939" s="10">
        <v>27140</v>
      </c>
    </row>
    <row r="6940" spans="1:2" x14ac:dyDescent="0.3">
      <c r="A6940" s="5">
        <v>45344</v>
      </c>
      <c r="B6940" s="10">
        <v>27347</v>
      </c>
    </row>
    <row r="6941" spans="1:2" x14ac:dyDescent="0.3">
      <c r="A6941" s="5">
        <v>45345</v>
      </c>
      <c r="B6941" s="10">
        <v>27485</v>
      </c>
    </row>
    <row r="6942" spans="1:2" x14ac:dyDescent="0.3">
      <c r="A6942" s="5">
        <v>45348</v>
      </c>
      <c r="B6942" s="10">
        <v>27490</v>
      </c>
    </row>
    <row r="6943" spans="1:2" x14ac:dyDescent="0.3">
      <c r="A6943" s="5">
        <v>45349</v>
      </c>
      <c r="B6943" s="10">
        <v>27558</v>
      </c>
    </row>
    <row r="6944" spans="1:2" x14ac:dyDescent="0.3">
      <c r="A6944" s="5">
        <v>45350</v>
      </c>
      <c r="B6944" s="10">
        <v>27597</v>
      </c>
    </row>
    <row r="6945" spans="1:2" x14ac:dyDescent="0.3">
      <c r="A6945" s="5">
        <v>45351</v>
      </c>
      <c r="B6945" s="10">
        <v>26690</v>
      </c>
    </row>
    <row r="6946" spans="1:2" x14ac:dyDescent="0.3">
      <c r="A6946" s="5">
        <v>45352</v>
      </c>
      <c r="B6946" s="10">
        <v>27334</v>
      </c>
    </row>
    <row r="6947" spans="1:2" x14ac:dyDescent="0.3">
      <c r="A6947" s="5">
        <v>45355</v>
      </c>
      <c r="B6947" s="10">
        <v>27641</v>
      </c>
    </row>
    <row r="6948" spans="1:2" x14ac:dyDescent="0.3">
      <c r="A6948" s="5">
        <v>45356</v>
      </c>
      <c r="B6948" s="10">
        <v>27755</v>
      </c>
    </row>
    <row r="6949" spans="1:2" x14ac:dyDescent="0.3">
      <c r="A6949" s="5">
        <v>45357</v>
      </c>
      <c r="B6949" s="10">
        <v>27854</v>
      </c>
    </row>
    <row r="6950" spans="1:2" x14ac:dyDescent="0.3">
      <c r="A6950" s="5">
        <v>45358</v>
      </c>
      <c r="B6950" s="10">
        <v>28049</v>
      </c>
    </row>
    <row r="6951" spans="1:2" x14ac:dyDescent="0.3">
      <c r="A6951" s="5">
        <v>45359</v>
      </c>
      <c r="B6951" s="10">
        <v>28221</v>
      </c>
    </row>
    <row r="6952" spans="1:2" x14ac:dyDescent="0.3">
      <c r="A6952" s="5">
        <v>45362</v>
      </c>
      <c r="B6952" s="10">
        <v>28296</v>
      </c>
    </row>
    <row r="6953" spans="1:2" x14ac:dyDescent="0.3">
      <c r="A6953" s="5">
        <v>45363</v>
      </c>
      <c r="B6953" s="10">
        <v>28272</v>
      </c>
    </row>
    <row r="6954" spans="1:2" x14ac:dyDescent="0.3">
      <c r="A6954" s="5">
        <v>45364</v>
      </c>
      <c r="B6954" s="10">
        <v>28488</v>
      </c>
    </row>
    <row r="6955" spans="1:2" x14ac:dyDescent="0.3">
      <c r="A6955" s="5">
        <v>45365</v>
      </c>
      <c r="B6955" s="10">
        <v>28489</v>
      </c>
    </row>
    <row r="6956" spans="1:2" x14ac:dyDescent="0.3">
      <c r="A6956" s="5">
        <v>45366</v>
      </c>
      <c r="B6956" s="10">
        <v>28209</v>
      </c>
    </row>
    <row r="6957" spans="1:2" x14ac:dyDescent="0.3">
      <c r="A6957" s="5">
        <v>45369</v>
      </c>
      <c r="B6957" s="10">
        <v>28176</v>
      </c>
    </row>
    <row r="6958" spans="1:2" x14ac:dyDescent="0.3">
      <c r="A6958" s="5">
        <v>45370</v>
      </c>
      <c r="B6958" s="10">
        <v>27979</v>
      </c>
    </row>
    <row r="6959" spans="1:2" x14ac:dyDescent="0.3">
      <c r="A6959" s="5">
        <v>45371</v>
      </c>
      <c r="B6959" s="10">
        <v>28041</v>
      </c>
    </row>
    <row r="6960" spans="1:2" x14ac:dyDescent="0.3">
      <c r="A6960" s="5">
        <v>45372</v>
      </c>
      <c r="B6960" s="10">
        <v>28107</v>
      </c>
    </row>
    <row r="6961" spans="1:2" x14ac:dyDescent="0.3">
      <c r="A6961" s="5">
        <v>45373</v>
      </c>
      <c r="B6961" s="10">
        <v>28025</v>
      </c>
    </row>
    <row r="6962" spans="1:2" x14ac:dyDescent="0.3">
      <c r="A6962" s="5">
        <v>45376</v>
      </c>
      <c r="B6962" s="10">
        <v>28266</v>
      </c>
    </row>
    <row r="6963" spans="1:2" x14ac:dyDescent="0.3">
      <c r="A6963" s="5">
        <v>45377</v>
      </c>
      <c r="B6963" s="10">
        <v>27644</v>
      </c>
    </row>
    <row r="6964" spans="1:2" x14ac:dyDescent="0.3">
      <c r="A6964" s="5">
        <v>45378</v>
      </c>
      <c r="B6964" s="10">
        <v>27127</v>
      </c>
    </row>
    <row r="6965" spans="1:2" x14ac:dyDescent="0.3">
      <c r="A6965" s="5">
        <v>45385</v>
      </c>
      <c r="B6965" s="10">
        <v>27882</v>
      </c>
    </row>
    <row r="6966" spans="1:2" x14ac:dyDescent="0.3">
      <c r="A6966" s="5">
        <v>45386</v>
      </c>
      <c r="B6966" s="10">
        <v>28400</v>
      </c>
    </row>
    <row r="6967" spans="1:2" x14ac:dyDescent="0.3">
      <c r="A6967" s="5">
        <v>45387</v>
      </c>
      <c r="B6967" s="10">
        <v>28765</v>
      </c>
    </row>
    <row r="6968" spans="1:2" x14ac:dyDescent="0.3">
      <c r="A6968" s="5">
        <v>45390</v>
      </c>
      <c r="B6968" s="10">
        <v>28904</v>
      </c>
    </row>
    <row r="6969" spans="1:2" x14ac:dyDescent="0.3">
      <c r="A6969" s="5">
        <v>45391</v>
      </c>
      <c r="B6969" s="10">
        <v>29043</v>
      </c>
    </row>
    <row r="6970" spans="1:2" x14ac:dyDescent="0.3">
      <c r="A6970" s="5">
        <v>45392</v>
      </c>
      <c r="B6970" s="10">
        <v>29047</v>
      </c>
    </row>
    <row r="6971" spans="1:2" x14ac:dyDescent="0.3">
      <c r="A6971" s="5">
        <v>45393</v>
      </c>
      <c r="B6971" s="10">
        <v>29181</v>
      </c>
    </row>
    <row r="6972" spans="1:2" x14ac:dyDescent="0.3">
      <c r="A6972" s="5">
        <v>45394</v>
      </c>
      <c r="B6972" s="10">
        <v>29321</v>
      </c>
    </row>
    <row r="6973" spans="1:2" x14ac:dyDescent="0.3">
      <c r="A6973" s="5">
        <v>45397</v>
      </c>
      <c r="B6973" s="10">
        <v>29240</v>
      </c>
    </row>
    <row r="6974" spans="1:2" x14ac:dyDescent="0.3">
      <c r="A6974" s="5">
        <v>45398</v>
      </c>
      <c r="B6974" s="10">
        <v>29360</v>
      </c>
    </row>
    <row r="6975" spans="1:2" x14ac:dyDescent="0.3">
      <c r="A6975" s="5">
        <v>45399</v>
      </c>
      <c r="B6975" s="10">
        <v>29471</v>
      </c>
    </row>
    <row r="6976" spans="1:2" x14ac:dyDescent="0.3">
      <c r="A6976" s="5">
        <v>45400</v>
      </c>
      <c r="B6976" s="10">
        <v>29717</v>
      </c>
    </row>
    <row r="6977" spans="1:2" x14ac:dyDescent="0.3">
      <c r="A6977" s="5">
        <v>45401</v>
      </c>
      <c r="B6977" s="10">
        <v>29850</v>
      </c>
    </row>
    <row r="6978" spans="1:2" x14ac:dyDescent="0.3">
      <c r="A6978" s="5">
        <v>45404</v>
      </c>
      <c r="B6978" s="10">
        <v>29907</v>
      </c>
    </row>
    <row r="6979" spans="1:2" x14ac:dyDescent="0.3">
      <c r="A6979" s="5">
        <v>45405</v>
      </c>
      <c r="B6979" s="10">
        <v>29899</v>
      </c>
    </row>
    <row r="6980" spans="1:2" x14ac:dyDescent="0.3">
      <c r="A6980" s="5">
        <v>45406</v>
      </c>
      <c r="B6980" s="10">
        <v>30023</v>
      </c>
    </row>
    <row r="6981" spans="1:2" x14ac:dyDescent="0.3">
      <c r="A6981" s="5">
        <v>45407</v>
      </c>
      <c r="B6981" s="10">
        <v>30096</v>
      </c>
    </row>
    <row r="6982" spans="1:2" x14ac:dyDescent="0.3">
      <c r="A6982" s="5">
        <v>45408</v>
      </c>
      <c r="B6982" s="10">
        <v>30141</v>
      </c>
    </row>
    <row r="6983" spans="1:2" x14ac:dyDescent="0.3">
      <c r="A6983" s="5">
        <v>45411</v>
      </c>
      <c r="B6983" s="10">
        <v>29869</v>
      </c>
    </row>
    <row r="6984" spans="1:2" x14ac:dyDescent="0.3">
      <c r="A6984" s="5">
        <v>45412</v>
      </c>
      <c r="B6984" s="10">
        <v>27578</v>
      </c>
    </row>
    <row r="6985" spans="1:2" x14ac:dyDescent="0.3">
      <c r="A6985" s="5">
        <v>45414</v>
      </c>
      <c r="B6985" s="10">
        <v>28200</v>
      </c>
    </row>
    <row r="6986" spans="1:2" x14ac:dyDescent="0.3">
      <c r="A6986" s="5">
        <v>45415</v>
      </c>
      <c r="B6986" s="10">
        <v>28381</v>
      </c>
    </row>
    <row r="6987" spans="1:2" x14ac:dyDescent="0.3">
      <c r="A6987" s="5">
        <v>45418</v>
      </c>
      <c r="B6987" s="10">
        <v>27688</v>
      </c>
    </row>
    <row r="6988" spans="1:2" x14ac:dyDescent="0.3">
      <c r="A6988" s="5">
        <v>45419</v>
      </c>
      <c r="B6988" s="10">
        <v>27791</v>
      </c>
    </row>
    <row r="6989" spans="1:2" x14ac:dyDescent="0.3">
      <c r="A6989" s="5">
        <v>45420</v>
      </c>
      <c r="B6989" s="10">
        <v>27967</v>
      </c>
    </row>
    <row r="6990" spans="1:2" x14ac:dyDescent="0.3">
      <c r="A6990" s="5">
        <v>45421</v>
      </c>
      <c r="B6990" s="10">
        <v>28037</v>
      </c>
    </row>
    <row r="6991" spans="1:2" x14ac:dyDescent="0.3">
      <c r="A6991" s="5">
        <v>45422</v>
      </c>
      <c r="B6991" s="10">
        <v>28361</v>
      </c>
    </row>
    <row r="6992" spans="1:2" x14ac:dyDescent="0.3">
      <c r="A6992" s="5">
        <v>45425</v>
      </c>
      <c r="B6992" s="10">
        <v>28325</v>
      </c>
    </row>
    <row r="6993" spans="1:2" x14ac:dyDescent="0.3">
      <c r="A6993" s="5">
        <v>45426</v>
      </c>
      <c r="B6993" s="10">
        <v>28368</v>
      </c>
    </row>
    <row r="6994" spans="1:2" x14ac:dyDescent="0.3">
      <c r="A6994" s="5">
        <v>45427</v>
      </c>
      <c r="B6994" s="10">
        <v>28271</v>
      </c>
    </row>
    <row r="6995" spans="1:2" x14ac:dyDescent="0.3">
      <c r="A6995" s="5">
        <v>45428</v>
      </c>
      <c r="B6995" s="10">
        <v>28576</v>
      </c>
    </row>
    <row r="6996" spans="1:2" x14ac:dyDescent="0.3">
      <c r="A6996" s="5">
        <v>45429</v>
      </c>
      <c r="B6996" s="10">
        <v>28801</v>
      </c>
    </row>
    <row r="6997" spans="1:2" x14ac:dyDescent="0.3">
      <c r="A6997" s="5">
        <v>45432</v>
      </c>
      <c r="B6997" s="10">
        <v>28899</v>
      </c>
    </row>
    <row r="6998" spans="1:2" x14ac:dyDescent="0.3">
      <c r="A6998" s="5">
        <v>45433</v>
      </c>
      <c r="B6998" s="10">
        <v>29062</v>
      </c>
    </row>
    <row r="6999" spans="1:2" x14ac:dyDescent="0.3">
      <c r="A6999" s="5">
        <v>45434</v>
      </c>
      <c r="B6999" s="10">
        <v>29081</v>
      </c>
    </row>
    <row r="7000" spans="1:2" x14ac:dyDescent="0.3">
      <c r="A7000" s="5">
        <v>45435</v>
      </c>
      <c r="B7000" s="10">
        <v>29005</v>
      </c>
    </row>
    <row r="7001" spans="1:2" x14ac:dyDescent="0.3">
      <c r="A7001" s="5">
        <v>45436</v>
      </c>
      <c r="B7001" s="10">
        <v>29116</v>
      </c>
    </row>
    <row r="7002" spans="1:2" x14ac:dyDescent="0.3">
      <c r="A7002" s="5">
        <v>45439</v>
      </c>
      <c r="B7002" s="10">
        <v>29157</v>
      </c>
    </row>
    <row r="7003" spans="1:2" x14ac:dyDescent="0.3">
      <c r="A7003" s="5">
        <v>45440</v>
      </c>
      <c r="B7003" s="10">
        <v>29186</v>
      </c>
    </row>
    <row r="7004" spans="1:2" x14ac:dyDescent="0.3">
      <c r="A7004" s="5">
        <v>45441</v>
      </c>
      <c r="B7004" s="10">
        <v>29191</v>
      </c>
    </row>
    <row r="7005" spans="1:2" x14ac:dyDescent="0.3">
      <c r="A7005" s="5">
        <v>45442</v>
      </c>
      <c r="B7005" s="10">
        <v>29066</v>
      </c>
    </row>
    <row r="7006" spans="1:2" x14ac:dyDescent="0.3">
      <c r="A7006" s="5">
        <v>45443</v>
      </c>
      <c r="B7006" s="10">
        <v>28664</v>
      </c>
    </row>
    <row r="7007" spans="1:2" x14ac:dyDescent="0.3">
      <c r="A7007" s="5">
        <v>45446</v>
      </c>
      <c r="B7007" s="10">
        <v>29134</v>
      </c>
    </row>
    <row r="7008" spans="1:2" x14ac:dyDescent="0.3">
      <c r="A7008" s="5">
        <v>45447</v>
      </c>
      <c r="B7008" s="10">
        <v>29289</v>
      </c>
    </row>
    <row r="7009" spans="1:2" x14ac:dyDescent="0.3">
      <c r="A7009" s="5">
        <v>45448</v>
      </c>
      <c r="B7009" s="10">
        <v>29368</v>
      </c>
    </row>
    <row r="7010" spans="1:2" x14ac:dyDescent="0.3">
      <c r="A7010" s="5">
        <v>45449</v>
      </c>
      <c r="B7010" s="10">
        <v>29415</v>
      </c>
    </row>
    <row r="7011" spans="1:2" x14ac:dyDescent="0.3">
      <c r="A7011" s="5">
        <v>45450</v>
      </c>
      <c r="B7011" s="10">
        <v>29300</v>
      </c>
    </row>
    <row r="7012" spans="1:2" x14ac:dyDescent="0.3">
      <c r="A7012" s="5">
        <v>45453</v>
      </c>
      <c r="B7012" s="10">
        <v>29237</v>
      </c>
    </row>
    <row r="7013" spans="1:2" x14ac:dyDescent="0.3">
      <c r="A7013" s="5">
        <v>45454</v>
      </c>
      <c r="B7013" s="10">
        <v>29212</v>
      </c>
    </row>
    <row r="7014" spans="1:2" x14ac:dyDescent="0.3">
      <c r="A7014" s="5">
        <v>45455</v>
      </c>
      <c r="B7014" s="10">
        <v>29268</v>
      </c>
    </row>
    <row r="7015" spans="1:2" x14ac:dyDescent="0.3">
      <c r="A7015" s="5">
        <v>45456</v>
      </c>
      <c r="B7015" s="10">
        <v>29277</v>
      </c>
    </row>
    <row r="7016" spans="1:2" x14ac:dyDescent="0.3">
      <c r="A7016" s="5">
        <v>45457</v>
      </c>
      <c r="B7016" s="10">
        <v>29172</v>
      </c>
    </row>
    <row r="7017" spans="1:2" x14ac:dyDescent="0.3">
      <c r="A7017" s="5">
        <v>45461</v>
      </c>
      <c r="B7017" s="10">
        <v>29959</v>
      </c>
    </row>
    <row r="7018" spans="1:2" x14ac:dyDescent="0.3">
      <c r="A7018" s="5">
        <v>45462</v>
      </c>
      <c r="B7018" s="10">
        <v>29946</v>
      </c>
    </row>
    <row r="7019" spans="1:2" x14ac:dyDescent="0.3">
      <c r="A7019" s="5">
        <v>45467</v>
      </c>
      <c r="B7019" s="10">
        <v>29716</v>
      </c>
    </row>
    <row r="7020" spans="1:2" x14ac:dyDescent="0.3">
      <c r="A7020" s="5">
        <v>45468</v>
      </c>
      <c r="B7020" s="10">
        <v>29783</v>
      </c>
    </row>
    <row r="7021" spans="1:2" x14ac:dyDescent="0.3">
      <c r="A7021" s="5">
        <v>45469</v>
      </c>
      <c r="B7021" s="10">
        <v>29886</v>
      </c>
    </row>
    <row r="7022" spans="1:2" x14ac:dyDescent="0.3">
      <c r="A7022" s="5">
        <v>45470</v>
      </c>
      <c r="B7022" s="10">
        <v>29747</v>
      </c>
    </row>
    <row r="7023" spans="1:2" x14ac:dyDescent="0.3">
      <c r="A7023" s="5">
        <v>45471</v>
      </c>
      <c r="B7023" s="10">
        <v>29022</v>
      </c>
    </row>
    <row r="7024" spans="1:2" x14ac:dyDescent="0.3">
      <c r="A7024" s="5">
        <v>45474</v>
      </c>
      <c r="B7024" s="10">
        <v>29615</v>
      </c>
    </row>
    <row r="7025" spans="1:2" x14ac:dyDescent="0.3">
      <c r="A7025" s="5">
        <v>45475</v>
      </c>
      <c r="B7025" s="10">
        <v>29646</v>
      </c>
    </row>
    <row r="7026" spans="1:2" x14ac:dyDescent="0.3">
      <c r="A7026" s="5">
        <v>45476</v>
      </c>
      <c r="B7026" s="10">
        <v>29812</v>
      </c>
    </row>
    <row r="7027" spans="1:2" x14ac:dyDescent="0.3">
      <c r="A7027" s="5">
        <v>45477</v>
      </c>
      <c r="B7027" s="10">
        <v>29819</v>
      </c>
    </row>
    <row r="7028" spans="1:2" x14ac:dyDescent="0.3">
      <c r="A7028" s="5">
        <v>45478</v>
      </c>
      <c r="B7028" s="10">
        <v>29950</v>
      </c>
    </row>
    <row r="7029" spans="1:2" x14ac:dyDescent="0.3">
      <c r="A7029" s="5">
        <v>45481</v>
      </c>
      <c r="B7029" s="10">
        <v>28348</v>
      </c>
    </row>
    <row r="7030" spans="1:2" x14ac:dyDescent="0.3">
      <c r="A7030" s="5">
        <v>45483</v>
      </c>
      <c r="B7030" s="10">
        <v>28098</v>
      </c>
    </row>
    <row r="7031" spans="1:2" x14ac:dyDescent="0.3">
      <c r="A7031" s="5">
        <v>45484</v>
      </c>
      <c r="B7031" s="10">
        <v>28235</v>
      </c>
    </row>
    <row r="7032" spans="1:2" x14ac:dyDescent="0.3">
      <c r="A7032" s="5">
        <v>45485</v>
      </c>
      <c r="B7032" s="10">
        <v>28282</v>
      </c>
    </row>
    <row r="7033" spans="1:2" x14ac:dyDescent="0.3">
      <c r="A7033" s="5">
        <v>45488</v>
      </c>
      <c r="B7033" s="10">
        <v>28177</v>
      </c>
    </row>
    <row r="7034" spans="1:2" x14ac:dyDescent="0.3">
      <c r="A7034" s="5">
        <v>45489</v>
      </c>
      <c r="B7034" s="10">
        <v>27623</v>
      </c>
    </row>
    <row r="7035" spans="1:2" x14ac:dyDescent="0.3">
      <c r="A7035" s="5">
        <v>45490</v>
      </c>
      <c r="B7035" s="10">
        <v>27583</v>
      </c>
    </row>
    <row r="7036" spans="1:2" x14ac:dyDescent="0.3">
      <c r="A7036" s="5">
        <v>45491</v>
      </c>
      <c r="B7036" s="10">
        <v>27607</v>
      </c>
    </row>
    <row r="7037" spans="1:2" x14ac:dyDescent="0.3">
      <c r="A7037" s="5">
        <v>45492</v>
      </c>
      <c r="B7037" s="10">
        <v>27565</v>
      </c>
    </row>
    <row r="7038" spans="1:2" x14ac:dyDescent="0.3">
      <c r="A7038" s="5">
        <v>45495</v>
      </c>
      <c r="B7038" s="10">
        <v>27425</v>
      </c>
    </row>
    <row r="7039" spans="1:2" x14ac:dyDescent="0.3">
      <c r="A7039" s="5">
        <v>45496</v>
      </c>
      <c r="B7039" s="10">
        <v>27437</v>
      </c>
    </row>
    <row r="7040" spans="1:2" x14ac:dyDescent="0.3">
      <c r="A7040" s="5">
        <v>45497</v>
      </c>
      <c r="B7040" s="10">
        <v>27532</v>
      </c>
    </row>
    <row r="7041" spans="1:2" x14ac:dyDescent="0.3">
      <c r="A7041" s="5">
        <v>45498</v>
      </c>
      <c r="B7041" s="10">
        <v>27330</v>
      </c>
    </row>
    <row r="7042" spans="1:2" x14ac:dyDescent="0.3">
      <c r="A7042" s="5">
        <v>45499</v>
      </c>
      <c r="B7042" s="10">
        <v>27311</v>
      </c>
    </row>
    <row r="7043" spans="1:2" x14ac:dyDescent="0.3">
      <c r="A7043" s="5">
        <v>45502</v>
      </c>
      <c r="B7043" s="10">
        <v>27132</v>
      </c>
    </row>
    <row r="7044" spans="1:2" x14ac:dyDescent="0.3">
      <c r="A7044" s="5">
        <v>45503</v>
      </c>
      <c r="B7044" s="10">
        <v>26997</v>
      </c>
    </row>
    <row r="7045" spans="1:2" x14ac:dyDescent="0.3">
      <c r="A7045" s="5">
        <v>45504</v>
      </c>
      <c r="B7045" s="10">
        <v>26402</v>
      </c>
    </row>
    <row r="7046" spans="1:2" x14ac:dyDescent="0.3">
      <c r="A7046" s="5">
        <v>45505</v>
      </c>
      <c r="B7046" s="10">
        <v>27069</v>
      </c>
    </row>
    <row r="7047" spans="1:2" x14ac:dyDescent="0.3">
      <c r="A7047" s="5">
        <v>45506</v>
      </c>
      <c r="B7047" s="10">
        <v>27571</v>
      </c>
    </row>
    <row r="7048" spans="1:2" x14ac:dyDescent="0.3">
      <c r="A7048" s="5">
        <v>45509</v>
      </c>
      <c r="B7048" s="10">
        <v>28191</v>
      </c>
    </row>
    <row r="7049" spans="1:2" x14ac:dyDescent="0.3">
      <c r="A7049" s="5">
        <v>45510</v>
      </c>
      <c r="B7049" s="10">
        <v>27310</v>
      </c>
    </row>
    <row r="7050" spans="1:2" x14ac:dyDescent="0.3">
      <c r="A7050" s="5">
        <v>45511</v>
      </c>
      <c r="B7050" s="10">
        <v>27231</v>
      </c>
    </row>
    <row r="7051" spans="1:2" x14ac:dyDescent="0.3">
      <c r="A7051" s="5">
        <v>45512</v>
      </c>
      <c r="B7051" s="10">
        <v>27376</v>
      </c>
    </row>
    <row r="7052" spans="1:2" x14ac:dyDescent="0.3">
      <c r="A7052" s="5">
        <v>45513</v>
      </c>
      <c r="B7052" s="10">
        <v>27391</v>
      </c>
    </row>
    <row r="7053" spans="1:2" x14ac:dyDescent="0.3">
      <c r="A7053" s="5">
        <v>45516</v>
      </c>
      <c r="B7053" s="10">
        <v>27473</v>
      </c>
    </row>
    <row r="7054" spans="1:2" x14ac:dyDescent="0.3">
      <c r="A7054" s="5">
        <v>45517</v>
      </c>
      <c r="B7054" s="10">
        <v>27585</v>
      </c>
    </row>
    <row r="7055" spans="1:2" x14ac:dyDescent="0.3">
      <c r="A7055" s="5">
        <v>45518</v>
      </c>
      <c r="B7055" s="10">
        <v>27571</v>
      </c>
    </row>
    <row r="7056" spans="1:2" x14ac:dyDescent="0.3">
      <c r="A7056" s="5">
        <v>45519</v>
      </c>
      <c r="B7056" s="10">
        <v>27419</v>
      </c>
    </row>
    <row r="7057" spans="1:2" x14ac:dyDescent="0.3">
      <c r="A7057" s="5">
        <v>45520</v>
      </c>
      <c r="B7057" s="10">
        <v>27541</v>
      </c>
    </row>
    <row r="7058" spans="1:2" x14ac:dyDescent="0.3">
      <c r="A7058" s="5">
        <v>45523</v>
      </c>
      <c r="B7058" s="10">
        <v>27512</v>
      </c>
    </row>
    <row r="7059" spans="1:2" x14ac:dyDescent="0.3">
      <c r="A7059" s="5">
        <v>45524</v>
      </c>
      <c r="B7059" s="10">
        <v>27674</v>
      </c>
    </row>
    <row r="7060" spans="1:2" x14ac:dyDescent="0.3">
      <c r="A7060" s="5">
        <v>45525</v>
      </c>
      <c r="B7060" s="10">
        <v>27662</v>
      </c>
    </row>
    <row r="7061" spans="1:2" x14ac:dyDescent="0.3">
      <c r="A7061" s="5">
        <v>45526</v>
      </c>
      <c r="B7061" s="10">
        <v>27658</v>
      </c>
    </row>
    <row r="7062" spans="1:2" x14ac:dyDescent="0.3">
      <c r="A7062" s="5">
        <v>45527</v>
      </c>
      <c r="B7062" s="10">
        <v>27845</v>
      </c>
    </row>
    <row r="7063" spans="1:2" x14ac:dyDescent="0.3">
      <c r="A7063" s="5">
        <v>45530</v>
      </c>
      <c r="B7063" s="10">
        <v>27874</v>
      </c>
    </row>
    <row r="7064" spans="1:2" x14ac:dyDescent="0.3">
      <c r="A7064" s="5">
        <v>45531</v>
      </c>
      <c r="B7064" s="10">
        <v>27954</v>
      </c>
    </row>
    <row r="7065" spans="1:2" x14ac:dyDescent="0.3">
      <c r="A7065" s="5">
        <v>45532</v>
      </c>
      <c r="B7065" s="10">
        <v>27861</v>
      </c>
    </row>
    <row r="7066" spans="1:2" x14ac:dyDescent="0.3">
      <c r="A7066" s="5">
        <v>45533</v>
      </c>
      <c r="B7066" s="10">
        <v>27767</v>
      </c>
    </row>
    <row r="7067" spans="1:2" x14ac:dyDescent="0.3">
      <c r="A7067" s="5">
        <v>45534</v>
      </c>
      <c r="B7067" s="10">
        <v>26719</v>
      </c>
    </row>
    <row r="7068" spans="1:2" x14ac:dyDescent="0.3">
      <c r="A7068" s="5">
        <v>45537</v>
      </c>
      <c r="B7068" s="10">
        <v>26651</v>
      </c>
    </row>
    <row r="7069" spans="1:2" x14ac:dyDescent="0.3">
      <c r="A7069" s="5">
        <v>45538</v>
      </c>
      <c r="B7069" s="10">
        <v>27377</v>
      </c>
    </row>
    <row r="7070" spans="1:2" x14ac:dyDescent="0.3">
      <c r="A7070" s="5">
        <v>45539</v>
      </c>
      <c r="B7070" s="10">
        <v>27354</v>
      </c>
    </row>
    <row r="7071" spans="1:2" x14ac:dyDescent="0.3">
      <c r="A7071" s="5">
        <v>45540</v>
      </c>
      <c r="B7071" s="10">
        <v>27436</v>
      </c>
    </row>
    <row r="7072" spans="1:2" x14ac:dyDescent="0.3">
      <c r="A7072" s="5">
        <v>45541</v>
      </c>
      <c r="B7072" s="10">
        <v>27464</v>
      </c>
    </row>
    <row r="7073" spans="1:2" x14ac:dyDescent="0.3">
      <c r="A7073" s="5">
        <v>45544</v>
      </c>
      <c r="B7073" s="10">
        <v>27400</v>
      </c>
    </row>
    <row r="7074" spans="1:2" x14ac:dyDescent="0.3">
      <c r="A7074" s="5">
        <v>45545</v>
      </c>
      <c r="B7074" s="10">
        <v>27244</v>
      </c>
    </row>
    <row r="7075" spans="1:2" x14ac:dyDescent="0.3">
      <c r="A7075" s="5">
        <v>45546</v>
      </c>
      <c r="B7075" s="10">
        <v>27219</v>
      </c>
    </row>
    <row r="7076" spans="1:2" x14ac:dyDescent="0.3">
      <c r="A7076" s="5">
        <v>45547</v>
      </c>
      <c r="B7076" s="10">
        <v>27316</v>
      </c>
    </row>
    <row r="7077" spans="1:2" x14ac:dyDescent="0.3">
      <c r="A7077" s="5">
        <v>45548</v>
      </c>
      <c r="B7077" s="10">
        <v>27420</v>
      </c>
    </row>
    <row r="7078" spans="1:2" x14ac:dyDescent="0.3">
      <c r="A7078" s="5">
        <v>45551</v>
      </c>
      <c r="B7078" s="10">
        <v>26940</v>
      </c>
    </row>
    <row r="7079" spans="1:2" x14ac:dyDescent="0.3">
      <c r="A7079" s="5">
        <v>45552</v>
      </c>
      <c r="B7079" s="10">
        <v>26909</v>
      </c>
    </row>
    <row r="7080" spans="1:2" x14ac:dyDescent="0.3">
      <c r="A7080" s="5">
        <v>45553</v>
      </c>
      <c r="B7080" s="10">
        <v>27011</v>
      </c>
    </row>
    <row r="7081" spans="1:2" x14ac:dyDescent="0.3">
      <c r="A7081" s="5">
        <v>45554</v>
      </c>
      <c r="B7081" s="10">
        <v>27129</v>
      </c>
    </row>
    <row r="7082" spans="1:2" x14ac:dyDescent="0.3">
      <c r="A7082" s="5">
        <v>45555</v>
      </c>
      <c r="B7082" s="10">
        <v>27264</v>
      </c>
    </row>
    <row r="7083" spans="1:2" x14ac:dyDescent="0.3">
      <c r="A7083" s="5">
        <v>45558</v>
      </c>
      <c r="B7083" s="10">
        <v>27343</v>
      </c>
    </row>
    <row r="7084" spans="1:2" x14ac:dyDescent="0.3">
      <c r="A7084" s="5">
        <v>45559</v>
      </c>
      <c r="B7084" s="10">
        <v>28241</v>
      </c>
    </row>
    <row r="7085" spans="1:2" x14ac:dyDescent="0.3">
      <c r="A7085" s="5">
        <v>45560</v>
      </c>
      <c r="B7085" s="10">
        <v>28834</v>
      </c>
    </row>
    <row r="7086" spans="1:2" x14ac:dyDescent="0.3">
      <c r="A7086" s="5">
        <v>45561</v>
      </c>
      <c r="B7086" s="10">
        <v>29164</v>
      </c>
    </row>
    <row r="7087" spans="1:2" x14ac:dyDescent="0.3">
      <c r="A7087" s="5">
        <v>45562</v>
      </c>
      <c r="B7087" s="10">
        <v>29174</v>
      </c>
    </row>
    <row r="7088" spans="1:2" x14ac:dyDescent="0.3">
      <c r="A7088" s="5">
        <v>45565</v>
      </c>
      <c r="B7088" s="10">
        <v>27172</v>
      </c>
    </row>
    <row r="7089" spans="1:2" x14ac:dyDescent="0.3">
      <c r="A7089" s="5">
        <v>45566</v>
      </c>
      <c r="B7089" s="10">
        <v>28461</v>
      </c>
    </row>
    <row r="7090" spans="1:2" x14ac:dyDescent="0.3">
      <c r="A7090" s="5">
        <v>45567</v>
      </c>
      <c r="B7090" s="10">
        <v>29138</v>
      </c>
    </row>
    <row r="7091" spans="1:2" x14ac:dyDescent="0.3">
      <c r="A7091" s="5">
        <v>45568</v>
      </c>
      <c r="B7091" s="10">
        <v>29231</v>
      </c>
    </row>
    <row r="7092" spans="1:2" x14ac:dyDescent="0.3">
      <c r="A7092" s="5">
        <v>45569</v>
      </c>
      <c r="B7092" s="10">
        <v>28313</v>
      </c>
    </row>
    <row r="7093" spans="1:2" x14ac:dyDescent="0.3">
      <c r="A7093" s="5">
        <v>45572</v>
      </c>
      <c r="B7093" s="10">
        <v>28557</v>
      </c>
    </row>
    <row r="7094" spans="1:2" x14ac:dyDescent="0.3">
      <c r="A7094" s="5">
        <v>45573</v>
      </c>
      <c r="B7094" s="10">
        <v>28388</v>
      </c>
    </row>
    <row r="7095" spans="1:2" x14ac:dyDescent="0.3">
      <c r="A7095" s="5">
        <v>45574</v>
      </c>
      <c r="B7095" s="10">
        <v>28346</v>
      </c>
    </row>
    <row r="7096" spans="1:2" x14ac:dyDescent="0.3">
      <c r="A7096" s="5">
        <v>45575</v>
      </c>
      <c r="B7096" s="10">
        <v>28632</v>
      </c>
    </row>
    <row r="7097" spans="1:2" x14ac:dyDescent="0.3">
      <c r="A7097" s="5">
        <v>45579</v>
      </c>
      <c r="B7097" s="10">
        <v>28702</v>
      </c>
    </row>
    <row r="7098" spans="1:2" x14ac:dyDescent="0.3">
      <c r="A7098" s="5">
        <v>45580</v>
      </c>
      <c r="B7098" s="10">
        <v>28271</v>
      </c>
    </row>
    <row r="7099" spans="1:2" x14ac:dyDescent="0.3">
      <c r="A7099" s="5">
        <v>45581</v>
      </c>
      <c r="B7099" s="10">
        <v>28294</v>
      </c>
    </row>
    <row r="7100" spans="1:2" x14ac:dyDescent="0.3">
      <c r="A7100" s="5">
        <v>45582</v>
      </c>
      <c r="B7100" s="10">
        <v>28273</v>
      </c>
    </row>
    <row r="7101" spans="1:2" x14ac:dyDescent="0.3">
      <c r="A7101" s="5">
        <v>45583</v>
      </c>
      <c r="B7101" s="10">
        <v>28488</v>
      </c>
    </row>
    <row r="7102" spans="1:2" x14ac:dyDescent="0.3">
      <c r="A7102" s="5">
        <v>45586</v>
      </c>
      <c r="B7102" s="10">
        <v>28314</v>
      </c>
    </row>
    <row r="7103" spans="1:2" x14ac:dyDescent="0.3">
      <c r="A7103" s="5">
        <v>45587</v>
      </c>
      <c r="B7103" s="10">
        <v>28416</v>
      </c>
    </row>
    <row r="7104" spans="1:2" x14ac:dyDescent="0.3">
      <c r="A7104" s="5">
        <v>45588</v>
      </c>
      <c r="B7104" s="10">
        <v>28511</v>
      </c>
    </row>
    <row r="7105" spans="1:2" x14ac:dyDescent="0.3">
      <c r="A7105" s="5">
        <v>45589</v>
      </c>
      <c r="B7105" s="10">
        <v>29057</v>
      </c>
    </row>
    <row r="7106" spans="1:2" x14ac:dyDescent="0.3">
      <c r="A7106" s="5">
        <v>45590</v>
      </c>
      <c r="B7106" s="10">
        <v>29163</v>
      </c>
    </row>
    <row r="7107" spans="1:2" x14ac:dyDescent="0.3">
      <c r="A7107" s="5">
        <v>45593</v>
      </c>
      <c r="B7107" s="10">
        <v>29368</v>
      </c>
    </row>
    <row r="7108" spans="1:2" x14ac:dyDescent="0.3">
      <c r="A7108" s="5">
        <v>45594</v>
      </c>
      <c r="B7108" s="10">
        <v>29669</v>
      </c>
    </row>
    <row r="7109" spans="1:2" x14ac:dyDescent="0.3">
      <c r="A7109" s="5">
        <v>45595</v>
      </c>
      <c r="B7109" s="10">
        <v>29863</v>
      </c>
    </row>
    <row r="7110" spans="1:2" x14ac:dyDescent="0.3">
      <c r="A7110" s="5">
        <v>45596</v>
      </c>
      <c r="B7110" s="10">
        <v>28618</v>
      </c>
    </row>
    <row r="7111" spans="1:2" x14ac:dyDescent="0.3">
      <c r="A7111" s="5">
        <v>45597</v>
      </c>
      <c r="B7111" s="10">
        <v>29603</v>
      </c>
    </row>
    <row r="7112" spans="1:2" x14ac:dyDescent="0.3">
      <c r="A7112" s="5">
        <v>45600</v>
      </c>
      <c r="B7112" s="10">
        <v>30182</v>
      </c>
    </row>
    <row r="7113" spans="1:2" x14ac:dyDescent="0.3">
      <c r="A7113" s="5">
        <v>45601</v>
      </c>
      <c r="B7113" s="10">
        <v>30432</v>
      </c>
    </row>
    <row r="7114" spans="1:2" x14ac:dyDescent="0.3">
      <c r="A7114" s="5">
        <v>45603</v>
      </c>
      <c r="B7114" s="10">
        <v>29668</v>
      </c>
    </row>
    <row r="7115" spans="1:2" x14ac:dyDescent="0.3">
      <c r="A7115" s="5">
        <v>45604</v>
      </c>
      <c r="B7115" s="10">
        <v>29838</v>
      </c>
    </row>
    <row r="7116" spans="1:2" x14ac:dyDescent="0.3">
      <c r="A7116" s="5">
        <v>45607</v>
      </c>
      <c r="B7116" s="10">
        <v>29859</v>
      </c>
    </row>
    <row r="7117" spans="1:2" x14ac:dyDescent="0.3">
      <c r="A7117" s="5">
        <v>45608</v>
      </c>
      <c r="B7117" s="10">
        <v>29962</v>
      </c>
    </row>
    <row r="7118" spans="1:2" x14ac:dyDescent="0.3">
      <c r="A7118" s="5">
        <v>45609</v>
      </c>
      <c r="B7118" s="10">
        <v>30023</v>
      </c>
    </row>
    <row r="7119" spans="1:2" x14ac:dyDescent="0.3">
      <c r="A7119" s="5">
        <v>45610</v>
      </c>
      <c r="B7119" s="10">
        <v>30193</v>
      </c>
    </row>
    <row r="7120" spans="1:2" x14ac:dyDescent="0.3">
      <c r="A7120" s="5">
        <v>45611</v>
      </c>
      <c r="B7120" s="10">
        <v>29878</v>
      </c>
    </row>
    <row r="7121" spans="1:2" x14ac:dyDescent="0.3">
      <c r="A7121" s="5">
        <v>45615</v>
      </c>
      <c r="B7121" s="10">
        <v>30274</v>
      </c>
    </row>
    <row r="7122" spans="1:2" x14ac:dyDescent="0.3">
      <c r="A7122" s="5">
        <v>45616</v>
      </c>
      <c r="B7122" s="10">
        <v>30494</v>
      </c>
    </row>
    <row r="7123" spans="1:2" x14ac:dyDescent="0.3">
      <c r="A7123" s="5">
        <v>45617</v>
      </c>
      <c r="B7123" s="10">
        <v>30845</v>
      </c>
    </row>
    <row r="7124" spans="1:2" x14ac:dyDescent="0.3">
      <c r="A7124" s="5">
        <v>45618</v>
      </c>
      <c r="B7124" s="10">
        <v>30874</v>
      </c>
    </row>
    <row r="7125" spans="1:2" x14ac:dyDescent="0.3">
      <c r="A7125" s="5">
        <v>45621</v>
      </c>
      <c r="B7125" s="10">
        <v>30879</v>
      </c>
    </row>
    <row r="7126" spans="1:2" x14ac:dyDescent="0.3">
      <c r="A7126" s="5">
        <v>45622</v>
      </c>
      <c r="B7126" s="10">
        <v>30928</v>
      </c>
    </row>
    <row r="7127" spans="1:2" x14ac:dyDescent="0.3">
      <c r="A7127" s="5">
        <v>45623</v>
      </c>
      <c r="B7127" s="10">
        <v>31484</v>
      </c>
    </row>
    <row r="7128" spans="1:2" x14ac:dyDescent="0.3">
      <c r="A7128" s="5">
        <v>45624</v>
      </c>
      <c r="B7128" s="10">
        <v>31637</v>
      </c>
    </row>
    <row r="7129" spans="1:2" x14ac:dyDescent="0.3">
      <c r="A7129" s="5">
        <v>45625</v>
      </c>
      <c r="B7129" s="10">
        <v>30214</v>
      </c>
    </row>
    <row r="7130" spans="1:2" x14ac:dyDescent="0.3">
      <c r="A7130" s="5">
        <v>45628</v>
      </c>
      <c r="B7130" s="10">
        <v>31314</v>
      </c>
    </row>
    <row r="7131" spans="1:2" x14ac:dyDescent="0.3">
      <c r="A7131" s="5">
        <v>45629</v>
      </c>
      <c r="B7131" s="10">
        <v>31240</v>
      </c>
    </row>
    <row r="7132" spans="1:2" x14ac:dyDescent="0.3">
      <c r="A7132" s="5">
        <v>45630</v>
      </c>
      <c r="B7132" s="10">
        <v>31266</v>
      </c>
    </row>
    <row r="7133" spans="1:2" x14ac:dyDescent="0.3">
      <c r="A7133" s="5">
        <v>45631</v>
      </c>
      <c r="B7133" s="10">
        <v>31534</v>
      </c>
    </row>
    <row r="7134" spans="1:2" x14ac:dyDescent="0.3">
      <c r="A7134" s="5">
        <v>45632</v>
      </c>
      <c r="B7134" s="10">
        <v>31531</v>
      </c>
    </row>
    <row r="7135" spans="1:2" x14ac:dyDescent="0.3">
      <c r="A7135" s="5">
        <v>45635</v>
      </c>
      <c r="B7135" s="10">
        <v>31512</v>
      </c>
    </row>
    <row r="7136" spans="1:2" x14ac:dyDescent="0.3">
      <c r="A7136" s="5">
        <v>45636</v>
      </c>
      <c r="B7136" s="10">
        <v>31619</v>
      </c>
    </row>
    <row r="7137" spans="1:2" x14ac:dyDescent="0.3">
      <c r="A7137" s="5">
        <v>45637</v>
      </c>
      <c r="B7137" s="10">
        <v>31988</v>
      </c>
    </row>
    <row r="7138" spans="1:2" x14ac:dyDescent="0.3">
      <c r="A7138" s="5">
        <v>45638</v>
      </c>
      <c r="B7138" s="10">
        <v>31849</v>
      </c>
    </row>
    <row r="7139" spans="1:2" x14ac:dyDescent="0.3">
      <c r="A7139" s="5">
        <v>45639</v>
      </c>
      <c r="B7139" s="10">
        <v>31937</v>
      </c>
    </row>
    <row r="7140" spans="1:2" x14ac:dyDescent="0.3">
      <c r="A7140" s="5">
        <v>45642</v>
      </c>
      <c r="B7140" s="10">
        <v>31744</v>
      </c>
    </row>
    <row r="7141" spans="1:2" x14ac:dyDescent="0.3">
      <c r="A7141" s="5">
        <v>45643</v>
      </c>
      <c r="B7141" s="10">
        <v>32257</v>
      </c>
    </row>
    <row r="7142" spans="1:2" x14ac:dyDescent="0.3">
      <c r="A7142" s="5">
        <v>45644</v>
      </c>
      <c r="B7142" s="10">
        <v>32255</v>
      </c>
    </row>
    <row r="7143" spans="1:2" x14ac:dyDescent="0.3">
      <c r="A7143" s="5">
        <v>45645</v>
      </c>
      <c r="B7143" s="10">
        <v>32243</v>
      </c>
    </row>
    <row r="7144" spans="1:2" x14ac:dyDescent="0.3">
      <c r="A7144" s="5">
        <v>45646</v>
      </c>
      <c r="B7144" s="10">
        <v>32864</v>
      </c>
    </row>
    <row r="7145" spans="1:2" x14ac:dyDescent="0.3">
      <c r="A7145" s="5">
        <v>45649</v>
      </c>
      <c r="B7145" s="10">
        <v>32688</v>
      </c>
    </row>
    <row r="7146" spans="1:2" x14ac:dyDescent="0.3">
      <c r="A7146" s="5">
        <v>45652</v>
      </c>
      <c r="B7146" s="10">
        <v>32413</v>
      </c>
    </row>
    <row r="7147" spans="1:2" x14ac:dyDescent="0.3">
      <c r="A7147" s="5">
        <v>45653</v>
      </c>
      <c r="B7147" s="10">
        <v>31524</v>
      </c>
    </row>
    <row r="7148" spans="1:2" x14ac:dyDescent="0.3">
      <c r="A7148" s="5">
        <v>45656</v>
      </c>
      <c r="B7148" s="10">
        <v>29640</v>
      </c>
    </row>
    <row r="7149" spans="1:2" x14ac:dyDescent="0.3">
      <c r="A7149" s="5">
        <v>45659</v>
      </c>
      <c r="B7149" s="10">
        <v>31706</v>
      </c>
    </row>
    <row r="7150" spans="1:2" x14ac:dyDescent="0.3">
      <c r="A7150" s="5">
        <v>45660</v>
      </c>
      <c r="B7150" s="10">
        <v>32774</v>
      </c>
    </row>
    <row r="7151" spans="1:2" x14ac:dyDescent="0.3">
      <c r="A7151" s="5">
        <v>45663</v>
      </c>
      <c r="B7151" s="10">
        <v>32805</v>
      </c>
    </row>
    <row r="7152" spans="1:2" x14ac:dyDescent="0.3">
      <c r="A7152" s="5">
        <v>45664</v>
      </c>
      <c r="B7152" s="10">
        <v>32903</v>
      </c>
    </row>
    <row r="7153" spans="1:2" x14ac:dyDescent="0.3">
      <c r="A7153" s="5">
        <v>45665</v>
      </c>
      <c r="B7153" s="10">
        <v>31176</v>
      </c>
    </row>
    <row r="7154" spans="1:2" x14ac:dyDescent="0.3">
      <c r="A7154" s="5">
        <v>45666</v>
      </c>
      <c r="B7154" s="10">
        <v>30904</v>
      </c>
    </row>
    <row r="7155" spans="1:2" x14ac:dyDescent="0.3">
      <c r="A7155" s="5">
        <v>45667</v>
      </c>
      <c r="B7155" s="10">
        <v>31038</v>
      </c>
    </row>
    <row r="7156" spans="1:2" x14ac:dyDescent="0.3">
      <c r="A7156" s="5">
        <v>45670</v>
      </c>
      <c r="B7156" s="10">
        <v>30835</v>
      </c>
    </row>
    <row r="7157" spans="1:2" x14ac:dyDescent="0.3">
      <c r="A7157" s="5">
        <v>45671</v>
      </c>
      <c r="B7157" s="10">
        <v>30704</v>
      </c>
    </row>
    <row r="7158" spans="1:2" x14ac:dyDescent="0.3">
      <c r="A7158" s="5">
        <v>45672</v>
      </c>
      <c r="B7158" s="10">
        <v>30624</v>
      </c>
    </row>
    <row r="7159" spans="1:2" x14ac:dyDescent="0.3">
      <c r="A7159" s="5">
        <v>45673</v>
      </c>
      <c r="B7159" s="10">
        <v>30707</v>
      </c>
    </row>
    <row r="7160" spans="1:2" x14ac:dyDescent="0.3">
      <c r="A7160" s="5">
        <v>45674</v>
      </c>
      <c r="B7160" s="10">
        <v>30518</v>
      </c>
    </row>
    <row r="7161" spans="1:2" x14ac:dyDescent="0.3">
      <c r="A7161" s="5">
        <v>45677</v>
      </c>
      <c r="B7161" s="10">
        <v>30593</v>
      </c>
    </row>
    <row r="7162" spans="1:2" x14ac:dyDescent="0.3">
      <c r="A7162" s="5">
        <v>45678</v>
      </c>
      <c r="B7162" s="10">
        <v>30282</v>
      </c>
    </row>
    <row r="7163" spans="1:2" x14ac:dyDescent="0.3">
      <c r="A7163" s="5">
        <v>45679</v>
      </c>
      <c r="B7163" s="10">
        <v>30140</v>
      </c>
    </row>
    <row r="7164" spans="1:2" x14ac:dyDescent="0.3">
      <c r="A7164" s="5">
        <v>45680</v>
      </c>
      <c r="B7164" s="10">
        <v>29838</v>
      </c>
    </row>
    <row r="7165" spans="1:2" x14ac:dyDescent="0.3">
      <c r="A7165" s="5">
        <v>45681</v>
      </c>
      <c r="B7165" s="10">
        <v>29970</v>
      </c>
    </row>
    <row r="7166" spans="1:2" x14ac:dyDescent="0.3">
      <c r="A7166" s="5">
        <v>45684</v>
      </c>
      <c r="B7166" s="10">
        <v>29834</v>
      </c>
    </row>
    <row r="7167" spans="1:2" x14ac:dyDescent="0.3">
      <c r="A7167" s="5">
        <v>45685</v>
      </c>
      <c r="B7167" s="10">
        <v>29802</v>
      </c>
    </row>
    <row r="7168" spans="1:2" x14ac:dyDescent="0.3">
      <c r="A7168" s="5">
        <v>45686</v>
      </c>
      <c r="B7168" s="10">
        <v>29648</v>
      </c>
    </row>
    <row r="7169" spans="1:2" x14ac:dyDescent="0.3">
      <c r="A7169" s="5">
        <v>45687</v>
      </c>
      <c r="B7169" s="10">
        <v>29429</v>
      </c>
    </row>
    <row r="7170" spans="1:2" x14ac:dyDescent="0.3">
      <c r="A7170" s="5">
        <v>45688</v>
      </c>
      <c r="B7170" s="10">
        <v>28310</v>
      </c>
    </row>
    <row r="7171" spans="1:2" x14ac:dyDescent="0.3">
      <c r="A7171" s="5">
        <v>45691</v>
      </c>
      <c r="B7171" s="10">
        <v>29453</v>
      </c>
    </row>
    <row r="7172" spans="1:2" x14ac:dyDescent="0.3">
      <c r="A7172" s="5">
        <v>45692</v>
      </c>
      <c r="B7172" s="10">
        <v>29427</v>
      </c>
    </row>
    <row r="7173" spans="1:2" x14ac:dyDescent="0.3">
      <c r="A7173" s="5">
        <v>45693</v>
      </c>
      <c r="B7173" s="10">
        <v>29354</v>
      </c>
    </row>
    <row r="7174" spans="1:2" x14ac:dyDescent="0.3">
      <c r="A7174" s="5">
        <v>45694</v>
      </c>
      <c r="B7174" s="10">
        <v>28743</v>
      </c>
    </row>
    <row r="7175" spans="1:2" x14ac:dyDescent="0.3">
      <c r="A7175" s="5">
        <v>45695</v>
      </c>
      <c r="B7175" s="10">
        <v>28889</v>
      </c>
    </row>
    <row r="7176" spans="1:2" x14ac:dyDescent="0.3">
      <c r="A7176" s="5">
        <v>45698</v>
      </c>
      <c r="B7176" s="10">
        <v>28938</v>
      </c>
    </row>
    <row r="7177" spans="1:2" x14ac:dyDescent="0.3">
      <c r="A7177" s="5">
        <v>45699</v>
      </c>
      <c r="B7177" s="10">
        <v>28898</v>
      </c>
    </row>
    <row r="7178" spans="1:2" x14ac:dyDescent="0.3">
      <c r="A7178" s="5">
        <v>45700</v>
      </c>
      <c r="B7178" s="10">
        <v>28925</v>
      </c>
    </row>
    <row r="7179" spans="1:2" x14ac:dyDescent="0.3">
      <c r="A7179" s="5">
        <v>45701</v>
      </c>
      <c r="B7179" s="10">
        <v>28894</v>
      </c>
    </row>
    <row r="7180" spans="1:2" x14ac:dyDescent="0.3">
      <c r="A7180" s="5">
        <v>45702</v>
      </c>
      <c r="B7180" s="10">
        <v>28801</v>
      </c>
    </row>
    <row r="7181" spans="1:2" x14ac:dyDescent="0.3">
      <c r="A7181" s="5">
        <v>45705</v>
      </c>
      <c r="B7181" s="10">
        <v>28747</v>
      </c>
    </row>
    <row r="7182" spans="1:2" x14ac:dyDescent="0.3">
      <c r="A7182" s="5">
        <v>45706</v>
      </c>
      <c r="B7182" s="10">
        <v>28405</v>
      </c>
    </row>
    <row r="7183" spans="1:2" x14ac:dyDescent="0.3">
      <c r="A7183" s="5">
        <v>45707</v>
      </c>
      <c r="B7183" s="10">
        <v>28362</v>
      </c>
    </row>
    <row r="7184" spans="1:2" x14ac:dyDescent="0.3">
      <c r="A7184" s="5">
        <v>45708</v>
      </c>
      <c r="B7184" s="10">
        <v>28578</v>
      </c>
    </row>
    <row r="7185" spans="1:2" x14ac:dyDescent="0.3">
      <c r="A7185" s="5">
        <v>45709</v>
      </c>
      <c r="B7185" s="10">
        <v>28495</v>
      </c>
    </row>
    <row r="7186" spans="1:2" x14ac:dyDescent="0.3">
      <c r="A7186" s="5">
        <v>45712</v>
      </c>
      <c r="B7186" s="10">
        <v>28603</v>
      </c>
    </row>
    <row r="7187" spans="1:2" x14ac:dyDescent="0.3">
      <c r="A7187" s="5">
        <v>45713</v>
      </c>
      <c r="B7187" s="10">
        <v>28685</v>
      </c>
    </row>
    <row r="7188" spans="1:2" x14ac:dyDescent="0.3">
      <c r="A7188" s="5">
        <v>45714</v>
      </c>
      <c r="B7188" s="10">
        <v>28714</v>
      </c>
    </row>
    <row r="7189" spans="1:2" x14ac:dyDescent="0.3">
      <c r="A7189" s="5">
        <v>45715</v>
      </c>
      <c r="B7189" s="10">
        <v>28586</v>
      </c>
    </row>
    <row r="7190" spans="1:2" x14ac:dyDescent="0.3">
      <c r="A7190" s="5">
        <v>45716</v>
      </c>
      <c r="B7190" s="10">
        <v>28117</v>
      </c>
    </row>
    <row r="7191" spans="1:2" x14ac:dyDescent="0.3">
      <c r="A7191" s="5">
        <v>45721</v>
      </c>
      <c r="B7191" s="10">
        <v>27991</v>
      </c>
    </row>
    <row r="7192" spans="1:2" x14ac:dyDescent="0.3">
      <c r="A7192" s="5">
        <v>45722</v>
      </c>
      <c r="B7192" s="10">
        <v>28181</v>
      </c>
    </row>
    <row r="7193" spans="1:2" x14ac:dyDescent="0.3">
      <c r="A7193" s="5">
        <v>45723</v>
      </c>
      <c r="B7193" s="10">
        <v>28090</v>
      </c>
    </row>
    <row r="7194" spans="1:2" x14ac:dyDescent="0.3">
      <c r="A7194" s="5">
        <v>45726</v>
      </c>
      <c r="B7194" s="10">
        <v>27732</v>
      </c>
    </row>
    <row r="7195" spans="1:2" x14ac:dyDescent="0.3">
      <c r="A7195" s="5">
        <v>45727</v>
      </c>
      <c r="B7195" s="10">
        <v>27687</v>
      </c>
    </row>
    <row r="7196" spans="1:2" x14ac:dyDescent="0.3">
      <c r="A7196" s="5">
        <v>45728</v>
      </c>
      <c r="B7196" s="10">
        <v>27960</v>
      </c>
    </row>
    <row r="7197" spans="1:2" x14ac:dyDescent="0.3">
      <c r="A7197" s="5">
        <v>45729</v>
      </c>
      <c r="B7197" s="10">
        <v>28104</v>
      </c>
    </row>
    <row r="7198" spans="1:2" x14ac:dyDescent="0.3">
      <c r="A7198" s="5">
        <v>45730</v>
      </c>
      <c r="B7198" s="10">
        <v>28091</v>
      </c>
    </row>
    <row r="7199" spans="1:2" x14ac:dyDescent="0.3">
      <c r="A7199" s="5">
        <v>45733</v>
      </c>
      <c r="B7199" s="10">
        <v>27338</v>
      </c>
    </row>
    <row r="7200" spans="1:2" x14ac:dyDescent="0.3">
      <c r="A7200" s="5">
        <v>45734</v>
      </c>
      <c r="B7200" s="10">
        <v>27208</v>
      </c>
    </row>
    <row r="7201" spans="1:2" x14ac:dyDescent="0.3">
      <c r="A7201" s="5">
        <v>45735</v>
      </c>
      <c r="B7201" s="10">
        <v>27046</v>
      </c>
    </row>
    <row r="7202" spans="1:2" x14ac:dyDescent="0.3">
      <c r="A7202" s="5">
        <v>45736</v>
      </c>
      <c r="B7202" s="10">
        <v>26785</v>
      </c>
    </row>
    <row r="7203" spans="1:2" x14ac:dyDescent="0.3">
      <c r="A7203" s="5">
        <v>45737</v>
      </c>
      <c r="B7203" s="10">
        <v>26628</v>
      </c>
    </row>
    <row r="7204" spans="1:2" x14ac:dyDescent="0.3">
      <c r="A7204" s="5">
        <v>45741</v>
      </c>
      <c r="B7204" s="10">
        <v>26442</v>
      </c>
    </row>
    <row r="7205" spans="1:2" x14ac:dyDescent="0.3">
      <c r="A7205" s="5">
        <v>45742</v>
      </c>
      <c r="B7205" s="10">
        <v>26251</v>
      </c>
    </row>
    <row r="7206" spans="1:2" x14ac:dyDescent="0.3">
      <c r="A7206" s="5">
        <v>45743</v>
      </c>
      <c r="B7206" s="10">
        <v>26223</v>
      </c>
    </row>
    <row r="7207" spans="1:2" x14ac:dyDescent="0.3">
      <c r="A7207" s="5">
        <v>45744</v>
      </c>
      <c r="B7207" s="10">
        <v>25777</v>
      </c>
    </row>
    <row r="7208" spans="1:2" x14ac:dyDescent="0.3">
      <c r="A7208" s="5">
        <v>45747</v>
      </c>
      <c r="B7208" s="10">
        <v>24986</v>
      </c>
    </row>
    <row r="7209" spans="1:2" x14ac:dyDescent="0.3">
      <c r="A7209" s="5">
        <v>45748</v>
      </c>
      <c r="B7209" s="10">
        <v>25450</v>
      </c>
    </row>
    <row r="7210" spans="1:2" x14ac:dyDescent="0.3">
      <c r="A7210" s="5">
        <v>45750</v>
      </c>
      <c r="B7210" s="10">
        <v>25305</v>
      </c>
    </row>
    <row r="7211" spans="1:2" x14ac:dyDescent="0.3">
      <c r="A7211" s="5">
        <v>45751</v>
      </c>
      <c r="B7211" s="10">
        <v>25148</v>
      </c>
    </row>
    <row r="7212" spans="1:2" x14ac:dyDescent="0.3">
      <c r="A7212" s="5">
        <v>45754</v>
      </c>
      <c r="B7212" s="10">
        <v>24838</v>
      </c>
    </row>
    <row r="7213" spans="1:2" x14ac:dyDescent="0.3">
      <c r="A7213" s="5">
        <v>45755</v>
      </c>
      <c r="B7213" s="10">
        <v>24677</v>
      </c>
    </row>
    <row r="7214" spans="1:2" x14ac:dyDescent="0.3">
      <c r="A7214" s="5">
        <v>45756</v>
      </c>
      <c r="B7214" s="10">
        <v>24780</v>
      </c>
    </row>
    <row r="7215" spans="1:2" x14ac:dyDescent="0.3">
      <c r="A7215" s="5">
        <v>45757</v>
      </c>
      <c r="B7215" s="10">
        <v>24773</v>
      </c>
    </row>
    <row r="7216" spans="1:2" x14ac:dyDescent="0.3">
      <c r="A7216" s="5">
        <v>45758</v>
      </c>
      <c r="B7216" s="10">
        <v>24704</v>
      </c>
    </row>
    <row r="7217" spans="1:2" x14ac:dyDescent="0.3">
      <c r="A7217" s="5">
        <v>45761</v>
      </c>
      <c r="B7217" s="10">
        <v>24221</v>
      </c>
    </row>
    <row r="7218" spans="1:2" x14ac:dyDescent="0.3">
      <c r="A7218" s="5">
        <v>45762</v>
      </c>
      <c r="B7218" s="10">
        <v>36777</v>
      </c>
    </row>
    <row r="7219" spans="1:2" x14ac:dyDescent="0.3">
      <c r="A7219" s="5">
        <v>45763</v>
      </c>
      <c r="B7219" s="10">
        <v>38616</v>
      </c>
    </row>
    <row r="7220" spans="1:2" x14ac:dyDescent="0.3">
      <c r="A7220" s="5">
        <v>45768</v>
      </c>
      <c r="B7220" s="10">
        <v>38791</v>
      </c>
    </row>
    <row r="7221" spans="1:2" x14ac:dyDescent="0.3">
      <c r="A7221" s="5">
        <v>45769</v>
      </c>
      <c r="B7221" s="10">
        <v>38814</v>
      </c>
    </row>
    <row r="7222" spans="1:2" x14ac:dyDescent="0.3">
      <c r="A7222" s="5">
        <v>45770</v>
      </c>
      <c r="B7222" s="10">
        <v>38631</v>
      </c>
    </row>
    <row r="7223" spans="1:2" x14ac:dyDescent="0.3">
      <c r="A7223" s="5">
        <v>45771</v>
      </c>
      <c r="B7223" s="10">
        <v>39079</v>
      </c>
    </row>
    <row r="7224" spans="1:2" x14ac:dyDescent="0.3">
      <c r="A7224" s="5">
        <v>45772</v>
      </c>
      <c r="B7224" s="10">
        <v>39168</v>
      </c>
    </row>
    <row r="7225" spans="1:2" x14ac:dyDescent="0.3">
      <c r="A7225" s="5">
        <v>45775</v>
      </c>
      <c r="B7225" s="10">
        <v>39291</v>
      </c>
    </row>
    <row r="7226" spans="1:2" x14ac:dyDescent="0.3">
      <c r="A7226" s="5">
        <v>45776</v>
      </c>
      <c r="B7226" s="10">
        <v>39091</v>
      </c>
    </row>
    <row r="7227" spans="1:2" x14ac:dyDescent="0.3">
      <c r="A7227" s="5">
        <v>45777</v>
      </c>
      <c r="B7227" s="10">
        <v>38928</v>
      </c>
    </row>
    <row r="7228" spans="1:2" x14ac:dyDescent="0.3">
      <c r="A7228" s="5">
        <v>45782</v>
      </c>
      <c r="B7228" s="10">
        <v>38976</v>
      </c>
    </row>
    <row r="7229" spans="1:2" x14ac:dyDescent="0.3">
      <c r="A7229" s="5">
        <v>45783</v>
      </c>
      <c r="B7229" s="10">
        <v>38542</v>
      </c>
    </row>
    <row r="7230" spans="1:2" x14ac:dyDescent="0.3">
      <c r="A7230" s="5">
        <v>45784</v>
      </c>
      <c r="B7230" s="10">
        <v>38258</v>
      </c>
    </row>
    <row r="7231" spans="1:2" x14ac:dyDescent="0.3">
      <c r="A7231" s="5">
        <v>45785</v>
      </c>
      <c r="B7231" s="10">
        <v>38035</v>
      </c>
    </row>
    <row r="7232" spans="1:2" x14ac:dyDescent="0.3">
      <c r="A7232" s="5">
        <v>45786</v>
      </c>
      <c r="B7232" s="10">
        <v>38123</v>
      </c>
    </row>
    <row r="7233" spans="1:2" x14ac:dyDescent="0.3">
      <c r="A7233" s="5">
        <v>45789</v>
      </c>
      <c r="B7233" s="10">
        <v>38079</v>
      </c>
    </row>
    <row r="7234" spans="1:2" x14ac:dyDescent="0.3">
      <c r="A7234" s="5">
        <v>45790</v>
      </c>
      <c r="B7234" s="10">
        <v>38651</v>
      </c>
    </row>
    <row r="7235" spans="1:2" x14ac:dyDescent="0.3">
      <c r="A7235" s="5">
        <v>45791</v>
      </c>
      <c r="B7235" s="10">
        <v>38565</v>
      </c>
    </row>
    <row r="7236" spans="1:2" x14ac:dyDescent="0.3">
      <c r="A7236" s="5">
        <v>45792</v>
      </c>
      <c r="B7236" s="10">
        <v>38346</v>
      </c>
    </row>
    <row r="7237" spans="1:2" x14ac:dyDescent="0.3">
      <c r="A7237" s="5">
        <v>45793</v>
      </c>
      <c r="B7237" s="10">
        <v>38338</v>
      </c>
    </row>
    <row r="7238" spans="1:2" x14ac:dyDescent="0.3">
      <c r="A7238" s="5">
        <v>45796</v>
      </c>
      <c r="B7238" s="10">
        <v>38300</v>
      </c>
    </row>
    <row r="7239" spans="1:2" x14ac:dyDescent="0.3">
      <c r="A7239" s="5">
        <v>45797</v>
      </c>
      <c r="B7239" s="10">
        <v>38267</v>
      </c>
    </row>
    <row r="7240" spans="1:2" x14ac:dyDescent="0.3">
      <c r="A7240" s="5">
        <v>45798</v>
      </c>
      <c r="B7240" s="10">
        <v>38176</v>
      </c>
    </row>
    <row r="7241" spans="1:2" x14ac:dyDescent="0.3">
      <c r="A7241" s="5">
        <v>45799</v>
      </c>
      <c r="B7241" s="10">
        <v>38097</v>
      </c>
    </row>
    <row r="7242" spans="1:2" x14ac:dyDescent="0.3">
      <c r="A7242" s="5">
        <v>45800</v>
      </c>
      <c r="B7242" s="10">
        <v>38428</v>
      </c>
    </row>
    <row r="7243" spans="1:2" x14ac:dyDescent="0.3">
      <c r="A7243" s="5">
        <v>45803</v>
      </c>
      <c r="B7243" s="10">
        <v>38384</v>
      </c>
    </row>
    <row r="7244" spans="1:2" x14ac:dyDescent="0.3">
      <c r="A7244" s="5">
        <v>45804</v>
      </c>
      <c r="B7244" s="10">
        <v>38381</v>
      </c>
    </row>
    <row r="7245" spans="1:2" x14ac:dyDescent="0.3">
      <c r="A7245" s="5">
        <v>45805</v>
      </c>
      <c r="B7245" s="10">
        <v>38444</v>
      </c>
    </row>
    <row r="7246" spans="1:2" x14ac:dyDescent="0.3">
      <c r="A7246" s="5">
        <v>45806</v>
      </c>
      <c r="B7246" s="10">
        <v>38366</v>
      </c>
    </row>
    <row r="7247" spans="1:2" x14ac:dyDescent="0.3">
      <c r="A7247" s="5">
        <v>45807</v>
      </c>
      <c r="B7247" s="10">
        <v>36919</v>
      </c>
    </row>
    <row r="7248" spans="1:2" x14ac:dyDescent="0.3">
      <c r="A7248" s="5">
        <v>45810</v>
      </c>
      <c r="B7248" s="10">
        <v>37793</v>
      </c>
    </row>
    <row r="7249" spans="1:2" x14ac:dyDescent="0.3">
      <c r="A7249" s="5">
        <v>45811</v>
      </c>
      <c r="B7249" s="10">
        <v>37767</v>
      </c>
    </row>
    <row r="7250" spans="1:2" x14ac:dyDescent="0.3">
      <c r="A7250" s="5">
        <v>45812</v>
      </c>
      <c r="B7250" s="10">
        <v>38818</v>
      </c>
    </row>
    <row r="7251" spans="1:2" x14ac:dyDescent="0.3">
      <c r="A7251" s="5">
        <v>45813</v>
      </c>
      <c r="B7251" s="10">
        <v>38758</v>
      </c>
    </row>
    <row r="7252" spans="1:2" x14ac:dyDescent="0.3">
      <c r="A7252" s="5">
        <v>45814</v>
      </c>
      <c r="B7252" s="10">
        <v>38639</v>
      </c>
    </row>
    <row r="7253" spans="1:2" x14ac:dyDescent="0.3">
      <c r="A7253" s="5">
        <v>45817</v>
      </c>
      <c r="B7253" s="10">
        <v>38604</v>
      </c>
    </row>
    <row r="7254" spans="1:2" x14ac:dyDescent="0.3">
      <c r="A7254" s="5">
        <v>45818</v>
      </c>
      <c r="B7254" s="10">
        <v>38600</v>
      </c>
    </row>
    <row r="7255" spans="1:2" x14ac:dyDescent="0.3">
      <c r="A7255" s="5">
        <v>45819</v>
      </c>
      <c r="B7255" s="10">
        <v>38533</v>
      </c>
    </row>
    <row r="7256" spans="1:2" x14ac:dyDescent="0.3">
      <c r="A7256" s="5">
        <v>45820</v>
      </c>
      <c r="B7256" s="10">
        <v>38506</v>
      </c>
    </row>
    <row r="7257" spans="1:2" x14ac:dyDescent="0.3">
      <c r="A7257" s="5">
        <v>45821</v>
      </c>
      <c r="B7257" s="10">
        <v>40465</v>
      </c>
    </row>
    <row r="7258" spans="1:2" x14ac:dyDescent="0.3">
      <c r="A7258" s="5">
        <v>45825</v>
      </c>
      <c r="B7258" s="10">
        <v>40399</v>
      </c>
    </row>
    <row r="7259" spans="1:2" x14ac:dyDescent="0.3">
      <c r="A7259" s="5">
        <v>45826</v>
      </c>
      <c r="B7259" s="10">
        <v>40153</v>
      </c>
    </row>
    <row r="7260" spans="1:2" x14ac:dyDescent="0.3">
      <c r="A7260" s="5">
        <v>45827</v>
      </c>
      <c r="B7260" s="10">
        <v>40182</v>
      </c>
    </row>
    <row r="7261" spans="1:2" x14ac:dyDescent="0.3">
      <c r="A7261" s="5">
        <v>45831</v>
      </c>
      <c r="B7261" s="10">
        <v>40894</v>
      </c>
    </row>
    <row r="7262" spans="1:2" x14ac:dyDescent="0.3">
      <c r="A7262" s="5">
        <v>45832</v>
      </c>
      <c r="B7262" s="10">
        <v>41212</v>
      </c>
    </row>
    <row r="7263" spans="1:2" x14ac:dyDescent="0.3">
      <c r="A7263" s="5">
        <v>45833</v>
      </c>
      <c r="B7263" s="10">
        <v>41417</v>
      </c>
    </row>
    <row r="7264" spans="1:2" x14ac:dyDescent="0.3">
      <c r="A7264" s="5">
        <v>45834</v>
      </c>
      <c r="B7264" s="10">
        <v>41555</v>
      </c>
    </row>
    <row r="7265" spans="1:2" x14ac:dyDescent="0.3">
      <c r="A7265" s="5">
        <v>45835</v>
      </c>
      <c r="B7265" s="10">
        <v>41460</v>
      </c>
    </row>
    <row r="7266" spans="1:2" x14ac:dyDescent="0.3">
      <c r="A7266" s="5">
        <v>45838</v>
      </c>
      <c r="B7266" s="10">
        <v>39973</v>
      </c>
    </row>
    <row r="7267" spans="1:2" x14ac:dyDescent="0.3">
      <c r="A7267" s="5">
        <v>45839</v>
      </c>
      <c r="B7267" s="10">
        <v>41686</v>
      </c>
    </row>
    <row r="7268" spans="1:2" x14ac:dyDescent="0.3">
      <c r="A7268" s="5">
        <v>45840</v>
      </c>
      <c r="B7268" s="10">
        <v>41658</v>
      </c>
    </row>
    <row r="7269" spans="1:2" x14ac:dyDescent="0.3">
      <c r="A7269" s="5">
        <v>45841</v>
      </c>
      <c r="B7269" s="10">
        <v>41738</v>
      </c>
    </row>
    <row r="7270" spans="1:2" x14ac:dyDescent="0.3">
      <c r="A7270" s="5">
        <v>45842</v>
      </c>
      <c r="B7270" s="10">
        <v>41747</v>
      </c>
    </row>
    <row r="7271" spans="1:2" x14ac:dyDescent="0.3">
      <c r="A7271" s="5">
        <v>45845</v>
      </c>
      <c r="B7271" s="10">
        <v>41721</v>
      </c>
    </row>
    <row r="7272" spans="1:2" x14ac:dyDescent="0.3">
      <c r="A7272" s="5">
        <v>45846</v>
      </c>
      <c r="B7272" s="10">
        <v>39127</v>
      </c>
    </row>
    <row r="7273" spans="1:2" x14ac:dyDescent="0.3">
      <c r="A7273" s="5">
        <v>45848</v>
      </c>
      <c r="B7273" s="10">
        <v>38721</v>
      </c>
    </row>
    <row r="7274" spans="1:2" x14ac:dyDescent="0.3">
      <c r="A7274" s="5">
        <v>45849</v>
      </c>
      <c r="B7274" s="10">
        <v>39060</v>
      </c>
    </row>
    <row r="7275" spans="1:2" x14ac:dyDescent="0.3">
      <c r="A7275" s="5">
        <v>45852</v>
      </c>
      <c r="B7275" s="10">
        <v>39147</v>
      </c>
    </row>
    <row r="7276" spans="1:2" x14ac:dyDescent="0.3">
      <c r="A7276" s="5">
        <v>45853</v>
      </c>
      <c r="B7276" s="10">
        <v>39061</v>
      </c>
    </row>
    <row r="7277" spans="1:2" x14ac:dyDescent="0.3">
      <c r="A7277" s="5">
        <v>45854</v>
      </c>
      <c r="B7277" s="10">
        <v>39554</v>
      </c>
    </row>
    <row r="7278" spans="1:2" x14ac:dyDescent="0.3">
      <c r="A7278" s="5">
        <v>45855</v>
      </c>
      <c r="B7278" s="10">
        <v>39836</v>
      </c>
    </row>
    <row r="7279" spans="1:2" x14ac:dyDescent="0.3">
      <c r="A7279" s="5">
        <v>45856</v>
      </c>
      <c r="B7279" s="10">
        <v>40393</v>
      </c>
    </row>
    <row r="7280" spans="1:2" x14ac:dyDescent="0.3">
      <c r="A7280" s="5">
        <v>45859</v>
      </c>
      <c r="B7280" s="10">
        <v>40652</v>
      </c>
    </row>
    <row r="7281" spans="1:2" x14ac:dyDescent="0.3">
      <c r="A7281" s="5">
        <v>45860</v>
      </c>
      <c r="B7281" s="10">
        <v>40578</v>
      </c>
    </row>
    <row r="7282" spans="1:2" x14ac:dyDescent="0.3">
      <c r="A7282" s="5">
        <v>45861</v>
      </c>
      <c r="B7282" s="10">
        <v>40358</v>
      </c>
    </row>
    <row r="7283" spans="1:2" x14ac:dyDescent="0.3">
      <c r="A7283" s="5">
        <v>45862</v>
      </c>
      <c r="B7283" s="10">
        <v>40432</v>
      </c>
    </row>
    <row r="7284" spans="1:2" x14ac:dyDescent="0.3">
      <c r="A7284" s="5">
        <v>45863</v>
      </c>
      <c r="B7284" s="10">
        <v>40283</v>
      </c>
    </row>
    <row r="7285" spans="1:2" x14ac:dyDescent="0.3">
      <c r="A7285" s="5">
        <v>45866</v>
      </c>
      <c r="B7285" s="10">
        <v>40146</v>
      </c>
    </row>
    <row r="7286" spans="1:2" x14ac:dyDescent="0.3">
      <c r="A7286" s="5">
        <v>45867</v>
      </c>
      <c r="B7286" s="10">
        <v>41245</v>
      </c>
    </row>
    <row r="7287" spans="1:2" x14ac:dyDescent="0.3">
      <c r="A7287" s="5">
        <v>45868</v>
      </c>
      <c r="B7287" s="10">
        <v>40765</v>
      </c>
    </row>
    <row r="7288" spans="1:2" x14ac:dyDescent="0.3">
      <c r="A7288" s="5">
        <v>45869</v>
      </c>
      <c r="B7288" s="10">
        <v>38866</v>
      </c>
    </row>
    <row r="7289" spans="1:2" x14ac:dyDescent="0.3">
      <c r="A7289" s="5">
        <v>45870</v>
      </c>
      <c r="B7289" s="10">
        <v>41034</v>
      </c>
    </row>
    <row r="7290" spans="1:2" x14ac:dyDescent="0.3">
      <c r="A7290" s="5">
        <v>45873</v>
      </c>
      <c r="B7290" s="10">
        <v>43039</v>
      </c>
    </row>
    <row r="7291" spans="1:2" x14ac:dyDescent="0.3">
      <c r="A7291" s="5">
        <v>45874</v>
      </c>
      <c r="B7291" s="10">
        <v>42720</v>
      </c>
    </row>
    <row r="7292" spans="1:2" x14ac:dyDescent="0.3">
      <c r="A7292" s="5">
        <v>45875</v>
      </c>
      <c r="B7292" s="10">
        <v>42143</v>
      </c>
    </row>
    <row r="7293" spans="1:2" x14ac:dyDescent="0.3">
      <c r="A7293" s="5">
        <v>45876</v>
      </c>
      <c r="B7293" s="10">
        <v>41683</v>
      </c>
    </row>
    <row r="7294" spans="1:2" x14ac:dyDescent="0.3">
      <c r="A7294" s="5">
        <v>45877</v>
      </c>
      <c r="B7294" s="10">
        <v>42116</v>
      </c>
    </row>
    <row r="7295" spans="1:2" x14ac:dyDescent="0.3">
      <c r="A7295" s="5">
        <v>45880</v>
      </c>
      <c r="B7295" s="10">
        <v>41991</v>
      </c>
    </row>
    <row r="7296" spans="1:2" x14ac:dyDescent="0.3">
      <c r="A7296" s="5">
        <v>45881</v>
      </c>
      <c r="B7296" s="10">
        <v>41991</v>
      </c>
    </row>
    <row r="7297" spans="1:2" x14ac:dyDescent="0.3">
      <c r="A7297" s="5">
        <v>45882</v>
      </c>
      <c r="B7297" s="10">
        <v>42052</v>
      </c>
    </row>
    <row r="7298" spans="1:2" x14ac:dyDescent="0.3">
      <c r="A7298" s="5">
        <v>45883</v>
      </c>
      <c r="B7298" s="10">
        <v>41908</v>
      </c>
    </row>
    <row r="7299" spans="1:2" x14ac:dyDescent="0.3">
      <c r="A7299" s="5">
        <v>45887</v>
      </c>
      <c r="B7299" s="10">
        <v>41757</v>
      </c>
    </row>
    <row r="7300" spans="1:2" x14ac:dyDescent="0.3">
      <c r="A7300" s="5">
        <v>45888</v>
      </c>
      <c r="B7300" s="10">
        <v>41705</v>
      </c>
    </row>
    <row r="7301" spans="1:2" x14ac:dyDescent="0.3">
      <c r="A7301" s="5">
        <v>45889</v>
      </c>
      <c r="B7301" s="10">
        <v>41692</v>
      </c>
    </row>
    <row r="7302" spans="1:2" x14ac:dyDescent="0.3">
      <c r="A7302" s="5">
        <v>45890</v>
      </c>
      <c r="B7302" s="10">
        <v>41485</v>
      </c>
    </row>
    <row r="7303" spans="1:2" x14ac:dyDescent="0.3">
      <c r="A7303" s="5">
        <v>45891</v>
      </c>
      <c r="B7303" s="10">
        <v>41505</v>
      </c>
    </row>
    <row r="7304" spans="1:2" x14ac:dyDescent="0.3">
      <c r="A7304" s="5">
        <v>45894</v>
      </c>
      <c r="B7304" s="10">
        <v>41445</v>
      </c>
    </row>
    <row r="7305" spans="1:2" x14ac:dyDescent="0.3">
      <c r="A7305" s="5">
        <v>45895</v>
      </c>
      <c r="B7305" s="10">
        <v>41184</v>
      </c>
    </row>
    <row r="7306" spans="1:2" x14ac:dyDescent="0.3">
      <c r="A7306" s="5">
        <v>45896</v>
      </c>
      <c r="B7306" s="10">
        <v>41255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G14" sqref="G14"/>
    </sheetView>
  </sheetViews>
  <sheetFormatPr baseColWidth="10" defaultRowHeight="14.4" x14ac:dyDescent="0.3"/>
  <cols>
    <col min="3" max="3" width="12.44140625" bestFit="1" customWidth="1"/>
  </cols>
  <sheetData>
    <row r="1" spans="1:4" x14ac:dyDescent="0.3">
      <c r="A1" t="s">
        <v>0</v>
      </c>
      <c r="B1" t="s">
        <v>3966</v>
      </c>
      <c r="C1" t="s">
        <v>3968</v>
      </c>
      <c r="D1" t="s">
        <v>3974</v>
      </c>
    </row>
    <row r="2" spans="1:4" x14ac:dyDescent="0.3">
      <c r="A2" s="5">
        <v>45747</v>
      </c>
      <c r="B2" t="s">
        <v>3967</v>
      </c>
      <c r="C2" s="1">
        <f>320245595+25616843</f>
        <v>345862438</v>
      </c>
      <c r="D2" s="1">
        <v>0.73034427243915423</v>
      </c>
    </row>
    <row r="3" spans="1:4" ht="16.8" customHeight="1" x14ac:dyDescent="0.3">
      <c r="A3" s="5">
        <v>45747</v>
      </c>
      <c r="B3" t="s">
        <v>3969</v>
      </c>
      <c r="C3" s="12">
        <f>4380126+33744452</f>
        <v>38124578</v>
      </c>
      <c r="D3" s="1">
        <v>8.0506190098214095E-2</v>
      </c>
    </row>
    <row r="4" spans="1:4" x14ac:dyDescent="0.3">
      <c r="A4" s="5">
        <v>45747</v>
      </c>
      <c r="B4" t="s">
        <v>3970</v>
      </c>
      <c r="C4" s="1">
        <v>75983153</v>
      </c>
      <c r="D4" s="1">
        <v>0.16045067199641361</v>
      </c>
    </row>
    <row r="5" spans="1:4" x14ac:dyDescent="0.3">
      <c r="A5" s="5">
        <v>45747</v>
      </c>
      <c r="B5" t="s">
        <v>3971</v>
      </c>
      <c r="C5" s="1">
        <f>83306267-C4</f>
        <v>7323114</v>
      </c>
      <c r="D5" s="1">
        <v>1.5463935306900788E-2</v>
      </c>
    </row>
    <row r="6" spans="1:4" ht="13.8" customHeight="1" x14ac:dyDescent="0.3">
      <c r="A6" s="5">
        <v>45747</v>
      </c>
      <c r="B6" t="s">
        <v>3972</v>
      </c>
      <c r="C6" s="12">
        <f>4778+3804884</f>
        <v>3809662</v>
      </c>
      <c r="D6" s="1">
        <v>8.0447152275873717E-3</v>
      </c>
    </row>
    <row r="7" spans="1:4" x14ac:dyDescent="0.3">
      <c r="A7" s="5">
        <v>45747</v>
      </c>
      <c r="B7" t="s">
        <v>3973</v>
      </c>
      <c r="C7" s="1">
        <f>473560827.477858-SUM(C2:C6)</f>
        <v>2457882.477858007</v>
      </c>
      <c r="D7" s="1">
        <v>5.1902149317300302E-3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workbookViewId="0">
      <selection activeCell="C3" sqref="C3"/>
    </sheetView>
  </sheetViews>
  <sheetFormatPr baseColWidth="10" defaultRowHeight="14.4" x14ac:dyDescent="0.3"/>
  <cols>
    <col min="2" max="2" width="11.5546875" style="11"/>
    <col min="3" max="3" width="11.5546875" style="13"/>
  </cols>
  <sheetData>
    <row r="1" spans="1:4" x14ac:dyDescent="0.3">
      <c r="A1" s="15" t="s">
        <v>0</v>
      </c>
      <c r="B1" s="11" t="s">
        <v>4</v>
      </c>
      <c r="C1" s="16" t="s">
        <v>3977</v>
      </c>
    </row>
    <row r="2" spans="1:4" x14ac:dyDescent="0.3">
      <c r="A2" s="1">
        <v>1991</v>
      </c>
      <c r="B2" s="11">
        <v>1</v>
      </c>
      <c r="C2" s="14">
        <v>5.44</v>
      </c>
      <c r="D2" s="1"/>
    </row>
    <row r="3" spans="1:4" x14ac:dyDescent="0.3">
      <c r="A3" s="1">
        <v>1992</v>
      </c>
      <c r="B3" s="11">
        <v>1</v>
      </c>
      <c r="C3" s="14">
        <v>6.36</v>
      </c>
    </row>
    <row r="4" spans="1:4" x14ac:dyDescent="0.3">
      <c r="A4" s="1">
        <v>1993</v>
      </c>
      <c r="B4" s="11">
        <v>1</v>
      </c>
      <c r="C4" s="14">
        <v>10.1</v>
      </c>
    </row>
    <row r="5" spans="1:4" x14ac:dyDescent="0.3">
      <c r="A5" s="1">
        <v>1994</v>
      </c>
      <c r="B5" s="11">
        <v>1</v>
      </c>
      <c r="C5" s="14">
        <v>11.76</v>
      </c>
    </row>
    <row r="6" spans="1:4" x14ac:dyDescent="0.3">
      <c r="A6" s="1">
        <v>1995</v>
      </c>
      <c r="B6" s="11">
        <v>1</v>
      </c>
      <c r="C6" s="14">
        <v>18.8</v>
      </c>
    </row>
    <row r="7" spans="1:4" x14ac:dyDescent="0.3">
      <c r="A7" s="1">
        <v>1996</v>
      </c>
      <c r="B7" s="11">
        <v>1</v>
      </c>
      <c r="C7" s="14">
        <v>17.11</v>
      </c>
    </row>
    <row r="8" spans="1:4" x14ac:dyDescent="0.3">
      <c r="A8" s="1">
        <v>1997</v>
      </c>
      <c r="B8" s="11">
        <v>1</v>
      </c>
      <c r="C8" s="14">
        <v>14.82</v>
      </c>
    </row>
    <row r="9" spans="1:4" x14ac:dyDescent="0.3">
      <c r="A9" s="1">
        <v>1998</v>
      </c>
      <c r="B9" s="11">
        <v>1</v>
      </c>
      <c r="C9" s="14">
        <v>12.65</v>
      </c>
    </row>
    <row r="10" spans="1:4" x14ac:dyDescent="0.3">
      <c r="A10" s="1">
        <v>1999</v>
      </c>
      <c r="B10" s="11">
        <v>1</v>
      </c>
      <c r="C10" s="14">
        <v>14.05</v>
      </c>
    </row>
    <row r="11" spans="1:4" x14ac:dyDescent="0.3">
      <c r="A11" s="1">
        <v>2000</v>
      </c>
      <c r="B11" s="11">
        <v>1</v>
      </c>
      <c r="C11" s="14">
        <v>15</v>
      </c>
    </row>
    <row r="12" spans="1:4" x14ac:dyDescent="0.3">
      <c r="A12" s="1">
        <v>2001</v>
      </c>
      <c r="B12" s="11">
        <v>1</v>
      </c>
      <c r="C12" s="14">
        <v>17.32</v>
      </c>
    </row>
    <row r="13" spans="1:4" x14ac:dyDescent="0.3">
      <c r="A13" s="1">
        <v>2002</v>
      </c>
      <c r="B13" s="11">
        <v>1</v>
      </c>
      <c r="C13" s="14">
        <v>19.59</v>
      </c>
    </row>
    <row r="14" spans="1:4" x14ac:dyDescent="0.3">
      <c r="A14" s="1">
        <v>2003</v>
      </c>
      <c r="B14" s="11">
        <v>1</v>
      </c>
      <c r="C14" s="14">
        <v>15.36</v>
      </c>
    </row>
    <row r="15" spans="1:4" x14ac:dyDescent="0.3">
      <c r="A15" s="1">
        <v>2004</v>
      </c>
      <c r="B15" s="11">
        <v>1</v>
      </c>
      <c r="C15" s="14">
        <v>13.522</v>
      </c>
    </row>
    <row r="16" spans="1:4" x14ac:dyDescent="0.3">
      <c r="A16" s="1">
        <v>2005</v>
      </c>
      <c r="B16" s="11">
        <v>1</v>
      </c>
      <c r="C16" s="14">
        <v>11.506</v>
      </c>
    </row>
    <row r="17" spans="1:3" x14ac:dyDescent="0.3">
      <c r="A17" s="1">
        <v>2006</v>
      </c>
      <c r="B17" s="11">
        <v>1</v>
      </c>
      <c r="C17" s="14">
        <v>10.077999999999999</v>
      </c>
    </row>
    <row r="18" spans="1:3" x14ac:dyDescent="0.3">
      <c r="A18" s="1">
        <v>2007</v>
      </c>
      <c r="B18" s="11">
        <v>1</v>
      </c>
      <c r="C18" s="14">
        <v>8.4700000000000006</v>
      </c>
    </row>
    <row r="19" spans="1:3" x14ac:dyDescent="0.3">
      <c r="A19" s="1">
        <v>2008</v>
      </c>
      <c r="B19" s="11">
        <v>1</v>
      </c>
      <c r="C19" s="14">
        <v>7.8369999999999997</v>
      </c>
    </row>
    <row r="20" spans="1:3" x14ac:dyDescent="0.3">
      <c r="A20" s="1">
        <v>2009</v>
      </c>
      <c r="B20" s="11">
        <v>1</v>
      </c>
      <c r="C20" s="14">
        <v>8.6449999999999996</v>
      </c>
    </row>
    <row r="21" spans="1:3" x14ac:dyDescent="0.3">
      <c r="A21" s="1">
        <v>2010</v>
      </c>
      <c r="B21" s="11">
        <v>1</v>
      </c>
      <c r="C21" s="14">
        <v>7.7140000000000004</v>
      </c>
    </row>
    <row r="22" spans="1:3" x14ac:dyDescent="0.3">
      <c r="A22" s="1">
        <v>2011</v>
      </c>
      <c r="B22" s="11">
        <v>1</v>
      </c>
      <c r="C22" s="14">
        <v>7.18</v>
      </c>
    </row>
    <row r="23" spans="1:3" x14ac:dyDescent="0.3">
      <c r="A23" s="1">
        <v>2012</v>
      </c>
      <c r="B23" s="11">
        <v>1</v>
      </c>
      <c r="C23" s="14">
        <v>7.2169999999999996</v>
      </c>
    </row>
    <row r="24" spans="1:3" x14ac:dyDescent="0.3">
      <c r="A24" s="1">
        <v>2013</v>
      </c>
      <c r="B24" s="11">
        <v>1</v>
      </c>
      <c r="C24" s="14">
        <v>7.1</v>
      </c>
    </row>
    <row r="25" spans="1:3" x14ac:dyDescent="0.3">
      <c r="A25" s="1">
        <v>2014</v>
      </c>
      <c r="B25" s="11">
        <v>1</v>
      </c>
      <c r="C25" s="14">
        <v>7.2679999999999998</v>
      </c>
    </row>
    <row r="26" spans="1:3" x14ac:dyDescent="0.3">
      <c r="A26" s="1">
        <v>2015</v>
      </c>
      <c r="B26" s="11">
        <v>1</v>
      </c>
      <c r="C26" s="14">
        <v>7.5789999999999997</v>
      </c>
    </row>
    <row r="27" spans="1:3" x14ac:dyDescent="0.3">
      <c r="A27" s="1">
        <v>2016</v>
      </c>
      <c r="B27" s="11">
        <v>1</v>
      </c>
      <c r="C27" s="14">
        <v>8.0850000000000009</v>
      </c>
    </row>
    <row r="28" spans="1:3" x14ac:dyDescent="0.3">
      <c r="A28" s="1">
        <v>2017</v>
      </c>
      <c r="B28" s="11">
        <v>1</v>
      </c>
      <c r="C28" s="14">
        <v>8.3469999999999995</v>
      </c>
    </row>
    <row r="29" spans="1:3" x14ac:dyDescent="0.3">
      <c r="A29" s="1">
        <v>2018</v>
      </c>
      <c r="B29" s="11">
        <v>1</v>
      </c>
      <c r="C29" s="14">
        <v>9.2200000000000006</v>
      </c>
    </row>
    <row r="30" spans="1:3" x14ac:dyDescent="0.3">
      <c r="A30" s="1">
        <v>2019</v>
      </c>
      <c r="B30" s="11">
        <v>1</v>
      </c>
      <c r="C30" s="14">
        <v>9.843</v>
      </c>
    </row>
    <row r="31" spans="1:3" x14ac:dyDescent="0.3">
      <c r="A31" s="1">
        <v>2020</v>
      </c>
      <c r="B31" s="11">
        <v>1</v>
      </c>
      <c r="C31" s="14">
        <v>11.461</v>
      </c>
    </row>
    <row r="32" spans="1:3" x14ac:dyDescent="0.3">
      <c r="A32" s="1">
        <v>2021</v>
      </c>
      <c r="B32" s="11">
        <v>1</v>
      </c>
      <c r="C32" s="14">
        <v>8.7360000000000007</v>
      </c>
    </row>
    <row r="33" spans="1:3" x14ac:dyDescent="0.3">
      <c r="A33" s="1">
        <v>2022</v>
      </c>
      <c r="B33" s="11">
        <v>1</v>
      </c>
      <c r="C33" s="14">
        <v>6.8049999999999997</v>
      </c>
    </row>
    <row r="34" spans="1:3" x14ac:dyDescent="0.3">
      <c r="A34" s="1">
        <v>2023</v>
      </c>
      <c r="B34" s="11">
        <v>1</v>
      </c>
      <c r="C34" s="14">
        <v>6.1390000000000002</v>
      </c>
    </row>
    <row r="35" spans="1:3" x14ac:dyDescent="0.3">
      <c r="A35" s="1">
        <v>2024</v>
      </c>
      <c r="B35" s="11">
        <v>1</v>
      </c>
      <c r="C35" s="14">
        <v>7.8760000000000003</v>
      </c>
    </row>
    <row r="36" spans="1:3" x14ac:dyDescent="0.3">
      <c r="B36" s="13"/>
      <c r="C36"/>
    </row>
    <row r="37" spans="1:3" x14ac:dyDescent="0.3">
      <c r="B37" s="13"/>
      <c r="C37"/>
    </row>
    <row r="38" spans="1:3" x14ac:dyDescent="0.3">
      <c r="B38" s="13"/>
      <c r="C38"/>
    </row>
    <row r="39" spans="1:3" x14ac:dyDescent="0.3">
      <c r="B39" s="13"/>
      <c r="C39"/>
    </row>
    <row r="40" spans="1:3" x14ac:dyDescent="0.3">
      <c r="B40" s="13"/>
      <c r="C40"/>
    </row>
    <row r="41" spans="1:3" x14ac:dyDescent="0.3">
      <c r="B41" s="13"/>
      <c r="C41"/>
    </row>
    <row r="42" spans="1:3" x14ac:dyDescent="0.3">
      <c r="B42" s="13"/>
      <c r="C42"/>
    </row>
    <row r="43" spans="1:3" x14ac:dyDescent="0.3">
      <c r="B43" s="13"/>
      <c r="C43"/>
    </row>
    <row r="44" spans="1:3" x14ac:dyDescent="0.3">
      <c r="B44" s="13"/>
      <c r="C44"/>
    </row>
    <row r="45" spans="1:3" x14ac:dyDescent="0.3">
      <c r="B45" s="13"/>
      <c r="C45"/>
    </row>
    <row r="46" spans="1:3" x14ac:dyDescent="0.3">
      <c r="B46" s="13"/>
      <c r="C46"/>
    </row>
    <row r="47" spans="1:3" x14ac:dyDescent="0.3">
      <c r="B47" s="13"/>
      <c r="C47"/>
    </row>
    <row r="48" spans="1:3" x14ac:dyDescent="0.3">
      <c r="B48" s="13"/>
      <c r="C48"/>
    </row>
    <row r="49" spans="2:3" x14ac:dyDescent="0.3">
      <c r="B49" s="13"/>
      <c r="C49"/>
    </row>
    <row r="50" spans="2:3" x14ac:dyDescent="0.3">
      <c r="B50" s="13"/>
      <c r="C50"/>
    </row>
    <row r="51" spans="2:3" x14ac:dyDescent="0.3">
      <c r="B51" s="13"/>
      <c r="C51"/>
    </row>
    <row r="52" spans="2:3" x14ac:dyDescent="0.3">
      <c r="B52" s="13"/>
      <c r="C52"/>
    </row>
    <row r="53" spans="2:3" x14ac:dyDescent="0.3">
      <c r="B53" s="13"/>
      <c r="C53"/>
    </row>
    <row r="54" spans="2:3" x14ac:dyDescent="0.3">
      <c r="B54" s="13"/>
      <c r="C54"/>
    </row>
    <row r="55" spans="2:3" x14ac:dyDescent="0.3">
      <c r="B55" s="13"/>
      <c r="C55"/>
    </row>
    <row r="56" spans="2:3" x14ac:dyDescent="0.3">
      <c r="B56" s="13"/>
      <c r="C56"/>
    </row>
    <row r="57" spans="2:3" x14ac:dyDescent="0.3">
      <c r="B57" s="13"/>
      <c r="C57"/>
    </row>
    <row r="58" spans="2:3" x14ac:dyDescent="0.3">
      <c r="B58" s="13"/>
      <c r="C58"/>
    </row>
    <row r="59" spans="2:3" x14ac:dyDescent="0.3">
      <c r="B59" s="13"/>
      <c r="C59"/>
    </row>
    <row r="60" spans="2:3" x14ac:dyDescent="0.3">
      <c r="B60" s="13"/>
      <c r="C60"/>
    </row>
    <row r="61" spans="2:3" x14ac:dyDescent="0.3">
      <c r="B61" s="13"/>
      <c r="C61"/>
    </row>
    <row r="62" spans="2:3" x14ac:dyDescent="0.3">
      <c r="B62" s="13"/>
      <c r="C62"/>
    </row>
    <row r="63" spans="2:3" x14ac:dyDescent="0.3">
      <c r="B63" s="13"/>
      <c r="C63"/>
    </row>
    <row r="64" spans="2:3" x14ac:dyDescent="0.3">
      <c r="B64" s="13"/>
      <c r="C64"/>
    </row>
    <row r="65" spans="2:3" x14ac:dyDescent="0.3">
      <c r="B65" s="13"/>
      <c r="C65"/>
    </row>
    <row r="66" spans="2:3" x14ac:dyDescent="0.3">
      <c r="B66" s="13"/>
      <c r="C66"/>
    </row>
    <row r="67" spans="2:3" x14ac:dyDescent="0.3">
      <c r="B67" s="13"/>
      <c r="C67"/>
    </row>
    <row r="68" spans="2:3" x14ac:dyDescent="0.3">
      <c r="B68" s="13"/>
      <c r="C68"/>
    </row>
    <row r="69" spans="2:3" x14ac:dyDescent="0.3">
      <c r="B69" s="13"/>
      <c r="C69"/>
    </row>
    <row r="70" spans="2:3" x14ac:dyDescent="0.3">
      <c r="B70" s="13"/>
      <c r="C70"/>
    </row>
    <row r="71" spans="2:3" x14ac:dyDescent="0.3">
      <c r="B71" s="13"/>
      <c r="C71"/>
    </row>
    <row r="72" spans="2:3" x14ac:dyDescent="0.3">
      <c r="B72" s="13"/>
      <c r="C72"/>
    </row>
    <row r="73" spans="2:3" x14ac:dyDescent="0.3">
      <c r="B73" s="13"/>
      <c r="C73"/>
    </row>
    <row r="74" spans="2:3" x14ac:dyDescent="0.3">
      <c r="B74" s="13"/>
      <c r="C74"/>
    </row>
    <row r="75" spans="2:3" x14ac:dyDescent="0.3">
      <c r="B75" s="13"/>
      <c r="C75"/>
    </row>
    <row r="76" spans="2:3" x14ac:dyDescent="0.3">
      <c r="B76" s="13"/>
      <c r="C76"/>
    </row>
    <row r="77" spans="2:3" x14ac:dyDescent="0.3">
      <c r="B77" s="13"/>
      <c r="C77"/>
    </row>
    <row r="78" spans="2:3" x14ac:dyDescent="0.3">
      <c r="B78" s="13"/>
      <c r="C78"/>
    </row>
    <row r="79" spans="2:3" x14ac:dyDescent="0.3">
      <c r="B79" s="13"/>
      <c r="C79"/>
    </row>
    <row r="80" spans="2:3" x14ac:dyDescent="0.3">
      <c r="B80" s="13"/>
      <c r="C80"/>
    </row>
    <row r="81" spans="2:3" x14ac:dyDescent="0.3">
      <c r="B81" s="13"/>
      <c r="C81"/>
    </row>
    <row r="82" spans="2:3" x14ac:dyDescent="0.3">
      <c r="B82" s="13"/>
      <c r="C82"/>
    </row>
    <row r="83" spans="2:3" x14ac:dyDescent="0.3">
      <c r="B83" s="13"/>
      <c r="C83"/>
    </row>
    <row r="84" spans="2:3" x14ac:dyDescent="0.3">
      <c r="B84" s="13"/>
      <c r="C84"/>
    </row>
    <row r="85" spans="2:3" x14ac:dyDescent="0.3">
      <c r="B85" s="13"/>
      <c r="C85"/>
    </row>
    <row r="86" spans="2:3" x14ac:dyDescent="0.3">
      <c r="B86" s="13"/>
      <c r="C86"/>
    </row>
    <row r="87" spans="2:3" x14ac:dyDescent="0.3">
      <c r="B87" s="13"/>
      <c r="C87"/>
    </row>
    <row r="88" spans="2:3" x14ac:dyDescent="0.3">
      <c r="B88" s="13"/>
      <c r="C8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I34" sqref="I34"/>
    </sheetView>
  </sheetViews>
  <sheetFormatPr baseColWidth="10" defaultRowHeight="14.4" x14ac:dyDescent="0.3"/>
  <cols>
    <col min="3" max="3" width="12.44140625" bestFit="1" customWidth="1"/>
    <col min="4" max="4" width="11.6640625" bestFit="1" customWidth="1"/>
  </cols>
  <sheetData>
    <row r="1" spans="1:4" x14ac:dyDescent="0.3">
      <c r="A1" s="7" t="s">
        <v>0</v>
      </c>
      <c r="B1" s="7" t="s">
        <v>3966</v>
      </c>
      <c r="C1" s="7" t="s">
        <v>3968</v>
      </c>
      <c r="D1" s="7" t="s">
        <v>3974</v>
      </c>
    </row>
    <row r="2" spans="1:4" x14ac:dyDescent="0.3">
      <c r="A2" s="5">
        <v>45291</v>
      </c>
      <c r="B2" s="7" t="s">
        <v>3967</v>
      </c>
      <c r="C2" s="1">
        <f>6525349
+263424656</f>
        <v>269950005</v>
      </c>
      <c r="D2" s="1">
        <v>0.72826919753449793</v>
      </c>
    </row>
    <row r="3" spans="1:4" x14ac:dyDescent="0.3">
      <c r="A3" s="5">
        <v>45291</v>
      </c>
      <c r="B3" s="7" t="s">
        <v>3969</v>
      </c>
      <c r="C3" s="1">
        <f>6270760
+4704171</f>
        <v>10974931</v>
      </c>
      <c r="D3" s="1">
        <v>2.960809055130962E-2</v>
      </c>
    </row>
    <row r="4" spans="1:4" x14ac:dyDescent="0.3">
      <c r="A4" s="5">
        <v>45291</v>
      </c>
      <c r="B4" s="7" t="s">
        <v>3970</v>
      </c>
      <c r="C4" s="1">
        <v>74215297</v>
      </c>
      <c r="D4" s="1">
        <v>0.20021749875861061</v>
      </c>
    </row>
    <row r="5" spans="1:4" x14ac:dyDescent="0.3">
      <c r="A5" s="5">
        <v>45291</v>
      </c>
      <c r="B5" s="7" t="s">
        <v>3971</v>
      </c>
      <c r="C5" s="1">
        <f>82239530
-C4</f>
        <v>8024233</v>
      </c>
      <c r="D5" s="1">
        <v>2.1647718538622872E-2</v>
      </c>
    </row>
    <row r="6" spans="1:4" x14ac:dyDescent="0.3">
      <c r="A6" s="5">
        <v>45291</v>
      </c>
      <c r="B6" s="7" t="s">
        <v>3972</v>
      </c>
      <c r="C6" s="1">
        <f>2867177
+2193248</f>
        <v>5060425</v>
      </c>
      <c r="D6" s="1">
        <v>1.3651978461469231E-2</v>
      </c>
    </row>
    <row r="7" spans="1:4" x14ac:dyDescent="0.3">
      <c r="A7" s="5">
        <v>45291</v>
      </c>
      <c r="B7" s="7" t="s">
        <v>3973</v>
      </c>
      <c r="C7" s="1" t="e">
        <f>#REF!-SUM(C2:C6)</f>
        <v>#REF!</v>
      </c>
      <c r="D7" s="1">
        <v>6.6055161554897735E-3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8"/>
  <sheetViews>
    <sheetView topLeftCell="Z1" workbookViewId="0">
      <selection activeCell="AK14" sqref="AK14"/>
    </sheetView>
  </sheetViews>
  <sheetFormatPr baseColWidth="10" defaultRowHeight="14.4" x14ac:dyDescent="0.3"/>
  <sheetData>
    <row r="1" spans="1:41" s="7" customFormat="1" x14ac:dyDescent="0.3">
      <c r="A1" s="7" t="s">
        <v>4020</v>
      </c>
      <c r="B1" s="7" t="s">
        <v>3980</v>
      </c>
      <c r="C1" s="7" t="s">
        <v>3981</v>
      </c>
      <c r="D1" s="7" t="s">
        <v>3982</v>
      </c>
      <c r="E1" s="7" t="s">
        <v>3983</v>
      </c>
      <c r="F1" s="7" t="s">
        <v>3984</v>
      </c>
      <c r="G1" s="7" t="s">
        <v>3985</v>
      </c>
      <c r="H1" s="7" t="s">
        <v>3986</v>
      </c>
      <c r="I1" s="7" t="s">
        <v>3987</v>
      </c>
      <c r="J1" s="7" t="s">
        <v>3988</v>
      </c>
      <c r="K1" s="7" t="s">
        <v>3989</v>
      </c>
      <c r="L1" s="7" t="s">
        <v>3990</v>
      </c>
      <c r="M1" s="7" t="s">
        <v>3991</v>
      </c>
      <c r="N1" s="7" t="s">
        <v>3992</v>
      </c>
      <c r="O1" s="7" t="s">
        <v>3993</v>
      </c>
      <c r="P1" s="7" t="s">
        <v>3994</v>
      </c>
      <c r="Q1" s="7" t="s">
        <v>3995</v>
      </c>
      <c r="R1" s="7" t="s">
        <v>3996</v>
      </c>
      <c r="S1" s="7" t="s">
        <v>3997</v>
      </c>
      <c r="T1" s="7" t="s">
        <v>3998</v>
      </c>
      <c r="U1" s="7" t="s">
        <v>3999</v>
      </c>
      <c r="V1" s="7" t="s">
        <v>4000</v>
      </c>
      <c r="W1" s="7" t="s">
        <v>4001</v>
      </c>
      <c r="X1" s="7" t="s">
        <v>4002</v>
      </c>
      <c r="Y1" s="7" t="s">
        <v>4003</v>
      </c>
      <c r="Z1" s="7" t="s">
        <v>4004</v>
      </c>
      <c r="AA1" s="7" t="s">
        <v>4005</v>
      </c>
      <c r="AB1" s="7" t="s">
        <v>4006</v>
      </c>
      <c r="AC1" s="7" t="s">
        <v>4007</v>
      </c>
      <c r="AD1" s="7" t="s">
        <v>4008</v>
      </c>
      <c r="AE1" s="7" t="s">
        <v>4009</v>
      </c>
      <c r="AF1" s="7" t="s">
        <v>4010</v>
      </c>
      <c r="AG1" s="7" t="s">
        <v>4011</v>
      </c>
      <c r="AH1" s="7" t="s">
        <v>4012</v>
      </c>
      <c r="AI1" s="7" t="s">
        <v>4013</v>
      </c>
      <c r="AJ1" s="7" t="s">
        <v>4014</v>
      </c>
      <c r="AK1" s="7" t="s">
        <v>4015</v>
      </c>
      <c r="AL1" s="7" t="s">
        <v>4016</v>
      </c>
      <c r="AM1" s="7" t="s">
        <v>4017</v>
      </c>
      <c r="AN1" s="7" t="s">
        <v>4018</v>
      </c>
      <c r="AO1" s="7" t="s">
        <v>4019</v>
      </c>
    </row>
    <row r="2" spans="1:41" s="7" customFormat="1" x14ac:dyDescent="0.3">
      <c r="A2" s="17">
        <v>0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</row>
    <row r="3" spans="1:41" s="7" customFormat="1" x14ac:dyDescent="0.3">
      <c r="A3" s="17">
        <v>1</v>
      </c>
      <c r="B3" s="7">
        <v>1.1000000000000001</v>
      </c>
      <c r="C3" s="7">
        <v>1.2</v>
      </c>
      <c r="D3" s="7">
        <f>1.2</f>
        <v>1.2</v>
      </c>
      <c r="E3" s="7">
        <v>1.3</v>
      </c>
      <c r="F3" s="7">
        <v>1.3</v>
      </c>
      <c r="G3" s="7">
        <v>1.3</v>
      </c>
      <c r="H3" s="7">
        <v>1.3</v>
      </c>
      <c r="I3" s="7">
        <v>1.4</v>
      </c>
      <c r="J3" s="7">
        <v>1.4</v>
      </c>
      <c r="K3" s="7">
        <v>1.4</v>
      </c>
      <c r="L3" s="7">
        <v>1.4</v>
      </c>
      <c r="M3" s="7">
        <v>1.4</v>
      </c>
      <c r="N3" s="7">
        <v>1.5</v>
      </c>
      <c r="O3" s="7">
        <v>1.6</v>
      </c>
      <c r="P3" s="7">
        <v>1.6</v>
      </c>
      <c r="Q3" s="7">
        <v>1.7</v>
      </c>
      <c r="R3" s="7">
        <v>1.7</v>
      </c>
      <c r="S3" s="7">
        <v>1.7</v>
      </c>
      <c r="T3" s="7">
        <v>1.8</v>
      </c>
      <c r="U3" s="7">
        <v>1.8</v>
      </c>
      <c r="V3" s="7">
        <v>1.8</v>
      </c>
      <c r="W3" s="7">
        <v>1.9</v>
      </c>
      <c r="X3" s="7">
        <v>1.8</v>
      </c>
      <c r="Y3" s="7">
        <v>1.9</v>
      </c>
      <c r="Z3" s="7">
        <v>1.8</v>
      </c>
      <c r="AA3" s="7">
        <v>1.6</v>
      </c>
      <c r="AB3" s="7">
        <v>1.8</v>
      </c>
      <c r="AC3" s="7">
        <v>1.8</v>
      </c>
      <c r="AD3" s="7">
        <v>1.7</v>
      </c>
      <c r="AE3" s="7">
        <v>1.7</v>
      </c>
      <c r="AF3" s="7">
        <v>1.6</v>
      </c>
      <c r="AG3" s="7">
        <v>1.7</v>
      </c>
      <c r="AH3" s="7">
        <v>1.7</v>
      </c>
      <c r="AI3" s="7">
        <v>1.8</v>
      </c>
      <c r="AJ3" s="7">
        <v>1.8</v>
      </c>
      <c r="AK3" s="7">
        <v>2</v>
      </c>
      <c r="AL3" s="7">
        <v>2</v>
      </c>
      <c r="AM3" s="7">
        <v>2</v>
      </c>
      <c r="AN3" s="7">
        <v>1.9</v>
      </c>
      <c r="AO3" s="7">
        <v>1.9</v>
      </c>
    </row>
    <row r="4" spans="1:41" s="7" customFormat="1" x14ac:dyDescent="0.3">
      <c r="A4" s="17">
        <v>2</v>
      </c>
      <c r="B4" s="7">
        <f>2.2+B3</f>
        <v>3.3000000000000003</v>
      </c>
      <c r="C4" s="7">
        <f>2.4+C3</f>
        <v>3.5999999999999996</v>
      </c>
      <c r="D4" s="7">
        <f>2.4+D3</f>
        <v>3.5999999999999996</v>
      </c>
      <c r="E4" s="7">
        <f>+E3+2.5</f>
        <v>3.8</v>
      </c>
      <c r="F4" s="7">
        <f>2.2+F3</f>
        <v>3.5</v>
      </c>
      <c r="G4" s="7">
        <f>G3+2.6</f>
        <v>3.9000000000000004</v>
      </c>
      <c r="H4" s="7">
        <f>+H3+2.6</f>
        <v>3.9000000000000004</v>
      </c>
      <c r="I4" s="7">
        <f>+I3+2.7</f>
        <v>4.0999999999999996</v>
      </c>
      <c r="J4" s="7">
        <f>+J3+2.7</f>
        <v>4.0999999999999996</v>
      </c>
      <c r="K4" s="7">
        <f>+K3+2.8</f>
        <v>4.1999999999999993</v>
      </c>
      <c r="L4" s="7">
        <f>+L3+2.8</f>
        <v>4.1999999999999993</v>
      </c>
      <c r="M4" s="7">
        <f>+M3+2.8</f>
        <v>4.1999999999999993</v>
      </c>
      <c r="N4" s="7">
        <f>+N3+2.9</f>
        <v>4.4000000000000004</v>
      </c>
      <c r="O4" s="7">
        <f>+O3+2.9</f>
        <v>4.5</v>
      </c>
      <c r="P4" s="7">
        <f>+P3+3</f>
        <v>4.5999999999999996</v>
      </c>
      <c r="Q4" s="7">
        <f>+Q3+3.1</f>
        <v>4.8</v>
      </c>
      <c r="R4" s="7">
        <f>+R3+3.1</f>
        <v>4.8</v>
      </c>
      <c r="S4" s="7">
        <f>+S3+3.1</f>
        <v>4.8</v>
      </c>
      <c r="T4" s="7">
        <f>+T3+3.2</f>
        <v>5</v>
      </c>
      <c r="U4" s="7">
        <f>U3+3.2</f>
        <v>5</v>
      </c>
      <c r="V4" s="7">
        <f>V3+3.2</f>
        <v>5</v>
      </c>
      <c r="W4" s="7">
        <f>W3+3.3</f>
        <v>5.1999999999999993</v>
      </c>
      <c r="X4" s="7">
        <f>X3+3.2</f>
        <v>5</v>
      </c>
      <c r="Y4" s="7">
        <f t="shared" ref="Y4" si="0">Y3+3.3</f>
        <v>5.1999999999999993</v>
      </c>
      <c r="Z4" s="7">
        <f>Z3+3.1</f>
        <v>4.9000000000000004</v>
      </c>
      <c r="AA4" s="7">
        <f>AA3+3.2</f>
        <v>4.8000000000000007</v>
      </c>
      <c r="AB4" s="7">
        <f t="shared" ref="AB4" si="1">AB3+3.3</f>
        <v>5.0999999999999996</v>
      </c>
      <c r="AC4" s="7">
        <f>AC3+3.2</f>
        <v>5</v>
      </c>
      <c r="AD4" s="7">
        <f>AD3+3.2</f>
        <v>4.9000000000000004</v>
      </c>
      <c r="AE4" s="7">
        <f>AE3+3.1</f>
        <v>4.8</v>
      </c>
      <c r="AF4" s="7">
        <f>AF3+3</f>
        <v>4.5999999999999996</v>
      </c>
      <c r="AG4" s="7">
        <f>AG3+3</f>
        <v>4.7</v>
      </c>
      <c r="AH4" s="7">
        <f>AH3+3</f>
        <v>4.7</v>
      </c>
      <c r="AI4" s="7">
        <f>AI3+3.2</f>
        <v>5</v>
      </c>
      <c r="AJ4" s="7">
        <f>AJ3+3.2</f>
        <v>5</v>
      </c>
      <c r="AK4" s="7">
        <f t="shared" ref="AK4" si="2">AK3+3.3</f>
        <v>5.3</v>
      </c>
      <c r="AL4" s="7">
        <f>AL3+3.4</f>
        <v>5.4</v>
      </c>
      <c r="AM4" s="7">
        <f t="shared" ref="AM4" si="3">AM3+3.3</f>
        <v>5.3</v>
      </c>
      <c r="AN4" s="7">
        <f>AN3+3.2</f>
        <v>5.0999999999999996</v>
      </c>
      <c r="AO4" s="7">
        <f>AO3+3.1</f>
        <v>5</v>
      </c>
    </row>
    <row r="5" spans="1:41" s="7" customFormat="1" x14ac:dyDescent="0.3">
      <c r="A5" s="17">
        <v>3</v>
      </c>
      <c r="B5" s="7">
        <f>3.2+B4</f>
        <v>6.5</v>
      </c>
      <c r="C5" s="7">
        <f>3.4+C4</f>
        <v>7</v>
      </c>
      <c r="D5" s="7">
        <f>3.5+D4</f>
        <v>7.1</v>
      </c>
      <c r="E5" s="7">
        <f>+E4+3.6</f>
        <v>7.4</v>
      </c>
      <c r="F5" s="7">
        <f>3.2+F4</f>
        <v>6.7</v>
      </c>
      <c r="G5" s="7">
        <f>+G4+3.6</f>
        <v>7.5</v>
      </c>
      <c r="H5" s="7">
        <f>+H4+3.8</f>
        <v>7.7</v>
      </c>
      <c r="I5" s="7">
        <f>+I4+3.8</f>
        <v>7.8999999999999995</v>
      </c>
      <c r="J5" s="7">
        <f>+J4+3.7</f>
        <v>7.8</v>
      </c>
      <c r="K5" s="7">
        <f>+K4+4</f>
        <v>8.1999999999999993</v>
      </c>
      <c r="L5" s="7">
        <f>+L4+3.9</f>
        <v>8.1</v>
      </c>
      <c r="M5" s="7">
        <f>+M4+4</f>
        <v>8.1999999999999993</v>
      </c>
      <c r="N5" s="7">
        <f>+N4+4.1</f>
        <v>8.5</v>
      </c>
      <c r="O5" s="7">
        <f>+O4+4.1</f>
        <v>8.6</v>
      </c>
      <c r="P5" s="7">
        <f>+P4+4.1</f>
        <v>8.6999999999999993</v>
      </c>
      <c r="Q5" s="7">
        <f>+Q4+4.2</f>
        <v>9</v>
      </c>
      <c r="R5" s="7">
        <f>+R4+4.2</f>
        <v>9</v>
      </c>
      <c r="S5" s="7">
        <f>+S4+4.3</f>
        <v>9.1</v>
      </c>
      <c r="T5" s="7">
        <f>+T4+4.4</f>
        <v>9.4</v>
      </c>
      <c r="U5" s="7">
        <f>+U4+4.3</f>
        <v>9.3000000000000007</v>
      </c>
      <c r="V5" s="7">
        <f>+V4+4.3</f>
        <v>9.3000000000000007</v>
      </c>
      <c r="W5" s="7">
        <f>+W4+4.4</f>
        <v>9.6</v>
      </c>
      <c r="X5" s="7">
        <f>+X4+4.3</f>
        <v>9.3000000000000007</v>
      </c>
      <c r="Y5" s="7">
        <f t="shared" ref="Y5" si="4">+Y4+4.4</f>
        <v>9.6</v>
      </c>
      <c r="Z5" s="7">
        <f>+Z4+4.3</f>
        <v>9.1999999999999993</v>
      </c>
      <c r="AA5" s="7">
        <f>+AA4+4.3</f>
        <v>9.1000000000000014</v>
      </c>
      <c r="AB5" s="7">
        <f t="shared" ref="AB5" si="5">+AB4+4.4</f>
        <v>9.5</v>
      </c>
      <c r="AC5" s="7">
        <f>+AC4+4.3</f>
        <v>9.3000000000000007</v>
      </c>
      <c r="AD5" s="7">
        <f t="shared" ref="AD5" si="6">+AD4+4.4</f>
        <v>9.3000000000000007</v>
      </c>
      <c r="AE5" s="7">
        <f>+AE4+4.2</f>
        <v>9</v>
      </c>
      <c r="AF5" s="7">
        <f>+AF4+4.2</f>
        <v>8.8000000000000007</v>
      </c>
      <c r="AG5" s="7">
        <f>+AG4+4.2</f>
        <v>8.9</v>
      </c>
      <c r="AH5" s="7">
        <f>+AH4+4.2</f>
        <v>8.9</v>
      </c>
      <c r="AI5" s="7">
        <f>+AI4+4.2</f>
        <v>9.1999999999999993</v>
      </c>
      <c r="AJ5" s="7">
        <f>+AJ4+4.3</f>
        <v>9.3000000000000007</v>
      </c>
      <c r="AK5" s="7">
        <f t="shared" ref="AK5" si="7">+AK4+4.4</f>
        <v>9.6999999999999993</v>
      </c>
      <c r="AL5" s="7">
        <f>+AL4+4.5</f>
        <v>9.9</v>
      </c>
      <c r="AM5" s="7">
        <f t="shared" ref="AM5" si="8">+AM4+4.4</f>
        <v>9.6999999999999993</v>
      </c>
      <c r="AN5" s="7">
        <f>+AN4+4.2</f>
        <v>9.3000000000000007</v>
      </c>
      <c r="AO5" s="7">
        <f>+AO4+4.1</f>
        <v>9.1</v>
      </c>
    </row>
    <row r="6" spans="1:41" s="7" customFormat="1" x14ac:dyDescent="0.3">
      <c r="A6" s="17">
        <v>4</v>
      </c>
      <c r="B6" s="7">
        <f>4.4+B5</f>
        <v>10.9</v>
      </c>
      <c r="C6" s="7">
        <f>4.5+C5</f>
        <v>11.5</v>
      </c>
      <c r="D6" s="7">
        <f>4.6+D5</f>
        <v>11.7</v>
      </c>
      <c r="E6" s="7">
        <f>+E5+4.7</f>
        <v>12.100000000000001</v>
      </c>
      <c r="F6" s="7">
        <f>4.4+F5</f>
        <v>11.100000000000001</v>
      </c>
      <c r="G6" s="7">
        <f>+G5+4.9</f>
        <v>12.4</v>
      </c>
      <c r="H6" s="7">
        <f>+H5+4.9</f>
        <v>12.600000000000001</v>
      </c>
      <c r="I6" s="7">
        <f>+I5+5</f>
        <v>12.899999999999999</v>
      </c>
      <c r="J6" s="7">
        <f>+J5+4.9</f>
        <v>12.7</v>
      </c>
      <c r="K6" s="7">
        <f>+K5+5.3</f>
        <v>13.5</v>
      </c>
      <c r="L6" s="7">
        <f>+L5+5.2</f>
        <v>13.3</v>
      </c>
      <c r="M6" s="7">
        <f>+M5+5.2</f>
        <v>13.399999999999999</v>
      </c>
      <c r="N6" s="7">
        <f>+N5+5.3</f>
        <v>13.8</v>
      </c>
      <c r="O6" s="7">
        <f>+O5+5.3</f>
        <v>13.899999999999999</v>
      </c>
      <c r="P6" s="7">
        <f>+P5+5.3</f>
        <v>14</v>
      </c>
      <c r="Q6" s="7">
        <f>+Q5+5.4</f>
        <v>14.4</v>
      </c>
      <c r="R6" s="7">
        <f>+R5+5.4</f>
        <v>14.4</v>
      </c>
      <c r="S6" s="7">
        <f>+S5+5.5</f>
        <v>14.6</v>
      </c>
      <c r="T6" s="7">
        <f>+T5+5.6</f>
        <v>15</v>
      </c>
      <c r="U6" s="7">
        <f>+U5+5.6</f>
        <v>14.9</v>
      </c>
      <c r="V6" s="7">
        <f>+V5+5.6</f>
        <v>14.9</v>
      </c>
      <c r="W6" s="7">
        <f>+W5+5.6</f>
        <v>15.2</v>
      </c>
      <c r="X6" s="7">
        <f>+X5+5.4</f>
        <v>14.700000000000001</v>
      </c>
      <c r="Y6" s="7">
        <f t="shared" ref="Y6" si="9">+Y5+5.6</f>
        <v>15.2</v>
      </c>
      <c r="Z6" s="7">
        <f>+Z5+5.5</f>
        <v>14.7</v>
      </c>
      <c r="AA6" s="7">
        <f>+AA5+5.5</f>
        <v>14.600000000000001</v>
      </c>
      <c r="AB6" s="7">
        <f t="shared" ref="AB6" si="10">+AB5+5.6</f>
        <v>15.1</v>
      </c>
      <c r="AC6" s="7">
        <f>+AC5+5.5</f>
        <v>14.8</v>
      </c>
      <c r="AD6" s="7">
        <f t="shared" ref="AD6" si="11">+AD5+5.6</f>
        <v>14.9</v>
      </c>
      <c r="AE6" s="7">
        <f>+AE5+5.4</f>
        <v>14.4</v>
      </c>
      <c r="AF6" s="7">
        <f>+AF5+5.3</f>
        <v>14.100000000000001</v>
      </c>
      <c r="AG6" s="7">
        <f>+AG5+5.3</f>
        <v>14.2</v>
      </c>
      <c r="AH6" s="7">
        <f>+AH5+5.3</f>
        <v>14.2</v>
      </c>
      <c r="AI6" s="7">
        <f>+AI5+5.5</f>
        <v>14.7</v>
      </c>
      <c r="AJ6" s="7">
        <f>+AJ5+5.5</f>
        <v>14.8</v>
      </c>
      <c r="AK6" s="7">
        <f>+AK5+5.5</f>
        <v>15.2</v>
      </c>
      <c r="AL6" s="7">
        <f>+AL5+5.6</f>
        <v>15.5</v>
      </c>
      <c r="AM6" s="7">
        <f>+AM5+5.5</f>
        <v>15.2</v>
      </c>
      <c r="AN6" s="7">
        <f>+AN5+5.4</f>
        <v>14.700000000000001</v>
      </c>
      <c r="AO6" s="7">
        <f>+AO5+5.2</f>
        <v>14.3</v>
      </c>
    </row>
    <row r="7" spans="1:41" s="7" customFormat="1" x14ac:dyDescent="0.3">
      <c r="A7" s="17">
        <v>5</v>
      </c>
      <c r="B7" s="7">
        <f>5.6+B6</f>
        <v>16.5</v>
      </c>
      <c r="C7" s="7">
        <f>5.8+C6</f>
        <v>17.3</v>
      </c>
      <c r="D7" s="7">
        <f>6+D6</f>
        <v>17.7</v>
      </c>
      <c r="E7" s="7">
        <f>+E6+6</f>
        <v>18.100000000000001</v>
      </c>
      <c r="F7" s="7">
        <f>5.6+F6</f>
        <v>16.700000000000003</v>
      </c>
      <c r="G7" s="7">
        <f>+G6+6.3</f>
        <v>18.7</v>
      </c>
      <c r="H7" s="7">
        <f>+H6+6.3</f>
        <v>18.900000000000002</v>
      </c>
      <c r="I7" s="7">
        <f>I6+6.4</f>
        <v>19.299999999999997</v>
      </c>
      <c r="J7" s="7">
        <f>+J6+6.3</f>
        <v>19</v>
      </c>
      <c r="K7" s="7">
        <f>+K6+6.6</f>
        <v>20.100000000000001</v>
      </c>
      <c r="L7" s="7">
        <f>+L6+6.5</f>
        <v>19.8</v>
      </c>
      <c r="M7" s="7">
        <f>+M6+6.6</f>
        <v>20</v>
      </c>
      <c r="N7" s="7">
        <f>+N6+6.7</f>
        <v>20.5</v>
      </c>
      <c r="O7" s="7">
        <f>+O6+6.6</f>
        <v>20.5</v>
      </c>
      <c r="P7" s="7">
        <f>+P6+6.6</f>
        <v>20.6</v>
      </c>
      <c r="Q7" s="7">
        <f>+Q6+6.8</f>
        <v>21.2</v>
      </c>
      <c r="R7" s="7">
        <f>+R6+6.7</f>
        <v>21.1</v>
      </c>
      <c r="S7" s="7">
        <f>+S6+7</f>
        <v>21.6</v>
      </c>
      <c r="T7" s="7">
        <f>+T6+6.9</f>
        <v>21.9</v>
      </c>
      <c r="U7" s="7">
        <f>+U6+6.8</f>
        <v>21.7</v>
      </c>
      <c r="V7" s="7">
        <f>+V6+7</f>
        <v>21.9</v>
      </c>
      <c r="W7" s="7">
        <f>+W6+6.9</f>
        <v>22.1</v>
      </c>
      <c r="X7" s="7">
        <f>+X6+6.8</f>
        <v>21.5</v>
      </c>
      <c r="Y7" s="7">
        <f t="shared" ref="Y7" si="12">+Y6+6.9</f>
        <v>22.1</v>
      </c>
      <c r="Z7" s="7">
        <f>+Z6+6.8</f>
        <v>21.5</v>
      </c>
      <c r="AA7" s="7">
        <f>+AA6+6.8</f>
        <v>21.400000000000002</v>
      </c>
      <c r="AB7" s="7">
        <f t="shared" ref="AB7" si="13">+AB6+6.9</f>
        <v>22</v>
      </c>
      <c r="AC7" s="7">
        <f>+AC6+6.8</f>
        <v>21.6</v>
      </c>
      <c r="AD7" s="7">
        <f t="shared" ref="AD7" si="14">+AD6+6.9</f>
        <v>21.8</v>
      </c>
      <c r="AE7" s="7">
        <f>+AE6+6.7</f>
        <v>21.1</v>
      </c>
      <c r="AF7" s="7">
        <f>+AF6+6.7</f>
        <v>20.8</v>
      </c>
      <c r="AG7" s="7">
        <f>+AG6+6.6</f>
        <v>20.799999999999997</v>
      </c>
      <c r="AH7" s="7">
        <f>+AH6+6.7</f>
        <v>20.9</v>
      </c>
      <c r="AI7" s="7">
        <f>+AI6+6.8</f>
        <v>21.5</v>
      </c>
      <c r="AJ7" s="7">
        <f>+AJ6+6.7</f>
        <v>21.5</v>
      </c>
      <c r="AK7" s="7">
        <f>+AK6+6.8</f>
        <v>22</v>
      </c>
      <c r="AL7" s="7">
        <f>+AL6+6.8</f>
        <v>22.3</v>
      </c>
      <c r="AM7" s="7">
        <f>+AM6+6.7</f>
        <v>21.9</v>
      </c>
      <c r="AN7" s="7">
        <f>+AN6+6.7</f>
        <v>21.400000000000002</v>
      </c>
      <c r="AO7" s="7">
        <f>+AO6+6.5</f>
        <v>20.8</v>
      </c>
    </row>
    <row r="8" spans="1:41" s="7" customFormat="1" x14ac:dyDescent="0.3">
      <c r="A8" s="17">
        <v>6</v>
      </c>
      <c r="B8" s="7">
        <f>7.1+B7</f>
        <v>23.6</v>
      </c>
      <c r="C8" s="7">
        <f>7.4+C7</f>
        <v>24.700000000000003</v>
      </c>
      <c r="D8" s="7">
        <f>7.6+D7</f>
        <v>25.299999999999997</v>
      </c>
      <c r="E8" s="7">
        <f>7.6+E7</f>
        <v>25.700000000000003</v>
      </c>
      <c r="F8" s="7">
        <f>7.1+F7</f>
        <v>23.800000000000004</v>
      </c>
      <c r="G8" s="7">
        <f>+G7+7.8</f>
        <v>26.5</v>
      </c>
      <c r="H8" s="7">
        <f>+H7+7.9</f>
        <v>26.800000000000004</v>
      </c>
      <c r="I8" s="7">
        <f>+I7+8</f>
        <v>27.299999999999997</v>
      </c>
      <c r="J8" s="7">
        <f>+J7+7.9</f>
        <v>26.9</v>
      </c>
      <c r="K8" s="7">
        <f>+K7+8.2</f>
        <v>28.3</v>
      </c>
      <c r="L8" s="7">
        <f>+L7+8</f>
        <v>27.8</v>
      </c>
      <c r="M8" s="7">
        <f>+M7+8.1</f>
        <v>28.1</v>
      </c>
      <c r="N8" s="7">
        <f>+N7+8.3</f>
        <v>28.8</v>
      </c>
      <c r="O8" s="7">
        <f>+O7+8.2</f>
        <v>28.7</v>
      </c>
      <c r="P8" s="7">
        <f>+P7+8.2</f>
        <v>28.8</v>
      </c>
      <c r="Q8" s="7">
        <f>+Q7+8.3</f>
        <v>29.5</v>
      </c>
      <c r="R8" s="7">
        <f>+R7+8.3</f>
        <v>29.400000000000002</v>
      </c>
      <c r="S8" s="7">
        <f>+S7+8.5</f>
        <v>30.1</v>
      </c>
      <c r="T8" s="7">
        <f>+T7+8.5</f>
        <v>30.4</v>
      </c>
      <c r="U8" s="7">
        <f>+U7+8.4</f>
        <v>30.1</v>
      </c>
      <c r="V8" s="7">
        <f>+V7+8.6</f>
        <v>30.5</v>
      </c>
      <c r="W8" s="7">
        <f>+W7+8.4</f>
        <v>30.5</v>
      </c>
      <c r="X8" s="7">
        <f>+X7+8.3</f>
        <v>29.8</v>
      </c>
      <c r="Y8" s="7">
        <f>+Y7+8.5</f>
        <v>30.6</v>
      </c>
      <c r="Z8" s="7">
        <f>+Z7+8.3</f>
        <v>29.8</v>
      </c>
      <c r="AA8" s="7">
        <f>+AA7+8.4</f>
        <v>29.800000000000004</v>
      </c>
      <c r="AB8" s="7">
        <f>+AB7+8.4</f>
        <v>30.4</v>
      </c>
      <c r="AC8" s="7">
        <f>+AC7+8.3</f>
        <v>29.900000000000002</v>
      </c>
      <c r="AD8" s="7">
        <f>+AD7+8.4</f>
        <v>30.200000000000003</v>
      </c>
      <c r="AE8" s="7">
        <f>+AE7+8.2</f>
        <v>29.3</v>
      </c>
      <c r="AF8" s="7">
        <f>+AF7+8.2</f>
        <v>29</v>
      </c>
      <c r="AG8" s="7">
        <f>+AG7+8.1</f>
        <v>28.9</v>
      </c>
      <c r="AH8" s="7">
        <f>+AH7+8.3</f>
        <v>29.2</v>
      </c>
      <c r="AI8" s="7">
        <f>+AI7+8.3</f>
        <v>29.8</v>
      </c>
      <c r="AJ8" s="7">
        <f>+AJ7+8.2</f>
        <v>29.7</v>
      </c>
      <c r="AK8" s="7">
        <f>+AK7+8.3</f>
        <v>30.3</v>
      </c>
      <c r="AL8" s="7">
        <f>+AL7+8.3</f>
        <v>30.6</v>
      </c>
      <c r="AM8" s="7">
        <f>+AM7+8.2</f>
        <v>30.099999999999998</v>
      </c>
      <c r="AN8" s="7">
        <f>+AN7+8.2</f>
        <v>29.6</v>
      </c>
      <c r="AO8" s="7">
        <f>+AO7+7.9</f>
        <v>28.700000000000003</v>
      </c>
    </row>
    <row r="9" spans="1:41" s="7" customFormat="1" x14ac:dyDescent="0.3">
      <c r="A9" s="17">
        <v>7</v>
      </c>
      <c r="B9" s="7">
        <f>9.2+B8</f>
        <v>32.799999999999997</v>
      </c>
      <c r="C9" s="7">
        <f>9.4+C8</f>
        <v>34.1</v>
      </c>
      <c r="D9" s="7">
        <f>9.6+D8</f>
        <v>34.9</v>
      </c>
      <c r="E9" s="7">
        <f>+E8+9.6</f>
        <v>35.300000000000004</v>
      </c>
      <c r="F9" s="7">
        <f>9.2+F8</f>
        <v>33</v>
      </c>
      <c r="G9" s="7">
        <f>+G8+9.8</f>
        <v>36.299999999999997</v>
      </c>
      <c r="H9" s="7">
        <f>+H8+9.9</f>
        <v>36.700000000000003</v>
      </c>
      <c r="I9" s="7">
        <f>+I8+10</f>
        <v>37.299999999999997</v>
      </c>
      <c r="J9" s="7">
        <f>+J8+9.9</f>
        <v>36.799999999999997</v>
      </c>
      <c r="K9" s="7">
        <f>+K8+10.2</f>
        <v>38.5</v>
      </c>
      <c r="L9" s="7">
        <f>+L8+10</f>
        <v>37.799999999999997</v>
      </c>
      <c r="M9" s="7">
        <f>+M8+10.1</f>
        <v>38.200000000000003</v>
      </c>
      <c r="N9" s="7">
        <f>+N8+10.2</f>
        <v>39</v>
      </c>
      <c r="O9" s="7">
        <f>+O8+10.2</f>
        <v>38.9</v>
      </c>
      <c r="P9" s="7">
        <f>+P8+10</f>
        <v>38.799999999999997</v>
      </c>
      <c r="Q9" s="7">
        <f>+Q8+10.2</f>
        <v>39.700000000000003</v>
      </c>
      <c r="R9" s="7">
        <f>+R8+10.1</f>
        <v>39.5</v>
      </c>
      <c r="S9" s="7">
        <f>+S8+10.4</f>
        <v>40.5</v>
      </c>
      <c r="T9" s="7">
        <f>+T8+10.4</f>
        <v>40.799999999999997</v>
      </c>
      <c r="U9" s="7">
        <f>+U8+10.3</f>
        <v>40.400000000000006</v>
      </c>
      <c r="V9" s="7">
        <f>+V8+10.4</f>
        <v>40.9</v>
      </c>
      <c r="W9" s="7">
        <f>+W8+10.3</f>
        <v>40.799999999999997</v>
      </c>
      <c r="X9" s="7">
        <f>+X8+10.3</f>
        <v>40.1</v>
      </c>
      <c r="Y9" s="7">
        <f>+Y8+10.4</f>
        <v>41</v>
      </c>
      <c r="Z9" s="7">
        <f>+Z8+10.1</f>
        <v>39.9</v>
      </c>
      <c r="AA9" s="7">
        <f>+AA8+10.2</f>
        <v>40</v>
      </c>
      <c r="AB9" s="7">
        <f>+AB8+10.2</f>
        <v>40.599999999999994</v>
      </c>
      <c r="AC9" s="7">
        <f>+AC8+10.1</f>
        <v>40</v>
      </c>
      <c r="AD9" s="7">
        <f>+AD8+10.4</f>
        <v>40.6</v>
      </c>
      <c r="AE9" s="7">
        <f>+AE8+10.1</f>
        <v>39.4</v>
      </c>
      <c r="AF9" s="7">
        <f>+AF8+10.1</f>
        <v>39.1</v>
      </c>
      <c r="AG9" s="7">
        <f>+AG8+10.1</f>
        <v>39</v>
      </c>
      <c r="AH9" s="7">
        <f>+AH8+10.3</f>
        <v>39.5</v>
      </c>
      <c r="AI9" s="7">
        <f>+AI8+10.2</f>
        <v>40</v>
      </c>
      <c r="AJ9" s="7">
        <f>+AJ8+10</f>
        <v>39.700000000000003</v>
      </c>
      <c r="AK9" s="7">
        <f>+AK8+10.2</f>
        <v>40.5</v>
      </c>
      <c r="AL9" s="7">
        <f>+AL8+10.1</f>
        <v>40.700000000000003</v>
      </c>
      <c r="AM9" s="7">
        <f>+AM8+10.1</f>
        <v>40.199999999999996</v>
      </c>
      <c r="AN9" s="7">
        <f>+AN8+10.1</f>
        <v>39.700000000000003</v>
      </c>
      <c r="AO9" s="7">
        <f>+AO8+9.8</f>
        <v>38.5</v>
      </c>
    </row>
    <row r="10" spans="1:41" s="7" customFormat="1" x14ac:dyDescent="0.3">
      <c r="A10" s="17">
        <v>8</v>
      </c>
      <c r="B10" s="7">
        <f>12.2+B9</f>
        <v>45</v>
      </c>
      <c r="C10" s="7">
        <f>12.4+C9</f>
        <v>46.5</v>
      </c>
      <c r="D10" s="7">
        <f>12.5+D9</f>
        <v>47.4</v>
      </c>
      <c r="E10" s="7">
        <f>+E9+12.4</f>
        <v>47.7</v>
      </c>
      <c r="F10" s="7">
        <f>12.2+F9</f>
        <v>45.2</v>
      </c>
      <c r="G10" s="7">
        <f>+G9+12.6</f>
        <v>48.9</v>
      </c>
      <c r="H10" s="7">
        <f>+H9+12.6</f>
        <v>49.300000000000004</v>
      </c>
      <c r="I10" s="7">
        <f>+I9+12.8</f>
        <v>50.099999999999994</v>
      </c>
      <c r="J10" s="7">
        <f>+J9+12.5</f>
        <v>49.3</v>
      </c>
      <c r="K10" s="7">
        <f>+K9+12.8</f>
        <v>51.3</v>
      </c>
      <c r="L10" s="7">
        <f>+L9+12.7</f>
        <v>50.5</v>
      </c>
      <c r="M10" s="7">
        <f>+M9+12.7</f>
        <v>50.900000000000006</v>
      </c>
      <c r="N10" s="7">
        <f>+N9+12.8</f>
        <v>51.8</v>
      </c>
      <c r="O10" s="7">
        <f>+O9+12.8</f>
        <v>51.7</v>
      </c>
      <c r="P10" s="7">
        <f>+P9+12.5</f>
        <v>51.3</v>
      </c>
      <c r="Q10" s="7">
        <f>+Q9+12.8</f>
        <v>52.5</v>
      </c>
      <c r="R10" s="7">
        <f>+R9+12.6</f>
        <v>52.1</v>
      </c>
      <c r="S10" s="7">
        <f>+S9+12.8</f>
        <v>53.3</v>
      </c>
      <c r="T10" s="7">
        <f>+T9+12.8</f>
        <v>53.599999999999994</v>
      </c>
      <c r="U10" s="7">
        <f>+U9+12.6</f>
        <v>53.000000000000007</v>
      </c>
      <c r="V10" s="7">
        <f>+V9+12.8</f>
        <v>53.7</v>
      </c>
      <c r="W10" s="7">
        <f>+W9+12.9</f>
        <v>53.699999999999996</v>
      </c>
      <c r="X10" s="7">
        <f>+X9+12.8</f>
        <v>52.900000000000006</v>
      </c>
      <c r="Y10" s="7">
        <f t="shared" ref="Y10" si="15">+Y9+12.9</f>
        <v>53.9</v>
      </c>
      <c r="Z10" s="7">
        <f>+Z9+12.7</f>
        <v>52.599999999999994</v>
      </c>
      <c r="AA10" s="7">
        <f>+AA9+12.8</f>
        <v>52.8</v>
      </c>
      <c r="AB10" s="7">
        <f>+AB9+12.7</f>
        <v>53.3</v>
      </c>
      <c r="AC10" s="7">
        <f>+AC9+12.6</f>
        <v>52.6</v>
      </c>
      <c r="AD10" s="7">
        <f>+AD9+12.8</f>
        <v>53.400000000000006</v>
      </c>
      <c r="AE10" s="7">
        <f>+AE9+12.6</f>
        <v>52</v>
      </c>
      <c r="AF10" s="7">
        <f>+AF9+12.7</f>
        <v>51.8</v>
      </c>
      <c r="AG10" s="7">
        <f>+AG9+12.8</f>
        <v>51.8</v>
      </c>
      <c r="AH10" s="7">
        <f>+AH9+12.8</f>
        <v>52.3</v>
      </c>
      <c r="AI10" s="7">
        <f>+AI9+12.7</f>
        <v>52.7</v>
      </c>
      <c r="AJ10" s="7">
        <f>+AJ9+12.5</f>
        <v>52.2</v>
      </c>
      <c r="AK10" s="7">
        <f>+AK9+12.7</f>
        <v>53.2</v>
      </c>
      <c r="AL10" s="7">
        <f>+AL9+12.6</f>
        <v>53.300000000000004</v>
      </c>
      <c r="AM10" s="7">
        <f>+AM9+12.6</f>
        <v>52.8</v>
      </c>
      <c r="AN10" s="7">
        <f>+AN9+12.6</f>
        <v>52.300000000000004</v>
      </c>
      <c r="AO10" s="7">
        <f>+AO9+12.4</f>
        <v>50.9</v>
      </c>
    </row>
    <row r="11" spans="1:41" s="7" customFormat="1" x14ac:dyDescent="0.3">
      <c r="A11" s="17">
        <v>9</v>
      </c>
      <c r="B11" s="7">
        <f>17.2+B10</f>
        <v>62.2</v>
      </c>
      <c r="C11" s="7">
        <f>17.3+C10</f>
        <v>63.8</v>
      </c>
      <c r="D11" s="7">
        <f>17.3+D10</f>
        <v>64.7</v>
      </c>
      <c r="E11" s="7">
        <f>+E10+7.2</f>
        <v>54.900000000000006</v>
      </c>
      <c r="F11" s="7">
        <f>17.2+F10</f>
        <v>62.400000000000006</v>
      </c>
      <c r="G11" s="7">
        <f>+G10+17.3</f>
        <v>66.2</v>
      </c>
      <c r="H11" s="7">
        <f>+H10+16.9</f>
        <v>66.2</v>
      </c>
      <c r="I11" s="7">
        <f>+I10+17.3</f>
        <v>67.399999999999991</v>
      </c>
      <c r="J11" s="7">
        <f>+J10+16.9</f>
        <v>66.199999999999989</v>
      </c>
      <c r="K11" s="7">
        <f>+K10+16.9</f>
        <v>68.199999999999989</v>
      </c>
      <c r="L11" s="7">
        <f>+L10+17</f>
        <v>67.5</v>
      </c>
      <c r="M11" s="7">
        <f>+M10+17</f>
        <v>67.900000000000006</v>
      </c>
      <c r="N11" s="7">
        <f>+N10+17.1</f>
        <v>68.900000000000006</v>
      </c>
      <c r="O11" s="7">
        <f>+O10+17</f>
        <v>68.7</v>
      </c>
      <c r="P11" s="7">
        <f>+P10+16.9</f>
        <v>68.199999999999989</v>
      </c>
      <c r="Q11" s="7">
        <f>+Q10+16.9</f>
        <v>69.400000000000006</v>
      </c>
      <c r="R11" s="7">
        <f>+R10+16.8</f>
        <v>68.900000000000006</v>
      </c>
      <c r="S11" s="7">
        <f>+S10+16.8</f>
        <v>70.099999999999994</v>
      </c>
      <c r="T11" s="7">
        <f>+T10+16.8</f>
        <v>70.399999999999991</v>
      </c>
      <c r="U11" s="7">
        <f>+U10+16.5</f>
        <v>69.5</v>
      </c>
      <c r="V11" s="7">
        <f>+V10+16.7</f>
        <v>70.400000000000006</v>
      </c>
      <c r="W11" s="7">
        <f>+W10+16.9</f>
        <v>70.599999999999994</v>
      </c>
      <c r="X11" s="7">
        <f t="shared" ref="X11" si="16">+X10+16.9</f>
        <v>69.800000000000011</v>
      </c>
      <c r="Y11" s="7">
        <f>+Y10+16.8</f>
        <v>70.7</v>
      </c>
      <c r="Z11" s="7">
        <f t="shared" ref="Z11:AN11" si="17">+Z10+16.8</f>
        <v>69.399999999999991</v>
      </c>
      <c r="AA11" s="7">
        <f>+AA10+17.1</f>
        <v>69.900000000000006</v>
      </c>
      <c r="AB11" s="7">
        <f>+AB10+16.8</f>
        <v>70.099999999999994</v>
      </c>
      <c r="AC11" s="7">
        <f>+AC10+16.7</f>
        <v>69.3</v>
      </c>
      <c r="AD11" s="7">
        <f>+AD10+16.7</f>
        <v>70.100000000000009</v>
      </c>
      <c r="AE11" s="7">
        <f>+AE10+17</f>
        <v>69</v>
      </c>
      <c r="AF11" s="7">
        <f>+AF10+16.9</f>
        <v>68.699999999999989</v>
      </c>
      <c r="AG11" s="7">
        <f>+AG10+17.1</f>
        <v>68.900000000000006</v>
      </c>
      <c r="AH11" s="7">
        <f>+AH10+17.1</f>
        <v>69.400000000000006</v>
      </c>
      <c r="AI11" s="7">
        <f t="shared" si="17"/>
        <v>69.5</v>
      </c>
      <c r="AJ11" s="7">
        <f>+AJ10+16.5</f>
        <v>68.7</v>
      </c>
      <c r="AK11" s="7">
        <f t="shared" si="17"/>
        <v>70</v>
      </c>
      <c r="AL11" s="7">
        <f>+AL10+16.7</f>
        <v>70</v>
      </c>
      <c r="AM11" s="7">
        <f>+AM10+16.6</f>
        <v>69.400000000000006</v>
      </c>
      <c r="AN11" s="7">
        <f t="shared" si="17"/>
        <v>69.100000000000009</v>
      </c>
      <c r="AO11" s="7">
        <f>+AO10+16.5</f>
        <v>67.400000000000006</v>
      </c>
    </row>
    <row r="12" spans="1:41" s="7" customFormat="1" x14ac:dyDescent="0.3">
      <c r="A12" s="17">
        <v>10</v>
      </c>
      <c r="B12" s="7">
        <f>37.7+B11</f>
        <v>99.9</v>
      </c>
      <c r="C12" s="7">
        <f>36.4+C11</f>
        <v>100.19999999999999</v>
      </c>
      <c r="D12" s="7">
        <f>35.3+D11</f>
        <v>100</v>
      </c>
      <c r="E12" s="7">
        <f>+E11+35.1</f>
        <v>90</v>
      </c>
      <c r="F12" s="7">
        <f>37.7+F11</f>
        <v>100.10000000000001</v>
      </c>
      <c r="G12" s="7">
        <f>+G11+33.8</f>
        <v>100</v>
      </c>
      <c r="H12" s="7">
        <f>+H11+33.8</f>
        <v>100</v>
      </c>
      <c r="I12" s="7">
        <f>+I11+32.6</f>
        <v>100</v>
      </c>
      <c r="J12" s="7">
        <f>+J11+33.7</f>
        <v>99.899999999999991</v>
      </c>
      <c r="K12" s="7">
        <f>+K11+31.9</f>
        <v>100.1</v>
      </c>
      <c r="L12" s="7">
        <f>+L11+32.4</f>
        <v>99.9</v>
      </c>
      <c r="M12" s="7">
        <f>+M11+32.1</f>
        <v>100</v>
      </c>
      <c r="N12" s="7">
        <f>+N11+31.3</f>
        <v>100.2</v>
      </c>
      <c r="O12" s="7">
        <f>+O11+31.3</f>
        <v>100</v>
      </c>
      <c r="P12" s="7">
        <f>+P11+31.7</f>
        <v>99.899999999999991</v>
      </c>
      <c r="Q12" s="7">
        <f>+Q11+30.6</f>
        <v>100</v>
      </c>
      <c r="R12" s="7">
        <f>+R11+31</f>
        <v>99.9</v>
      </c>
      <c r="S12" s="7">
        <f>+S11+29.8</f>
        <v>99.899999999999991</v>
      </c>
      <c r="T12" s="7">
        <f>+T11+29.7</f>
        <v>100.1</v>
      </c>
      <c r="U12" s="7">
        <f>+U11+30.5</f>
        <v>100</v>
      </c>
      <c r="V12" s="7">
        <f>+V11+29.4</f>
        <v>99.800000000000011</v>
      </c>
      <c r="W12" s="7">
        <f>+W11+29.6</f>
        <v>100.19999999999999</v>
      </c>
      <c r="X12" s="7">
        <f>+X11+30.1</f>
        <v>99.9</v>
      </c>
      <c r="Y12" s="7">
        <f>+Y11+29.4</f>
        <v>100.1</v>
      </c>
      <c r="Z12" s="7">
        <f>+Z11+30.7</f>
        <v>100.1</v>
      </c>
      <c r="AA12" s="7">
        <f>+AA11+30.1</f>
        <v>100</v>
      </c>
      <c r="AB12" s="7">
        <f>+AB11+29.9</f>
        <v>100</v>
      </c>
      <c r="AC12" s="7">
        <f>+AC11+30.6</f>
        <v>99.9</v>
      </c>
      <c r="AD12" s="7">
        <f>+AD11+30.1</f>
        <v>100.20000000000002</v>
      </c>
      <c r="AE12" s="7">
        <f>+AE11+31</f>
        <v>100</v>
      </c>
      <c r="AF12" s="7">
        <f>+AF11+31.3</f>
        <v>99.999999999999986</v>
      </c>
      <c r="AG12" s="7">
        <f>+AG11+31.1</f>
        <v>100</v>
      </c>
      <c r="AH12" s="7">
        <f>+AH11+30.6</f>
        <v>100</v>
      </c>
      <c r="AI12" s="7">
        <f>+AI11+30.5</f>
        <v>100</v>
      </c>
      <c r="AJ12" s="7">
        <f>+AJ11+31.2</f>
        <v>99.9</v>
      </c>
      <c r="AK12" s="7">
        <f>+AK11+30</f>
        <v>100</v>
      </c>
      <c r="AL12" s="7">
        <f>+AL11+29.8</f>
        <v>99.8</v>
      </c>
      <c r="AM12" s="7">
        <f>+AM11+30.6</f>
        <v>100</v>
      </c>
      <c r="AN12" s="7">
        <f>+AN11+31</f>
        <v>100.10000000000001</v>
      </c>
      <c r="AO12" s="7">
        <f>+AO11+32.6</f>
        <v>100</v>
      </c>
    </row>
    <row r="14" spans="1:41" x14ac:dyDescent="0.3"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</row>
    <row r="15" spans="1:41" x14ac:dyDescent="0.3">
      <c r="W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</row>
    <row r="16" spans="1:41" x14ac:dyDescent="0.3">
      <c r="W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</row>
    <row r="17" spans="22:41" x14ac:dyDescent="0.3"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</row>
    <row r="18" spans="22:41" x14ac:dyDescent="0.3"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</row>
    <row r="19" spans="22:41" x14ac:dyDescent="0.3"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</row>
    <row r="20" spans="22:41" x14ac:dyDescent="0.3"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</row>
    <row r="21" spans="22:41" x14ac:dyDescent="0.3"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</row>
    <row r="22" spans="22:41" x14ac:dyDescent="0.3"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</row>
    <row r="23" spans="22:41" x14ac:dyDescent="0.3"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</row>
    <row r="24" spans="22:41" x14ac:dyDescent="0.3">
      <c r="V24" s="7"/>
      <c r="W24" s="7"/>
      <c r="X24" s="7"/>
      <c r="Y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</row>
    <row r="25" spans="22:41" x14ac:dyDescent="0.3">
      <c r="V25" s="7"/>
      <c r="W25" s="7"/>
      <c r="X25" s="7"/>
      <c r="Y25" s="7"/>
    </row>
    <row r="26" spans="22:41" x14ac:dyDescent="0.3">
      <c r="V26" s="7"/>
      <c r="W26" s="7"/>
      <c r="X26" s="7"/>
      <c r="Y26" s="7"/>
    </row>
    <row r="27" spans="22:41" x14ac:dyDescent="0.3">
      <c r="V27" s="7"/>
      <c r="W27" s="7"/>
      <c r="X27" s="7"/>
      <c r="Y27" s="7"/>
    </row>
    <row r="28" spans="22:41" x14ac:dyDescent="0.3">
      <c r="W28" s="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"/>
  <sheetViews>
    <sheetView workbookViewId="0">
      <selection activeCell="B1" sqref="B1:C1048576"/>
    </sheetView>
  </sheetViews>
  <sheetFormatPr baseColWidth="10" defaultRowHeight="14.4" x14ac:dyDescent="0.3"/>
  <cols>
    <col min="1" max="1" width="11.5546875" style="1"/>
    <col min="2" max="3" width="11.5546875" style="11"/>
    <col min="4" max="4" width="25.88671875" style="1" customWidth="1"/>
    <col min="5" max="6" width="11.5546875" style="1"/>
  </cols>
  <sheetData>
    <row r="1" spans="1:6" x14ac:dyDescent="0.3">
      <c r="A1" s="1" t="s">
        <v>0</v>
      </c>
      <c r="B1" s="11" t="s">
        <v>2</v>
      </c>
      <c r="C1" s="11" t="s">
        <v>4</v>
      </c>
      <c r="D1" s="1" t="s">
        <v>3977</v>
      </c>
      <c r="E1" s="1" t="s">
        <v>3978</v>
      </c>
      <c r="F1" s="1" t="s">
        <v>3979</v>
      </c>
    </row>
    <row r="2" spans="1:6" s="7" customFormat="1" x14ac:dyDescent="0.3">
      <c r="A2" s="1">
        <v>2003</v>
      </c>
      <c r="B2" s="11">
        <v>3</v>
      </c>
      <c r="C2" s="11">
        <v>7</v>
      </c>
      <c r="D2" s="1">
        <v>62.016719357944538</v>
      </c>
      <c r="E2" s="1">
        <v>7.7666419298996221</v>
      </c>
      <c r="F2" s="1">
        <v>4.9297909754006843</v>
      </c>
    </row>
    <row r="3" spans="1:6" s="7" customFormat="1" x14ac:dyDescent="0.3">
      <c r="A3" s="1">
        <v>2003</v>
      </c>
      <c r="B3" s="11">
        <v>4</v>
      </c>
      <c r="C3" s="11">
        <v>10</v>
      </c>
      <c r="D3" s="1">
        <v>62.034945077834379</v>
      </c>
      <c r="E3" s="1">
        <v>8.074668122219915</v>
      </c>
      <c r="F3" s="1">
        <v>4.7419892420616057</v>
      </c>
    </row>
    <row r="4" spans="1:6" x14ac:dyDescent="0.3">
      <c r="A4" s="1">
        <v>2004</v>
      </c>
      <c r="B4" s="11">
        <v>1</v>
      </c>
      <c r="C4" s="11">
        <v>1</v>
      </c>
      <c r="D4" s="1">
        <v>61.499193170794292</v>
      </c>
      <c r="E4" s="1">
        <v>8.1212971815574608</v>
      </c>
      <c r="F4" s="1">
        <v>4.6981069517260403</v>
      </c>
    </row>
    <row r="5" spans="1:6" x14ac:dyDescent="0.3">
      <c r="A5" s="1">
        <v>2004</v>
      </c>
      <c r="B5" s="11">
        <v>2</v>
      </c>
      <c r="C5" s="11">
        <v>4</v>
      </c>
      <c r="D5" s="1">
        <v>62.337584615048833</v>
      </c>
      <c r="E5" s="1">
        <v>7.6724339632780234</v>
      </c>
      <c r="F5" s="1">
        <v>4.9219274392349792</v>
      </c>
    </row>
    <row r="6" spans="1:6" x14ac:dyDescent="0.3">
      <c r="A6" s="1">
        <v>2004</v>
      </c>
      <c r="B6" s="11">
        <v>3</v>
      </c>
      <c r="C6" s="11">
        <v>7</v>
      </c>
      <c r="D6" s="1">
        <v>62.308962763305622</v>
      </c>
      <c r="E6" s="1">
        <v>7.7837187257675922</v>
      </c>
      <c r="F6" s="1">
        <v>4.5280987233739429</v>
      </c>
    </row>
    <row r="7" spans="1:6" x14ac:dyDescent="0.3">
      <c r="A7" s="1">
        <v>2004</v>
      </c>
      <c r="B7" s="11">
        <v>4</v>
      </c>
      <c r="C7" s="11">
        <v>10</v>
      </c>
      <c r="D7" s="1">
        <v>62.083594071225043</v>
      </c>
      <c r="E7" s="1">
        <v>7.7850388191131534</v>
      </c>
      <c r="F7" s="1">
        <v>4.9441325196604984</v>
      </c>
    </row>
    <row r="8" spans="1:6" x14ac:dyDescent="0.3">
      <c r="A8" s="1">
        <v>2005</v>
      </c>
      <c r="B8" s="11">
        <v>1</v>
      </c>
      <c r="C8" s="11">
        <v>1</v>
      </c>
      <c r="D8" s="1">
        <v>61.253870090973336</v>
      </c>
      <c r="E8" s="1">
        <v>7.5681534244556206</v>
      </c>
      <c r="F8" s="1">
        <v>4.801999612767144</v>
      </c>
    </row>
    <row r="9" spans="1:6" x14ac:dyDescent="0.3">
      <c r="A9" s="1">
        <v>2005</v>
      </c>
      <c r="B9" s="11">
        <v>2</v>
      </c>
      <c r="C9" s="11">
        <v>4</v>
      </c>
      <c r="D9" s="1">
        <v>61.27487584628134</v>
      </c>
      <c r="E9" s="1">
        <v>7.9295413228188796</v>
      </c>
      <c r="F9" s="1">
        <v>4.6699196241144332</v>
      </c>
    </row>
    <row r="10" spans="1:6" x14ac:dyDescent="0.3">
      <c r="A10" s="1">
        <v>2005</v>
      </c>
      <c r="B10" s="11">
        <v>3</v>
      </c>
      <c r="C10" s="11">
        <v>7</v>
      </c>
      <c r="D10" s="1">
        <v>62.094012303402458</v>
      </c>
      <c r="E10" s="1">
        <v>9.0703125808829199</v>
      </c>
      <c r="F10" s="1">
        <v>4.9628511878649659</v>
      </c>
    </row>
    <row r="11" spans="1:6" x14ac:dyDescent="0.3">
      <c r="A11" s="1">
        <v>2005</v>
      </c>
      <c r="B11" s="11">
        <v>4</v>
      </c>
      <c r="C11" s="11">
        <v>10</v>
      </c>
      <c r="D11" s="1">
        <v>61.798615374353403</v>
      </c>
      <c r="E11" s="1">
        <v>8.3792491464398893</v>
      </c>
      <c r="F11" s="1">
        <v>4.9037145741998716</v>
      </c>
    </row>
    <row r="12" spans="1:6" x14ac:dyDescent="0.3">
      <c r="A12" s="1">
        <v>2006</v>
      </c>
      <c r="B12" s="11">
        <v>1</v>
      </c>
      <c r="C12" s="11">
        <v>1</v>
      </c>
      <c r="D12" s="1">
        <v>61.604118440521873</v>
      </c>
      <c r="E12" s="1">
        <v>9.54366645937138</v>
      </c>
      <c r="F12" s="1">
        <v>5.0091932492982174</v>
      </c>
    </row>
    <row r="13" spans="1:6" x14ac:dyDescent="0.3">
      <c r="A13" s="1">
        <v>2006</v>
      </c>
      <c r="B13" s="11">
        <v>2</v>
      </c>
      <c r="C13" s="11">
        <v>4</v>
      </c>
      <c r="D13" s="1">
        <v>62.338807595298107</v>
      </c>
      <c r="E13" s="1">
        <v>8.8748055286577134</v>
      </c>
      <c r="F13" s="1">
        <v>4.8889722379870726</v>
      </c>
    </row>
    <row r="14" spans="1:6" x14ac:dyDescent="0.3">
      <c r="A14" s="1">
        <v>2006</v>
      </c>
      <c r="B14" s="11">
        <v>3</v>
      </c>
      <c r="C14" s="11">
        <v>7</v>
      </c>
      <c r="D14" s="1">
        <v>62.011790714812093</v>
      </c>
      <c r="E14" s="1">
        <v>9.1725532228513025</v>
      </c>
      <c r="F14" s="1">
        <v>4.9507861413745378</v>
      </c>
    </row>
    <row r="15" spans="1:6" x14ac:dyDescent="0.3">
      <c r="A15" s="1">
        <v>2006</v>
      </c>
      <c r="B15" s="11">
        <v>4</v>
      </c>
      <c r="C15" s="11">
        <v>10</v>
      </c>
      <c r="D15" s="1">
        <v>61.567224500560833</v>
      </c>
      <c r="E15" s="1">
        <v>10.414326282388609</v>
      </c>
      <c r="F15" s="1">
        <v>5.1914571714689979</v>
      </c>
    </row>
    <row r="16" spans="1:6" x14ac:dyDescent="0.3">
      <c r="A16" s="1">
        <v>2007</v>
      </c>
      <c r="B16" s="11">
        <v>1</v>
      </c>
      <c r="C16" s="11">
        <v>1</v>
      </c>
      <c r="D16" s="1">
        <v>61.547555198207149</v>
      </c>
      <c r="E16" s="1">
        <v>9.7778440015537047</v>
      </c>
      <c r="F16" s="1">
        <v>5.1130225970988006</v>
      </c>
    </row>
    <row r="17" spans="1:6" x14ac:dyDescent="0.3">
      <c r="A17" s="1">
        <v>2007</v>
      </c>
      <c r="B17" s="11">
        <v>2</v>
      </c>
      <c r="C17" s="11">
        <v>4</v>
      </c>
      <c r="D17" s="1">
        <v>61.430556217688697</v>
      </c>
      <c r="E17" s="1">
        <v>9.330369745507026</v>
      </c>
      <c r="F17" s="1">
        <v>5.1752902983023077</v>
      </c>
    </row>
    <row r="18" spans="1:6" x14ac:dyDescent="0.3">
      <c r="A18" s="1">
        <v>2007</v>
      </c>
      <c r="B18" s="11">
        <v>3</v>
      </c>
      <c r="C18" s="11">
        <v>7</v>
      </c>
      <c r="D18" s="1" t="s">
        <v>3976</v>
      </c>
      <c r="E18" s="1" t="s">
        <v>3976</v>
      </c>
      <c r="F18" s="1" t="s">
        <v>3976</v>
      </c>
    </row>
    <row r="19" spans="1:6" x14ac:dyDescent="0.3">
      <c r="A19" s="1">
        <v>2007</v>
      </c>
      <c r="B19" s="11">
        <v>4</v>
      </c>
      <c r="C19" s="11">
        <v>10</v>
      </c>
      <c r="D19" s="1">
        <v>60.397790913265659</v>
      </c>
      <c r="E19" s="1">
        <v>9.5320168590930052</v>
      </c>
      <c r="F19" s="1">
        <v>5.4101124231936648</v>
      </c>
    </row>
    <row r="20" spans="1:6" x14ac:dyDescent="0.3">
      <c r="A20" s="1">
        <v>2008</v>
      </c>
      <c r="B20" s="11">
        <v>1</v>
      </c>
      <c r="C20" s="11">
        <v>1</v>
      </c>
      <c r="D20" s="1">
        <v>60.4938100056726</v>
      </c>
      <c r="E20" s="1">
        <v>9.1505938725209646</v>
      </c>
      <c r="F20" s="1">
        <v>5.2314529471784708</v>
      </c>
    </row>
    <row r="21" spans="1:6" x14ac:dyDescent="0.3">
      <c r="A21" s="1">
        <v>2008</v>
      </c>
      <c r="B21" s="11">
        <v>2</v>
      </c>
      <c r="C21" s="11">
        <v>4</v>
      </c>
      <c r="D21" s="1">
        <v>60.474417562828599</v>
      </c>
      <c r="E21" s="1">
        <v>9.013261394909609</v>
      </c>
      <c r="F21" s="1">
        <v>5.5084423714876127</v>
      </c>
    </row>
    <row r="22" spans="1:6" x14ac:dyDescent="0.3">
      <c r="A22" s="1">
        <v>2008</v>
      </c>
      <c r="B22" s="11">
        <v>3</v>
      </c>
      <c r="C22" s="11">
        <v>7</v>
      </c>
      <c r="D22" s="1">
        <v>60.148927898853131</v>
      </c>
      <c r="E22" s="1">
        <v>9.5460726451211855</v>
      </c>
      <c r="F22" s="1">
        <v>5.4473748911282014</v>
      </c>
    </row>
    <row r="23" spans="1:6" x14ac:dyDescent="0.3">
      <c r="A23" s="1">
        <v>2008</v>
      </c>
      <c r="B23" s="11">
        <v>4</v>
      </c>
      <c r="C23" s="11">
        <v>10</v>
      </c>
      <c r="D23" s="1">
        <v>61.038299542698738</v>
      </c>
      <c r="E23" s="1">
        <v>9.5332685637786287</v>
      </c>
      <c r="F23" s="1">
        <v>5.4715034233144628</v>
      </c>
    </row>
    <row r="24" spans="1:6" x14ac:dyDescent="0.3">
      <c r="A24" s="1">
        <v>2009</v>
      </c>
      <c r="B24" s="11">
        <v>1</v>
      </c>
      <c r="C24" s="11">
        <v>1</v>
      </c>
      <c r="D24" s="1">
        <v>61.106197018796713</v>
      </c>
      <c r="E24" s="1">
        <v>9.2071776346718561</v>
      </c>
      <c r="F24" s="1">
        <v>5.8387950079606954</v>
      </c>
    </row>
    <row r="25" spans="1:6" x14ac:dyDescent="0.3">
      <c r="A25" s="1">
        <v>2009</v>
      </c>
      <c r="B25" s="11">
        <v>2</v>
      </c>
      <c r="C25" s="11">
        <v>4</v>
      </c>
      <c r="D25" s="1">
        <v>60.885889285759788</v>
      </c>
      <c r="E25" s="1">
        <v>9.699866892220621</v>
      </c>
      <c r="F25" s="1">
        <v>5.881773771263993</v>
      </c>
    </row>
    <row r="26" spans="1:6" x14ac:dyDescent="0.3">
      <c r="A26" s="1">
        <v>2009</v>
      </c>
      <c r="B26" s="11">
        <v>3</v>
      </c>
      <c r="C26" s="11">
        <v>7</v>
      </c>
      <c r="D26" s="1">
        <v>60.600148608409903</v>
      </c>
      <c r="E26" s="1">
        <v>9.8366993913514431</v>
      </c>
      <c r="F26" s="1">
        <v>5.9679560559835414</v>
      </c>
    </row>
    <row r="27" spans="1:6" x14ac:dyDescent="0.3">
      <c r="A27" s="1">
        <v>2009</v>
      </c>
      <c r="B27" s="11">
        <v>4</v>
      </c>
      <c r="C27" s="11">
        <v>10</v>
      </c>
      <c r="D27" s="1">
        <v>60.873879980072203</v>
      </c>
      <c r="E27" s="1">
        <v>9.6337260919948218</v>
      </c>
      <c r="F27" s="1">
        <v>5.9367474883698872</v>
      </c>
    </row>
    <row r="28" spans="1:6" x14ac:dyDescent="0.3">
      <c r="A28" s="1">
        <v>2010</v>
      </c>
      <c r="B28" s="11">
        <v>1</v>
      </c>
      <c r="C28" s="11">
        <v>1</v>
      </c>
      <c r="D28" s="1">
        <v>60.361222698871273</v>
      </c>
      <c r="E28" s="1">
        <v>9.5246477117280737</v>
      </c>
      <c r="F28" s="1">
        <v>5.964620177112117</v>
      </c>
    </row>
    <row r="29" spans="1:6" x14ac:dyDescent="0.3">
      <c r="A29" s="1">
        <v>2010</v>
      </c>
      <c r="B29" s="11">
        <v>2</v>
      </c>
      <c r="C29" s="11">
        <v>4</v>
      </c>
      <c r="D29" s="1">
        <v>60.410363787527253</v>
      </c>
      <c r="E29" s="1">
        <v>9.7032064605458963</v>
      </c>
      <c r="F29" s="1">
        <v>5.6445349735487031</v>
      </c>
    </row>
    <row r="30" spans="1:6" x14ac:dyDescent="0.3">
      <c r="A30" s="1">
        <v>2010</v>
      </c>
      <c r="B30" s="11">
        <v>3</v>
      </c>
      <c r="C30" s="11">
        <v>7</v>
      </c>
      <c r="D30" s="1">
        <v>60.246908173471013</v>
      </c>
      <c r="E30" s="1">
        <v>10.12243766603614</v>
      </c>
      <c r="F30" s="1">
        <v>5.8758334430949146</v>
      </c>
    </row>
    <row r="31" spans="1:6" x14ac:dyDescent="0.3">
      <c r="A31" s="1">
        <v>2010</v>
      </c>
      <c r="B31" s="11">
        <v>4</v>
      </c>
      <c r="C31" s="11">
        <v>10</v>
      </c>
      <c r="D31" s="1">
        <v>60.035160255391872</v>
      </c>
      <c r="E31" s="1">
        <v>9.5791777543444852</v>
      </c>
      <c r="F31" s="1">
        <v>6.261193496758513</v>
      </c>
    </row>
    <row r="32" spans="1:6" x14ac:dyDescent="0.3">
      <c r="A32" s="1">
        <v>2011</v>
      </c>
      <c r="B32" s="11">
        <v>1</v>
      </c>
      <c r="C32" s="11">
        <v>1</v>
      </c>
      <c r="D32" s="1">
        <v>60.144076369516583</v>
      </c>
      <c r="E32" s="1">
        <v>9.4631490723231888</v>
      </c>
      <c r="F32" s="1">
        <v>6.4594900903661792</v>
      </c>
    </row>
    <row r="33" spans="1:6" x14ac:dyDescent="0.3">
      <c r="A33" s="1">
        <v>2011</v>
      </c>
      <c r="B33" s="11">
        <v>2</v>
      </c>
      <c r="C33" s="11">
        <v>4</v>
      </c>
      <c r="D33" s="1">
        <v>61.127801720795858</v>
      </c>
      <c r="E33" s="1">
        <v>9.9590850486957105</v>
      </c>
      <c r="F33" s="1">
        <v>6.0447965669685813</v>
      </c>
    </row>
    <row r="34" spans="1:6" x14ac:dyDescent="0.3">
      <c r="A34" s="1">
        <v>2011</v>
      </c>
      <c r="B34" s="11">
        <v>3</v>
      </c>
      <c r="C34" s="11">
        <v>7</v>
      </c>
      <c r="D34" s="1">
        <v>61.244713540135884</v>
      </c>
      <c r="E34" s="1">
        <v>10.22744424724636</v>
      </c>
      <c r="F34" s="1">
        <v>6.3433542652624801</v>
      </c>
    </row>
    <row r="35" spans="1:6" x14ac:dyDescent="0.3">
      <c r="A35" s="1">
        <v>2011</v>
      </c>
      <c r="B35" s="11">
        <v>4</v>
      </c>
      <c r="C35" s="11">
        <v>10</v>
      </c>
      <c r="D35" s="1">
        <v>60.464964983280609</v>
      </c>
      <c r="E35" s="1">
        <v>10.539110517191929</v>
      </c>
      <c r="F35" s="1">
        <v>6.4824757038093823</v>
      </c>
    </row>
    <row r="36" spans="1:6" x14ac:dyDescent="0.3">
      <c r="A36" s="1">
        <v>2012</v>
      </c>
      <c r="B36" s="11">
        <v>1</v>
      </c>
      <c r="C36" s="11">
        <v>1</v>
      </c>
      <c r="D36" s="1">
        <v>59.612570302424913</v>
      </c>
      <c r="E36" s="1">
        <v>10.293494477548959</v>
      </c>
      <c r="F36" s="1">
        <v>6.3921928915112218</v>
      </c>
    </row>
    <row r="37" spans="1:6" x14ac:dyDescent="0.3">
      <c r="A37" s="1">
        <v>2012</v>
      </c>
      <c r="B37" s="11">
        <v>2</v>
      </c>
      <c r="C37" s="11">
        <v>4</v>
      </c>
      <c r="D37" s="1">
        <v>60.42206919320158</v>
      </c>
      <c r="E37" s="1">
        <v>9.9896291103213581</v>
      </c>
      <c r="F37" s="1">
        <v>6.3303710440393921</v>
      </c>
    </row>
    <row r="38" spans="1:6" x14ac:dyDescent="0.3">
      <c r="A38" s="1">
        <v>2012</v>
      </c>
      <c r="B38" s="11">
        <v>3</v>
      </c>
      <c r="C38" s="11">
        <v>7</v>
      </c>
      <c r="D38" s="1">
        <v>61.291457250099668</v>
      </c>
      <c r="E38" s="1">
        <v>10.37751789940045</v>
      </c>
      <c r="F38" s="1">
        <v>6.9939669111594229</v>
      </c>
    </row>
    <row r="39" spans="1:6" x14ac:dyDescent="0.3">
      <c r="A39" s="1">
        <v>2012</v>
      </c>
      <c r="B39" s="11">
        <v>4</v>
      </c>
      <c r="C39" s="11">
        <v>10</v>
      </c>
      <c r="D39" s="1">
        <v>60.524744785663657</v>
      </c>
      <c r="E39" s="1">
        <v>9.7474290881843508</v>
      </c>
      <c r="F39" s="1">
        <v>6.6661290121235366</v>
      </c>
    </row>
    <row r="40" spans="1:6" x14ac:dyDescent="0.3">
      <c r="A40" s="1">
        <v>2013</v>
      </c>
      <c r="B40" s="11">
        <v>1</v>
      </c>
      <c r="C40" s="11">
        <v>1</v>
      </c>
      <c r="D40" s="1">
        <v>59.724671015251737</v>
      </c>
      <c r="E40" s="1">
        <v>10.49958934649713</v>
      </c>
      <c r="F40" s="1">
        <v>6.7573935647240733</v>
      </c>
    </row>
    <row r="41" spans="1:6" x14ac:dyDescent="0.3">
      <c r="A41" s="1">
        <v>2013</v>
      </c>
      <c r="B41" s="11">
        <v>2</v>
      </c>
      <c r="C41" s="11">
        <v>4</v>
      </c>
      <c r="D41" s="1">
        <v>60.529404163804102</v>
      </c>
      <c r="E41" s="1">
        <v>9.9911644373146213</v>
      </c>
      <c r="F41" s="1">
        <v>6.7747211395715574</v>
      </c>
    </row>
    <row r="42" spans="1:6" x14ac:dyDescent="0.3">
      <c r="A42" s="1">
        <v>2013</v>
      </c>
      <c r="B42" s="11">
        <v>3</v>
      </c>
      <c r="C42" s="11">
        <v>7</v>
      </c>
      <c r="D42" s="1">
        <v>60.086322602536157</v>
      </c>
      <c r="E42" s="1">
        <v>10.376830111228751</v>
      </c>
      <c r="F42" s="1">
        <v>6.8471575838070136</v>
      </c>
    </row>
    <row r="43" spans="1:6" x14ac:dyDescent="0.3">
      <c r="A43" s="1">
        <v>2013</v>
      </c>
      <c r="B43" s="11">
        <v>4</v>
      </c>
      <c r="C43" s="11">
        <v>10</v>
      </c>
      <c r="D43" s="1">
        <v>59.971300471297127</v>
      </c>
      <c r="E43" s="1">
        <v>10.163539099174701</v>
      </c>
      <c r="F43" s="1">
        <v>6.5196005662148613</v>
      </c>
    </row>
    <row r="44" spans="1:6" x14ac:dyDescent="0.3">
      <c r="A44" s="1">
        <v>2014</v>
      </c>
      <c r="B44" s="11">
        <v>1</v>
      </c>
      <c r="C44" s="11">
        <v>1</v>
      </c>
      <c r="D44" s="1">
        <v>59.708132257021163</v>
      </c>
      <c r="E44" s="1">
        <v>9.5878945275597935</v>
      </c>
      <c r="F44" s="1">
        <v>6.3228510130032003</v>
      </c>
    </row>
    <row r="45" spans="1:6" x14ac:dyDescent="0.3">
      <c r="A45" s="1">
        <v>2014</v>
      </c>
      <c r="B45" s="11">
        <v>2</v>
      </c>
      <c r="C45" s="11">
        <v>4</v>
      </c>
      <c r="D45" s="1">
        <v>59.34861231639367</v>
      </c>
      <c r="E45" s="1">
        <v>9.5357948821743719</v>
      </c>
      <c r="F45" s="1">
        <v>6.2486020347063818</v>
      </c>
    </row>
    <row r="46" spans="1:6" x14ac:dyDescent="0.3">
      <c r="A46" s="1">
        <v>2014</v>
      </c>
      <c r="B46" s="11">
        <v>3</v>
      </c>
      <c r="C46" s="11">
        <v>7</v>
      </c>
      <c r="D46" s="1">
        <v>59.271708214264649</v>
      </c>
      <c r="E46" s="1">
        <v>9.8923229298451911</v>
      </c>
      <c r="F46" s="1">
        <v>6.2583541180516047</v>
      </c>
    </row>
    <row r="47" spans="1:6" x14ac:dyDescent="0.3">
      <c r="A47" s="1">
        <v>2014</v>
      </c>
      <c r="B47" s="11">
        <v>4</v>
      </c>
      <c r="C47" s="11">
        <v>10</v>
      </c>
      <c r="D47" s="1">
        <v>59.971673061601713</v>
      </c>
      <c r="E47" s="1">
        <v>9.5897246963402978</v>
      </c>
      <c r="F47" s="1">
        <v>6.0344939328005927</v>
      </c>
    </row>
    <row r="48" spans="1:6" x14ac:dyDescent="0.3">
      <c r="A48" s="1">
        <v>2015</v>
      </c>
      <c r="B48" s="11">
        <v>1</v>
      </c>
      <c r="C48" s="11">
        <v>1</v>
      </c>
      <c r="D48" s="1">
        <v>58.994164343733921</v>
      </c>
      <c r="E48" s="1">
        <v>9.643344392077454</v>
      </c>
      <c r="F48" s="1">
        <v>6.5391914915941456</v>
      </c>
    </row>
    <row r="49" spans="1:6" x14ac:dyDescent="0.3">
      <c r="A49" s="1">
        <v>2015</v>
      </c>
      <c r="B49" s="11">
        <v>2</v>
      </c>
      <c r="C49" s="11">
        <v>4</v>
      </c>
      <c r="D49" s="1">
        <v>58.725328970086743</v>
      </c>
      <c r="E49" s="1">
        <v>9.6935268646166453</v>
      </c>
      <c r="F49" s="1">
        <v>6.2989075203218468</v>
      </c>
    </row>
    <row r="50" spans="1:6" x14ac:dyDescent="0.3">
      <c r="A50" s="1">
        <v>2015</v>
      </c>
      <c r="B50" s="11">
        <v>3</v>
      </c>
      <c r="C50" s="11">
        <v>7</v>
      </c>
      <c r="E50" s="1" t="s">
        <v>3976</v>
      </c>
      <c r="F50" s="1" t="s">
        <v>3976</v>
      </c>
    </row>
    <row r="51" spans="1:6" x14ac:dyDescent="0.3">
      <c r="A51" s="1">
        <v>2015</v>
      </c>
      <c r="B51" s="11">
        <v>4</v>
      </c>
      <c r="C51" s="11">
        <v>10</v>
      </c>
    </row>
    <row r="52" spans="1:6" x14ac:dyDescent="0.3">
      <c r="A52" s="1">
        <v>2016</v>
      </c>
      <c r="B52" s="11">
        <v>1</v>
      </c>
      <c r="C52" s="11">
        <v>1</v>
      </c>
    </row>
    <row r="53" spans="1:6" x14ac:dyDescent="0.3">
      <c r="A53" s="1">
        <v>2016</v>
      </c>
      <c r="B53" s="11">
        <v>2</v>
      </c>
      <c r="C53" s="11">
        <v>4</v>
      </c>
      <c r="D53" s="1">
        <v>59.052102933791538</v>
      </c>
      <c r="E53" s="1">
        <v>9.7567083464443485</v>
      </c>
      <c r="F53" s="1">
        <v>6.3199040187513358</v>
      </c>
    </row>
    <row r="54" spans="1:6" x14ac:dyDescent="0.3">
      <c r="A54" s="1">
        <v>2016</v>
      </c>
      <c r="B54" s="11">
        <v>3</v>
      </c>
      <c r="C54" s="11">
        <v>7</v>
      </c>
      <c r="D54" s="1">
        <v>58.954079429959009</v>
      </c>
      <c r="E54" s="1">
        <v>10.22872237477447</v>
      </c>
      <c r="F54" s="1">
        <v>6.1774983616157622</v>
      </c>
    </row>
    <row r="55" spans="1:6" x14ac:dyDescent="0.3">
      <c r="A55" s="1">
        <v>2016</v>
      </c>
      <c r="B55" s="11">
        <v>4</v>
      </c>
      <c r="C55" s="11">
        <v>10</v>
      </c>
      <c r="D55" s="1">
        <v>58.115027679942138</v>
      </c>
      <c r="E55" s="1">
        <v>10.044916320476579</v>
      </c>
      <c r="F55" s="1">
        <v>6.3310862656949096</v>
      </c>
    </row>
    <row r="56" spans="1:6" x14ac:dyDescent="0.3">
      <c r="A56" s="1">
        <v>2017</v>
      </c>
      <c r="B56" s="11">
        <v>1</v>
      </c>
      <c r="C56" s="11">
        <v>1</v>
      </c>
      <c r="D56" s="1">
        <v>58.435829560358052</v>
      </c>
      <c r="E56" s="1">
        <v>10.03466937547916</v>
      </c>
      <c r="F56" s="1">
        <v>6.4004954788352366</v>
      </c>
    </row>
    <row r="57" spans="1:6" x14ac:dyDescent="0.3">
      <c r="A57" s="1">
        <v>2017</v>
      </c>
      <c r="B57" s="11">
        <v>2</v>
      </c>
      <c r="C57" s="11">
        <v>4</v>
      </c>
      <c r="D57" s="1">
        <v>58.553838798696667</v>
      </c>
      <c r="E57" s="1">
        <v>10.128586884892121</v>
      </c>
      <c r="F57" s="1">
        <v>6.4565856729474929</v>
      </c>
    </row>
    <row r="58" spans="1:6" x14ac:dyDescent="0.3">
      <c r="A58" s="1">
        <v>2017</v>
      </c>
      <c r="B58" s="11">
        <v>3</v>
      </c>
      <c r="C58" s="11">
        <v>7</v>
      </c>
      <c r="D58" s="1">
        <v>59.396538461161782</v>
      </c>
      <c r="E58" s="1">
        <v>10.315355141022851</v>
      </c>
      <c r="F58" s="1">
        <v>6.5835884944248066</v>
      </c>
    </row>
    <row r="59" spans="1:6" x14ac:dyDescent="0.3">
      <c r="A59" s="1">
        <v>2017</v>
      </c>
      <c r="B59" s="11">
        <v>4</v>
      </c>
      <c r="C59" s="11">
        <v>10</v>
      </c>
      <c r="D59" s="1">
        <v>59.275120735367501</v>
      </c>
      <c r="E59" s="1">
        <v>10.15979450370865</v>
      </c>
      <c r="F59" s="1">
        <v>6.7064046590221631</v>
      </c>
    </row>
    <row r="60" spans="1:6" x14ac:dyDescent="0.3">
      <c r="A60" s="1">
        <v>2018</v>
      </c>
      <c r="B60" s="11">
        <v>1</v>
      </c>
      <c r="C60" s="11">
        <v>1</v>
      </c>
      <c r="D60" s="1">
        <v>59.75269799379587</v>
      </c>
      <c r="E60" s="1">
        <v>10.59967377719196</v>
      </c>
      <c r="F60" s="1">
        <v>6.338736829801225</v>
      </c>
    </row>
    <row r="61" spans="1:6" x14ac:dyDescent="0.3">
      <c r="A61" s="1">
        <v>2018</v>
      </c>
      <c r="B61" s="11">
        <v>2</v>
      </c>
      <c r="C61" s="11">
        <v>4</v>
      </c>
      <c r="D61" s="1">
        <v>59.656457696145218</v>
      </c>
      <c r="E61" s="1">
        <v>10.260197345951349</v>
      </c>
      <c r="F61" s="1">
        <v>6.2849719762478413</v>
      </c>
    </row>
    <row r="62" spans="1:6" x14ac:dyDescent="0.3">
      <c r="A62" s="1">
        <v>2018</v>
      </c>
      <c r="B62" s="11">
        <v>3</v>
      </c>
      <c r="C62" s="11">
        <v>7</v>
      </c>
      <c r="D62" s="1">
        <v>59.884677946304947</v>
      </c>
      <c r="E62" s="1">
        <v>9.5252141681787208</v>
      </c>
      <c r="F62" s="1">
        <v>6.1841374655535111</v>
      </c>
    </row>
    <row r="63" spans="1:6" x14ac:dyDescent="0.3">
      <c r="A63" s="1">
        <v>2018</v>
      </c>
      <c r="B63" s="11">
        <v>4</v>
      </c>
      <c r="C63" s="11">
        <v>10</v>
      </c>
      <c r="D63" s="1">
        <v>59.570183266115741</v>
      </c>
      <c r="E63" s="1">
        <v>8.9306878276076684</v>
      </c>
      <c r="F63" s="1">
        <v>5.6626511179700776</v>
      </c>
    </row>
    <row r="64" spans="1:6" x14ac:dyDescent="0.3">
      <c r="A64" s="1">
        <v>2019</v>
      </c>
      <c r="B64" s="11">
        <v>1</v>
      </c>
      <c r="C64" s="11">
        <v>1</v>
      </c>
      <c r="D64" s="1">
        <v>60.171984014982662</v>
      </c>
      <c r="E64" s="1">
        <v>8.9139468763901206</v>
      </c>
      <c r="F64" s="1">
        <v>5.5485167963483359</v>
      </c>
    </row>
    <row r="65" spans="1:6" x14ac:dyDescent="0.3">
      <c r="A65" s="1">
        <v>2019</v>
      </c>
      <c r="B65" s="11">
        <v>2</v>
      </c>
      <c r="C65" s="11">
        <v>4</v>
      </c>
      <c r="D65" s="1">
        <v>60.802499961819947</v>
      </c>
      <c r="E65" s="1">
        <v>9.0964136410847338</v>
      </c>
      <c r="F65" s="1">
        <v>5.7352956398555701</v>
      </c>
    </row>
    <row r="66" spans="1:6" x14ac:dyDescent="0.3">
      <c r="A66" s="1">
        <v>2019</v>
      </c>
      <c r="B66" s="11">
        <v>3</v>
      </c>
      <c r="C66" s="11">
        <v>7</v>
      </c>
      <c r="D66" s="1">
        <v>60.555786207048847</v>
      </c>
      <c r="E66" s="1">
        <v>9.2982494584718953</v>
      </c>
      <c r="F66" s="1">
        <v>5.5220267317514544</v>
      </c>
    </row>
    <row r="67" spans="1:6" x14ac:dyDescent="0.3">
      <c r="A67" s="1">
        <v>2019</v>
      </c>
      <c r="B67" s="11">
        <v>4</v>
      </c>
      <c r="C67" s="11">
        <v>10</v>
      </c>
      <c r="D67" s="1">
        <v>60.180552131261457</v>
      </c>
      <c r="E67" s="1">
        <v>8.5409335690913135</v>
      </c>
      <c r="F67" s="1">
        <v>5.0689732719186376</v>
      </c>
    </row>
    <row r="68" spans="1:6" x14ac:dyDescent="0.3">
      <c r="A68" s="1">
        <v>2020</v>
      </c>
      <c r="B68" s="11">
        <v>1</v>
      </c>
      <c r="C68" s="11">
        <v>1</v>
      </c>
      <c r="D68" s="1">
        <v>59.919955588791872</v>
      </c>
      <c r="E68" s="1">
        <v>8.7775245428147937</v>
      </c>
      <c r="F68" s="1">
        <v>5.2930983754112448</v>
      </c>
    </row>
    <row r="69" spans="1:6" x14ac:dyDescent="0.3">
      <c r="A69" s="1">
        <v>2020</v>
      </c>
      <c r="B69" s="11">
        <v>2</v>
      </c>
      <c r="C69" s="11">
        <v>4</v>
      </c>
      <c r="D69" s="1">
        <v>50.470886526547289</v>
      </c>
      <c r="E69" s="1">
        <v>11.327344041191299</v>
      </c>
      <c r="F69" s="1">
        <v>9.7075474094045813</v>
      </c>
    </row>
    <row r="70" spans="1:6" x14ac:dyDescent="0.3">
      <c r="A70" s="1">
        <v>2020</v>
      </c>
      <c r="B70" s="11">
        <v>3</v>
      </c>
      <c r="C70" s="11">
        <v>7</v>
      </c>
      <c r="D70" s="1">
        <v>55.58584194567522</v>
      </c>
      <c r="E70" s="1">
        <v>9.906381832044115</v>
      </c>
      <c r="F70" s="1">
        <v>5.3527851489071754</v>
      </c>
    </row>
    <row r="71" spans="1:6" x14ac:dyDescent="0.3">
      <c r="A71" s="1">
        <v>2020</v>
      </c>
      <c r="B71" s="11">
        <v>4</v>
      </c>
      <c r="C71" s="11">
        <v>10</v>
      </c>
      <c r="D71" s="1">
        <v>58.560984138919203</v>
      </c>
      <c r="E71" s="1">
        <v>9.2231601204239961</v>
      </c>
      <c r="F71" s="1">
        <v>4.8955514960401327</v>
      </c>
    </row>
    <row r="72" spans="1:6" x14ac:dyDescent="0.3">
      <c r="A72" s="1">
        <v>2021</v>
      </c>
      <c r="B72" s="11">
        <v>1</v>
      </c>
      <c r="C72" s="11">
        <v>1</v>
      </c>
      <c r="D72" s="1">
        <v>60.477009267789967</v>
      </c>
      <c r="E72" s="1">
        <v>9.0305387804723409</v>
      </c>
      <c r="F72" s="1">
        <v>5.0547026996104734</v>
      </c>
    </row>
    <row r="73" spans="1:6" x14ac:dyDescent="0.3">
      <c r="A73" s="1">
        <v>2021</v>
      </c>
      <c r="B73" s="11">
        <v>2</v>
      </c>
      <c r="C73" s="11">
        <v>4</v>
      </c>
      <c r="D73" s="1">
        <v>59.997729562129393</v>
      </c>
      <c r="E73" s="1">
        <v>8.8640622603773451</v>
      </c>
      <c r="F73" s="1">
        <v>5.1574413461009039</v>
      </c>
    </row>
    <row r="74" spans="1:6" x14ac:dyDescent="0.3">
      <c r="A74" s="1">
        <v>2021</v>
      </c>
      <c r="B74" s="11">
        <v>3</v>
      </c>
      <c r="C74" s="11">
        <v>7</v>
      </c>
      <c r="D74" s="1">
        <v>61.036061248810448</v>
      </c>
      <c r="E74" s="1">
        <v>8.9021429601398658</v>
      </c>
      <c r="F74" s="1">
        <v>5.4170262923903856</v>
      </c>
    </row>
    <row r="75" spans="1:6" x14ac:dyDescent="0.3">
      <c r="A75" s="1">
        <v>2021</v>
      </c>
      <c r="B75" s="11">
        <v>4</v>
      </c>
      <c r="C75" s="11">
        <v>10</v>
      </c>
      <c r="D75" s="1">
        <v>61.072605652936872</v>
      </c>
      <c r="E75" s="1">
        <v>8.7177497189899196</v>
      </c>
      <c r="F75" s="1">
        <v>5.2572768141367883</v>
      </c>
    </row>
    <row r="76" spans="1:6" x14ac:dyDescent="0.3">
      <c r="A76" s="1">
        <v>2022</v>
      </c>
      <c r="B76" s="11">
        <v>1</v>
      </c>
      <c r="C76" s="11">
        <v>1</v>
      </c>
      <c r="D76" s="1">
        <v>60.598940285938752</v>
      </c>
      <c r="E76" s="1">
        <v>8.5439676973320076</v>
      </c>
      <c r="F76" s="1">
        <v>5.4581555313534453</v>
      </c>
    </row>
    <row r="77" spans="1:6" x14ac:dyDescent="0.3">
      <c r="A77" s="1">
        <v>2022</v>
      </c>
      <c r="B77" s="11">
        <v>2</v>
      </c>
      <c r="C77" s="11">
        <v>4</v>
      </c>
      <c r="D77" s="1">
        <v>62.259565707425438</v>
      </c>
      <c r="E77" s="1">
        <v>7.8695927843013136</v>
      </c>
      <c r="F77" s="1">
        <v>4.7891286494382417</v>
      </c>
    </row>
    <row r="78" spans="1:6" x14ac:dyDescent="0.3">
      <c r="A78" s="1">
        <v>2022</v>
      </c>
      <c r="B78" s="11">
        <v>3</v>
      </c>
      <c r="C78" s="11">
        <v>7</v>
      </c>
      <c r="D78" s="1">
        <v>61.854866451255162</v>
      </c>
      <c r="E78" s="1">
        <v>7.696875991521182</v>
      </c>
      <c r="F78" s="1">
        <v>4.6702723241228252</v>
      </c>
    </row>
    <row r="79" spans="1:6" x14ac:dyDescent="0.3">
      <c r="A79" s="1">
        <v>2022</v>
      </c>
      <c r="B79" s="11">
        <v>4</v>
      </c>
      <c r="C79" s="11">
        <v>10</v>
      </c>
      <c r="D79" s="1">
        <v>61.891828428476948</v>
      </c>
      <c r="E79" s="1">
        <v>7.9088131294711834</v>
      </c>
      <c r="F79" s="1">
        <v>4.8065702622013609</v>
      </c>
    </row>
    <row r="80" spans="1:6" x14ac:dyDescent="0.3">
      <c r="A80" s="1">
        <v>2023</v>
      </c>
      <c r="B80" s="11">
        <v>1</v>
      </c>
      <c r="C80" s="11">
        <v>1</v>
      </c>
      <c r="D80" s="1">
        <v>62.608927586818083</v>
      </c>
      <c r="E80" s="1">
        <v>7.8884786972591856</v>
      </c>
      <c r="F80" s="1">
        <v>4.9353633931684113</v>
      </c>
    </row>
    <row r="81" spans="1:6" x14ac:dyDescent="0.3">
      <c r="A81" s="1">
        <v>2023</v>
      </c>
      <c r="B81" s="11">
        <v>2</v>
      </c>
      <c r="C81" s="11">
        <v>4</v>
      </c>
      <c r="D81" s="1">
        <v>61.774365435324832</v>
      </c>
      <c r="E81" s="1">
        <v>7.9428311845313839</v>
      </c>
      <c r="F81" s="1">
        <v>4.8684328753813251</v>
      </c>
    </row>
    <row r="82" spans="1:6" x14ac:dyDescent="0.3">
      <c r="A82" s="1">
        <v>2023</v>
      </c>
      <c r="B82" s="11">
        <v>3</v>
      </c>
      <c r="C82" s="11">
        <v>7</v>
      </c>
      <c r="D82" s="1">
        <v>62.526624940173129</v>
      </c>
      <c r="E82" s="1">
        <v>7.7507430724409172</v>
      </c>
      <c r="F82" s="1">
        <v>4.9255931220374718</v>
      </c>
    </row>
    <row r="83" spans="1:6" x14ac:dyDescent="0.3">
      <c r="A83" s="1">
        <v>2023</v>
      </c>
      <c r="B83" s="11">
        <v>4</v>
      </c>
      <c r="C83" s="11">
        <v>10</v>
      </c>
      <c r="D83" s="1">
        <v>62.938703235632701</v>
      </c>
      <c r="E83" s="1">
        <v>7.4854066931484544</v>
      </c>
      <c r="F83" s="1">
        <v>4.3645242120011272</v>
      </c>
    </row>
    <row r="84" spans="1:6" x14ac:dyDescent="0.3">
      <c r="A84" s="1">
        <v>2024</v>
      </c>
      <c r="B84" s="11">
        <v>1</v>
      </c>
      <c r="C84" s="11">
        <v>1</v>
      </c>
      <c r="D84" s="1">
        <v>62.262319471221907</v>
      </c>
      <c r="E84" s="1">
        <v>6.4266825517184678</v>
      </c>
      <c r="F84" s="1">
        <v>3.8546308594019472</v>
      </c>
    </row>
    <row r="85" spans="1:6" x14ac:dyDescent="0.3">
      <c r="A85" s="1">
        <v>2024</v>
      </c>
      <c r="B85" s="11">
        <v>2</v>
      </c>
      <c r="C85" s="11">
        <v>4</v>
      </c>
      <c r="D85" s="1">
        <v>62.717025272576542</v>
      </c>
      <c r="E85" s="1">
        <v>7.165267038928393</v>
      </c>
      <c r="F85" s="1">
        <v>4.1798036379046071</v>
      </c>
    </row>
    <row r="86" spans="1:6" x14ac:dyDescent="0.3">
      <c r="A86" s="1">
        <v>2024</v>
      </c>
      <c r="B86" s="11">
        <v>3</v>
      </c>
      <c r="C86" s="11">
        <v>7</v>
      </c>
      <c r="D86" s="1">
        <v>62.460665460966617</v>
      </c>
      <c r="E86" s="1">
        <v>8.0856263966767354</v>
      </c>
      <c r="F86" s="1">
        <v>4.5526572801922454</v>
      </c>
    </row>
    <row r="87" spans="1:6" x14ac:dyDescent="0.3">
      <c r="A87" s="1">
        <v>2024</v>
      </c>
      <c r="B87" s="11">
        <v>4</v>
      </c>
      <c r="C87" s="11">
        <v>10</v>
      </c>
    </row>
    <row r="88" spans="1:6" x14ac:dyDescent="0.3">
      <c r="A88" s="1">
        <v>2025</v>
      </c>
      <c r="B88" s="11">
        <v>1</v>
      </c>
      <c r="C88" s="11">
        <v>1</v>
      </c>
    </row>
  </sheetData>
  <autoFilter ref="A1:F88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50"/>
  <sheetViews>
    <sheetView workbookViewId="0">
      <selection activeCell="A2" sqref="A2:A50"/>
    </sheetView>
  </sheetViews>
  <sheetFormatPr baseColWidth="10" defaultRowHeight="14.4" x14ac:dyDescent="0.3"/>
  <sheetData>
    <row r="1" spans="1:2" x14ac:dyDescent="0.3">
      <c r="A1" t="s">
        <v>0</v>
      </c>
      <c r="B1" t="s">
        <v>4021</v>
      </c>
    </row>
    <row r="2" spans="1:2" x14ac:dyDescent="0.3">
      <c r="A2">
        <v>1976</v>
      </c>
      <c r="B2" s="18">
        <v>1.2722422563672315</v>
      </c>
    </row>
    <row r="3" spans="1:2" x14ac:dyDescent="0.3">
      <c r="A3" s="7">
        <v>1977</v>
      </c>
      <c r="B3" s="18">
        <v>1.9830577094370114</v>
      </c>
    </row>
    <row r="4" spans="1:2" x14ac:dyDescent="0.3">
      <c r="A4" s="7">
        <v>1978</v>
      </c>
      <c r="B4" s="18">
        <v>2.0842351475859524</v>
      </c>
    </row>
    <row r="5" spans="1:2" x14ac:dyDescent="0.3">
      <c r="A5" s="7">
        <v>1979</v>
      </c>
      <c r="B5" s="18">
        <v>-0.74076931096166554</v>
      </c>
    </row>
    <row r="6" spans="1:2" x14ac:dyDescent="0.3">
      <c r="A6" s="7">
        <v>1980</v>
      </c>
      <c r="B6" s="18">
        <v>-6.2030673974075761</v>
      </c>
    </row>
    <row r="7" spans="1:2" x14ac:dyDescent="0.3">
      <c r="A7" s="7">
        <v>1981</v>
      </c>
      <c r="B7" s="18">
        <v>-5.9890558114253523</v>
      </c>
    </row>
    <row r="8" spans="1:2" x14ac:dyDescent="0.3">
      <c r="A8" s="7">
        <v>1982</v>
      </c>
      <c r="B8" s="18">
        <v>-2.7909739553226043</v>
      </c>
    </row>
    <row r="9" spans="1:2" x14ac:dyDescent="0.3">
      <c r="A9" s="7">
        <v>1983</v>
      </c>
      <c r="B9" s="18">
        <v>-2.3427783479647046</v>
      </c>
    </row>
    <row r="10" spans="1:2" x14ac:dyDescent="0.3">
      <c r="A10" s="7">
        <v>1984</v>
      </c>
      <c r="B10" s="18">
        <v>-2.1340280443239519</v>
      </c>
    </row>
    <row r="11" spans="1:2" x14ac:dyDescent="0.3">
      <c r="A11" s="7">
        <v>1985</v>
      </c>
      <c r="B11" s="18">
        <v>-1.0799663864278981</v>
      </c>
    </row>
    <row r="12" spans="1:2" x14ac:dyDescent="0.3">
      <c r="A12" s="7">
        <v>1986</v>
      </c>
      <c r="B12" s="18">
        <v>-2.7004212047154983</v>
      </c>
    </row>
    <row r="13" spans="1:2" x14ac:dyDescent="0.3">
      <c r="A13" s="7">
        <v>1987</v>
      </c>
      <c r="B13" s="18">
        <v>-3.8920738382699742</v>
      </c>
    </row>
    <row r="14" spans="1:2" x14ac:dyDescent="0.3">
      <c r="A14" s="7">
        <v>1988</v>
      </c>
      <c r="B14" s="18">
        <v>-1.2388660162791958</v>
      </c>
    </row>
    <row r="15" spans="1:2" x14ac:dyDescent="0.3">
      <c r="A15" s="7">
        <v>1989</v>
      </c>
      <c r="B15" s="18">
        <v>-1.7029944136760455</v>
      </c>
    </row>
    <row r="16" spans="1:2" x14ac:dyDescent="0.3">
      <c r="A16" s="7">
        <v>1990</v>
      </c>
      <c r="B16" s="18">
        <v>3.2203144839238744</v>
      </c>
    </row>
    <row r="17" spans="1:53" x14ac:dyDescent="0.3">
      <c r="A17" s="7">
        <v>1991</v>
      </c>
      <c r="B17" s="18">
        <v>-0.34102891295014559</v>
      </c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</row>
    <row r="18" spans="1:53" x14ac:dyDescent="0.3">
      <c r="A18" s="7">
        <v>1992</v>
      </c>
      <c r="B18" s="18">
        <v>-2.4249413468242493</v>
      </c>
    </row>
    <row r="19" spans="1:53" x14ac:dyDescent="0.3">
      <c r="A19" s="7">
        <v>1993</v>
      </c>
      <c r="B19" s="18">
        <v>-3.4661782946214372</v>
      </c>
    </row>
    <row r="20" spans="1:53" x14ac:dyDescent="0.3">
      <c r="A20" s="7">
        <v>1994</v>
      </c>
      <c r="B20" s="18">
        <v>-4.2648589846545217</v>
      </c>
    </row>
    <row r="21" spans="1:53" x14ac:dyDescent="0.3">
      <c r="A21" s="7">
        <v>1995</v>
      </c>
      <c r="B21" s="18">
        <v>-1.9834602735092948</v>
      </c>
    </row>
    <row r="22" spans="1:53" x14ac:dyDescent="0.3">
      <c r="A22" s="7">
        <v>1996</v>
      </c>
      <c r="B22" s="18">
        <v>-2.4875930110114997</v>
      </c>
    </row>
    <row r="23" spans="1:53" x14ac:dyDescent="0.3">
      <c r="A23" s="7">
        <v>1997</v>
      </c>
      <c r="B23" s="18">
        <v>-4.1446800662910821</v>
      </c>
    </row>
    <row r="24" spans="1:53" x14ac:dyDescent="0.3">
      <c r="A24" s="7">
        <v>1998</v>
      </c>
      <c r="B24" s="18">
        <v>-4.8443160454195668</v>
      </c>
    </row>
    <row r="25" spans="1:53" x14ac:dyDescent="0.3">
      <c r="A25" s="7">
        <v>1999</v>
      </c>
      <c r="B25" s="18">
        <v>-4.2122950617818313</v>
      </c>
    </row>
    <row r="26" spans="1:53" x14ac:dyDescent="0.3">
      <c r="A26" s="7">
        <v>2000</v>
      </c>
      <c r="B26" s="18">
        <v>-3.159922377036759</v>
      </c>
    </row>
    <row r="27" spans="1:53" x14ac:dyDescent="0.3">
      <c r="A27" s="7">
        <v>2001</v>
      </c>
      <c r="B27" s="18">
        <v>-1.406947885001806</v>
      </c>
    </row>
    <row r="28" spans="1:53" x14ac:dyDescent="0.3">
      <c r="A28" s="7">
        <v>2002</v>
      </c>
      <c r="B28" s="18">
        <v>8.9707846778424702</v>
      </c>
    </row>
    <row r="29" spans="1:53" x14ac:dyDescent="0.3">
      <c r="A29" s="7">
        <v>2003</v>
      </c>
      <c r="B29" s="18">
        <v>6.3799068017701064</v>
      </c>
    </row>
    <row r="30" spans="1:53" x14ac:dyDescent="0.3">
      <c r="A30" s="7">
        <v>2004</v>
      </c>
      <c r="B30" s="18">
        <v>1.9505832431927332</v>
      </c>
    </row>
    <row r="31" spans="1:53" x14ac:dyDescent="0.3">
      <c r="A31" s="7">
        <v>2005</v>
      </c>
      <c r="B31" s="18">
        <v>2.6536314217907284</v>
      </c>
    </row>
    <row r="32" spans="1:53" x14ac:dyDescent="0.3">
      <c r="A32" s="7">
        <v>2006</v>
      </c>
      <c r="B32" s="18">
        <v>2.7944956426494283</v>
      </c>
    </row>
    <row r="33" spans="1:2" x14ac:dyDescent="0.3">
      <c r="A33" s="7">
        <v>2007</v>
      </c>
      <c r="B33" s="18">
        <v>2.1036160391818952</v>
      </c>
    </row>
    <row r="34" spans="1:2" x14ac:dyDescent="0.3">
      <c r="A34" s="7">
        <v>2008</v>
      </c>
      <c r="B34" s="18">
        <v>1.4994014161423419</v>
      </c>
    </row>
    <row r="35" spans="1:2" x14ac:dyDescent="0.3">
      <c r="A35" s="7">
        <v>2009</v>
      </c>
      <c r="B35" s="18">
        <v>2.1785669619099033</v>
      </c>
    </row>
    <row r="36" spans="1:2" x14ac:dyDescent="0.3">
      <c r="A36" s="7">
        <v>2010</v>
      </c>
      <c r="B36" s="18">
        <v>-0.38311869973713236</v>
      </c>
    </row>
    <row r="37" spans="1:2" x14ac:dyDescent="0.3">
      <c r="A37" s="7">
        <v>2011</v>
      </c>
      <c r="B37" s="18">
        <v>-1.0072808414486605</v>
      </c>
    </row>
    <row r="38" spans="1:2" x14ac:dyDescent="0.3">
      <c r="A38" s="7">
        <v>2012</v>
      </c>
      <c r="B38" s="18">
        <v>-0.39159512386958956</v>
      </c>
    </row>
    <row r="39" spans="1:2" x14ac:dyDescent="0.3">
      <c r="A39" s="7">
        <v>2013</v>
      </c>
      <c r="B39" s="18">
        <v>-2.3774956662057192</v>
      </c>
    </row>
    <row r="40" spans="1:2" x14ac:dyDescent="0.3">
      <c r="A40" s="7">
        <v>2014</v>
      </c>
      <c r="B40" s="18">
        <v>-1.7440021198135476</v>
      </c>
    </row>
    <row r="41" spans="1:2" x14ac:dyDescent="0.3">
      <c r="A41" s="7">
        <v>2015</v>
      </c>
      <c r="B41" s="18">
        <v>-2.9629266651353299</v>
      </c>
    </row>
    <row r="42" spans="1:2" x14ac:dyDescent="0.3">
      <c r="A42" s="7">
        <v>2016</v>
      </c>
      <c r="B42" s="18">
        <v>-2.7092216836145373</v>
      </c>
    </row>
    <row r="43" spans="1:2" x14ac:dyDescent="0.3">
      <c r="A43" s="7">
        <v>2017</v>
      </c>
      <c r="B43" s="18">
        <v>-4.839959218073898</v>
      </c>
    </row>
    <row r="44" spans="1:2" x14ac:dyDescent="0.3">
      <c r="A44" s="7">
        <v>2018</v>
      </c>
      <c r="B44" s="18">
        <v>-5.1605525715229446</v>
      </c>
    </row>
    <row r="45" spans="1:2" x14ac:dyDescent="0.3">
      <c r="A45" s="7">
        <v>2019</v>
      </c>
      <c r="B45" s="18">
        <v>-0.77999844756184689</v>
      </c>
    </row>
    <row r="46" spans="1:2" x14ac:dyDescent="0.3">
      <c r="A46" s="7">
        <v>2020</v>
      </c>
      <c r="B46" s="18">
        <v>0.6969353611360295</v>
      </c>
    </row>
    <row r="47" spans="1:2" x14ac:dyDescent="0.3">
      <c r="A47" s="7">
        <v>2021</v>
      </c>
      <c r="B47" s="18">
        <v>1.3615442220344118</v>
      </c>
    </row>
    <row r="48" spans="1:2" x14ac:dyDescent="0.3">
      <c r="A48" s="7">
        <v>2022</v>
      </c>
      <c r="B48" s="18">
        <v>-0.62525456692327963</v>
      </c>
    </row>
    <row r="49" spans="1:2" x14ac:dyDescent="0.3">
      <c r="A49" s="7">
        <v>2023</v>
      </c>
      <c r="B49" s="18">
        <v>-3.1951463789584982</v>
      </c>
    </row>
    <row r="50" spans="1:2" x14ac:dyDescent="0.3">
      <c r="A50" s="7">
        <v>2024</v>
      </c>
      <c r="B50" s="18">
        <v>0.89311841808937431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5"/>
  <sheetViews>
    <sheetView topLeftCell="A118" workbookViewId="0">
      <selection activeCell="A130" sqref="A130"/>
    </sheetView>
  </sheetViews>
  <sheetFormatPr baseColWidth="10" defaultRowHeight="14.4" x14ac:dyDescent="0.3"/>
  <cols>
    <col min="1" max="1" width="11.5546875" style="5"/>
  </cols>
  <sheetData>
    <row r="1" spans="1:2" x14ac:dyDescent="0.3">
      <c r="A1" s="5" t="s">
        <v>10</v>
      </c>
      <c r="B1" s="7" t="s">
        <v>4062</v>
      </c>
    </row>
    <row r="2" spans="1:2" x14ac:dyDescent="0.3">
      <c r="A2" s="5">
        <v>32874</v>
      </c>
      <c r="B2" s="11">
        <v>81.142341613769531</v>
      </c>
    </row>
    <row r="3" spans="1:2" x14ac:dyDescent="0.3">
      <c r="A3" s="5">
        <v>32964</v>
      </c>
      <c r="B3" s="11">
        <v>75.491950988769531</v>
      </c>
    </row>
    <row r="4" spans="1:2" x14ac:dyDescent="0.3">
      <c r="A4" s="5">
        <v>33055</v>
      </c>
      <c r="B4" s="11">
        <v>77.471061706542969</v>
      </c>
    </row>
    <row r="5" spans="1:2" x14ac:dyDescent="0.3">
      <c r="A5" s="5">
        <v>33147</v>
      </c>
      <c r="B5" s="11">
        <v>78.272026062011719</v>
      </c>
    </row>
    <row r="6" spans="1:2" x14ac:dyDescent="0.3">
      <c r="A6" s="5">
        <v>33239</v>
      </c>
      <c r="B6" s="11">
        <v>73.7117919921875</v>
      </c>
    </row>
    <row r="7" spans="1:2" x14ac:dyDescent="0.3">
      <c r="A7" s="5">
        <v>33329</v>
      </c>
      <c r="B7" s="11">
        <v>75.625</v>
      </c>
    </row>
    <row r="8" spans="1:2" x14ac:dyDescent="0.3">
      <c r="A8" s="5">
        <v>33420</v>
      </c>
      <c r="B8" s="11">
        <v>81.844108581542969</v>
      </c>
    </row>
    <row r="9" spans="1:2" x14ac:dyDescent="0.3">
      <c r="A9" s="5">
        <v>33512</v>
      </c>
      <c r="B9" s="11">
        <v>83.095916748046875</v>
      </c>
    </row>
    <row r="10" spans="1:2" x14ac:dyDescent="0.3">
      <c r="A10" s="5">
        <v>33604</v>
      </c>
      <c r="B10" s="11">
        <v>82.471267700195313</v>
      </c>
    </row>
    <row r="11" spans="1:2" x14ac:dyDescent="0.3">
      <c r="A11" s="5">
        <v>33695</v>
      </c>
      <c r="B11" s="11">
        <v>84.615386962890625</v>
      </c>
    </row>
    <row r="12" spans="1:2" x14ac:dyDescent="0.3">
      <c r="A12" s="5">
        <v>33786</v>
      </c>
      <c r="B12" s="11">
        <v>85.686836242675781</v>
      </c>
    </row>
    <row r="13" spans="1:2" x14ac:dyDescent="0.3">
      <c r="A13" s="5">
        <v>33878</v>
      </c>
      <c r="B13" s="11">
        <v>82.397712707519531</v>
      </c>
    </row>
    <row r="14" spans="1:2" x14ac:dyDescent="0.3">
      <c r="A14" s="5">
        <v>33970</v>
      </c>
      <c r="B14" s="11">
        <v>81.453155517578125</v>
      </c>
    </row>
    <row r="15" spans="1:2" x14ac:dyDescent="0.3">
      <c r="A15" s="5">
        <v>34060</v>
      </c>
      <c r="B15" s="11">
        <v>82.5</v>
      </c>
    </row>
    <row r="16" spans="1:2" x14ac:dyDescent="0.3">
      <c r="A16" s="5">
        <v>34151</v>
      </c>
      <c r="B16" s="11">
        <v>88.159202575683594</v>
      </c>
    </row>
    <row r="17" spans="1:2" x14ac:dyDescent="0.3">
      <c r="A17" s="5">
        <v>34243</v>
      </c>
      <c r="B17" s="11">
        <v>81.984588623046875</v>
      </c>
    </row>
    <row r="18" spans="1:2" x14ac:dyDescent="0.3">
      <c r="A18" s="5">
        <v>34335</v>
      </c>
      <c r="B18" s="11">
        <v>79.465141296386719</v>
      </c>
    </row>
    <row r="19" spans="1:2" x14ac:dyDescent="0.3">
      <c r="A19" s="5">
        <v>34425</v>
      </c>
      <c r="B19" s="11">
        <v>85.630500793457031</v>
      </c>
    </row>
    <row r="20" spans="1:2" x14ac:dyDescent="0.3">
      <c r="A20" s="5">
        <v>34516</v>
      </c>
      <c r="B20" s="11">
        <v>87.209304809570313</v>
      </c>
    </row>
    <row r="21" spans="1:2" x14ac:dyDescent="0.3">
      <c r="A21" s="5">
        <v>34608</v>
      </c>
      <c r="B21" s="11">
        <v>84.0972900390625</v>
      </c>
    </row>
    <row r="22" spans="1:2" x14ac:dyDescent="0.3">
      <c r="A22" s="5">
        <v>34700</v>
      </c>
      <c r="B22" s="11">
        <v>87.523452758789063</v>
      </c>
    </row>
    <row r="23" spans="1:2" x14ac:dyDescent="0.3">
      <c r="A23" s="5">
        <v>34790</v>
      </c>
      <c r="B23" s="11">
        <v>89.726669311523438</v>
      </c>
    </row>
    <row r="24" spans="1:2" x14ac:dyDescent="0.3">
      <c r="A24" s="5">
        <v>34881</v>
      </c>
      <c r="B24" s="11">
        <v>89.661651611328125</v>
      </c>
    </row>
    <row r="25" spans="1:2" x14ac:dyDescent="0.3">
      <c r="A25" s="5">
        <v>34973</v>
      </c>
      <c r="B25" s="11">
        <v>84.834556579589844</v>
      </c>
    </row>
    <row r="26" spans="1:2" x14ac:dyDescent="0.3">
      <c r="A26" s="5">
        <v>35065</v>
      </c>
      <c r="B26" s="11">
        <v>83.971504211425781</v>
      </c>
    </row>
    <row r="27" spans="1:2" x14ac:dyDescent="0.3">
      <c r="A27" s="5">
        <v>35156</v>
      </c>
      <c r="B27" s="11">
        <v>95.786514282226563</v>
      </c>
    </row>
    <row r="28" spans="1:2" x14ac:dyDescent="0.3">
      <c r="A28" s="5">
        <v>35247</v>
      </c>
      <c r="B28" s="11">
        <v>97.318008422851563</v>
      </c>
    </row>
    <row r="29" spans="1:2" x14ac:dyDescent="0.3">
      <c r="A29" s="5">
        <v>35339</v>
      </c>
      <c r="B29" s="11">
        <v>90.506912231445313</v>
      </c>
    </row>
    <row r="30" spans="1:2" x14ac:dyDescent="0.3">
      <c r="A30" s="5">
        <v>35431</v>
      </c>
      <c r="B30" s="11">
        <v>88.939674377441406</v>
      </c>
    </row>
    <row r="31" spans="1:2" x14ac:dyDescent="0.3">
      <c r="A31" s="5">
        <v>35521</v>
      </c>
      <c r="B31" s="11">
        <v>91.721542358398438</v>
      </c>
    </row>
    <row r="32" spans="1:2" x14ac:dyDescent="0.3">
      <c r="A32" s="5">
        <v>35612</v>
      </c>
      <c r="B32" s="11">
        <v>91.030532836914063</v>
      </c>
    </row>
    <row r="33" spans="1:2" x14ac:dyDescent="0.3">
      <c r="A33" s="5">
        <v>35704</v>
      </c>
      <c r="B33" s="11">
        <v>88.352272033691406</v>
      </c>
    </row>
    <row r="34" spans="1:2" x14ac:dyDescent="0.3">
      <c r="A34" s="5">
        <v>35796</v>
      </c>
      <c r="B34" s="11">
        <v>84.215591430664063</v>
      </c>
    </row>
    <row r="35" spans="1:2" x14ac:dyDescent="0.3">
      <c r="A35" s="5">
        <v>35886</v>
      </c>
      <c r="B35" s="11">
        <v>86.865669250488281</v>
      </c>
    </row>
    <row r="36" spans="1:2" x14ac:dyDescent="0.3">
      <c r="A36" s="5">
        <v>35977</v>
      </c>
      <c r="B36" s="11">
        <v>85.147506713867188</v>
      </c>
    </row>
    <row r="37" spans="1:2" x14ac:dyDescent="0.3">
      <c r="A37" s="5">
        <v>36069</v>
      </c>
      <c r="B37" s="11">
        <v>83.350357055664063</v>
      </c>
    </row>
    <row r="38" spans="1:2" x14ac:dyDescent="0.3">
      <c r="A38" s="5">
        <v>36161</v>
      </c>
      <c r="B38" s="11">
        <v>76.356193542480469</v>
      </c>
    </row>
    <row r="39" spans="1:2" x14ac:dyDescent="0.3">
      <c r="A39" s="5">
        <v>36251</v>
      </c>
      <c r="B39" s="11">
        <v>78.206466674804688</v>
      </c>
    </row>
    <row r="40" spans="1:2" x14ac:dyDescent="0.3">
      <c r="A40" s="5">
        <v>36342</v>
      </c>
      <c r="B40" s="11">
        <v>79.335411071777344</v>
      </c>
    </row>
    <row r="41" spans="1:2" x14ac:dyDescent="0.3">
      <c r="A41" s="5">
        <v>36434</v>
      </c>
      <c r="B41" s="11">
        <v>82.939361572265625</v>
      </c>
    </row>
    <row r="42" spans="1:2" x14ac:dyDescent="0.3">
      <c r="A42" s="5">
        <v>36526</v>
      </c>
      <c r="B42" s="11">
        <v>83.83233642578125</v>
      </c>
    </row>
    <row r="43" spans="1:2" x14ac:dyDescent="0.3">
      <c r="A43" s="5">
        <v>36617</v>
      </c>
      <c r="B43" s="11">
        <v>84.482757568359375</v>
      </c>
    </row>
    <row r="44" spans="1:2" x14ac:dyDescent="0.3">
      <c r="A44" s="5">
        <v>36708</v>
      </c>
      <c r="B44" s="11">
        <v>88.831436157226563</v>
      </c>
    </row>
    <row r="45" spans="1:2" x14ac:dyDescent="0.3">
      <c r="A45" s="5">
        <v>36800</v>
      </c>
      <c r="B45" s="11">
        <v>88.492874145507813</v>
      </c>
    </row>
    <row r="46" spans="1:2" x14ac:dyDescent="0.3">
      <c r="A46" s="5">
        <v>36892</v>
      </c>
      <c r="B46" s="11">
        <v>87.715736389160156</v>
      </c>
    </row>
    <row r="47" spans="1:2" x14ac:dyDescent="0.3">
      <c r="A47" s="5">
        <v>36982</v>
      </c>
      <c r="B47" s="11">
        <v>82.644630432128906</v>
      </c>
    </row>
    <row r="48" spans="1:2" x14ac:dyDescent="0.3">
      <c r="A48" s="5">
        <v>37073</v>
      </c>
      <c r="B48" s="11">
        <v>86.44610595703125</v>
      </c>
    </row>
    <row r="49" spans="1:2" x14ac:dyDescent="0.3">
      <c r="A49" s="5">
        <v>37165</v>
      </c>
      <c r="B49" s="11">
        <v>83.043479919433594</v>
      </c>
    </row>
    <row r="50" spans="1:2" x14ac:dyDescent="0.3">
      <c r="A50" s="5">
        <v>37257</v>
      </c>
      <c r="B50" s="11">
        <v>79.555084228515625</v>
      </c>
    </row>
    <row r="51" spans="1:2" x14ac:dyDescent="0.3">
      <c r="A51" s="5">
        <v>37347</v>
      </c>
      <c r="B51" s="11">
        <v>85.50396728515625</v>
      </c>
    </row>
    <row r="52" spans="1:2" x14ac:dyDescent="0.3">
      <c r="A52" s="5">
        <v>37438</v>
      </c>
      <c r="B52" s="11">
        <v>89.361701965332031</v>
      </c>
    </row>
    <row r="53" spans="1:2" x14ac:dyDescent="0.3">
      <c r="A53" s="5">
        <v>37530</v>
      </c>
      <c r="B53" s="11">
        <v>90.604026794433594</v>
      </c>
    </row>
    <row r="54" spans="1:2" x14ac:dyDescent="0.3">
      <c r="A54" s="5">
        <v>37622</v>
      </c>
      <c r="B54" s="11">
        <v>94.360084533691406</v>
      </c>
    </row>
    <row r="55" spans="1:2" x14ac:dyDescent="0.3">
      <c r="A55" s="5">
        <v>37712</v>
      </c>
      <c r="B55" s="11">
        <v>91.304344177246094</v>
      </c>
    </row>
    <row r="56" spans="1:2" x14ac:dyDescent="0.3">
      <c r="A56" s="5">
        <v>37803</v>
      </c>
      <c r="B56" s="11">
        <v>92.927093505859375</v>
      </c>
    </row>
    <row r="57" spans="1:2" x14ac:dyDescent="0.3">
      <c r="A57" s="5">
        <v>37895</v>
      </c>
      <c r="B57" s="11">
        <v>96.170211791992188</v>
      </c>
    </row>
    <row r="58" spans="1:2" x14ac:dyDescent="0.3">
      <c r="A58" s="5">
        <v>37987</v>
      </c>
      <c r="B58" s="11">
        <v>102.92887115478516</v>
      </c>
    </row>
    <row r="59" spans="1:2" x14ac:dyDescent="0.3">
      <c r="A59" s="5">
        <v>38078</v>
      </c>
      <c r="B59" s="11">
        <v>103.43087768554688</v>
      </c>
    </row>
    <row r="60" spans="1:2" x14ac:dyDescent="0.3">
      <c r="A60" s="5">
        <v>38169</v>
      </c>
      <c r="B60" s="11">
        <v>97.541786193847656</v>
      </c>
    </row>
    <row r="61" spans="1:2" x14ac:dyDescent="0.3">
      <c r="A61" s="5">
        <v>38261</v>
      </c>
      <c r="B61" s="11">
        <v>96.8780517578125</v>
      </c>
    </row>
    <row r="62" spans="1:2" x14ac:dyDescent="0.3">
      <c r="A62" s="5">
        <v>38353</v>
      </c>
      <c r="B62" s="11">
        <v>93.55450439453125</v>
      </c>
    </row>
    <row r="63" spans="1:2" x14ac:dyDescent="0.3">
      <c r="A63" s="5">
        <v>38443</v>
      </c>
      <c r="B63" s="11">
        <v>93.824882507324219</v>
      </c>
    </row>
    <row r="64" spans="1:2" x14ac:dyDescent="0.3">
      <c r="A64" s="5">
        <v>38534</v>
      </c>
      <c r="B64" s="11">
        <v>99.721961975097656</v>
      </c>
    </row>
    <row r="65" spans="1:2" x14ac:dyDescent="0.3">
      <c r="A65" s="5">
        <v>38626</v>
      </c>
      <c r="B65" s="11">
        <v>100.91827392578125</v>
      </c>
    </row>
    <row r="66" spans="1:2" x14ac:dyDescent="0.3">
      <c r="A66" s="5">
        <v>38718</v>
      </c>
      <c r="B66" s="11">
        <v>99.820144653320313</v>
      </c>
    </row>
    <row r="67" spans="1:2" x14ac:dyDescent="0.3">
      <c r="A67" s="5">
        <v>38808</v>
      </c>
      <c r="B67" s="11">
        <v>100.17745971679688</v>
      </c>
    </row>
    <row r="68" spans="1:2" x14ac:dyDescent="0.3">
      <c r="A68" s="5">
        <v>38899</v>
      </c>
      <c r="B68" s="11">
        <v>101.56114196777344</v>
      </c>
    </row>
    <row r="69" spans="1:2" x14ac:dyDescent="0.3">
      <c r="A69" s="5">
        <v>38991</v>
      </c>
      <c r="B69" s="11">
        <v>103.81613159179688</v>
      </c>
    </row>
    <row r="70" spans="1:2" x14ac:dyDescent="0.3">
      <c r="A70" s="5">
        <v>39083</v>
      </c>
      <c r="B70" s="11">
        <v>106.62650299072266</v>
      </c>
    </row>
    <row r="71" spans="1:2" x14ac:dyDescent="0.3">
      <c r="A71" s="5">
        <v>39173</v>
      </c>
      <c r="B71" s="11">
        <v>102.835693359375</v>
      </c>
    </row>
    <row r="72" spans="1:2" x14ac:dyDescent="0.3">
      <c r="A72" s="5">
        <v>39264</v>
      </c>
      <c r="B72" s="11">
        <v>102.38853454589844</v>
      </c>
    </row>
    <row r="73" spans="1:2" x14ac:dyDescent="0.3">
      <c r="A73" s="5">
        <v>39356</v>
      </c>
      <c r="B73" s="11">
        <v>117.78496551513672</v>
      </c>
    </row>
    <row r="74" spans="1:2" x14ac:dyDescent="0.3">
      <c r="A74" s="5">
        <v>39448</v>
      </c>
      <c r="B74" s="11">
        <v>131.07255554199219</v>
      </c>
    </row>
    <row r="75" spans="1:2" x14ac:dyDescent="0.3">
      <c r="A75" s="5">
        <v>39539</v>
      </c>
      <c r="B75" s="11">
        <v>117.26567840576172</v>
      </c>
    </row>
    <row r="76" spans="1:2" x14ac:dyDescent="0.3">
      <c r="A76" s="5">
        <v>39630</v>
      </c>
      <c r="B76" s="11">
        <v>119.04436492919922</v>
      </c>
    </row>
    <row r="77" spans="1:2" x14ac:dyDescent="0.3">
      <c r="A77" s="5">
        <v>39722</v>
      </c>
      <c r="B77" s="11">
        <v>115.54207611083984</v>
      </c>
    </row>
    <row r="78" spans="1:2" x14ac:dyDescent="0.3">
      <c r="A78" s="5">
        <v>39814</v>
      </c>
      <c r="B78" s="11">
        <v>115.24440765380859</v>
      </c>
    </row>
    <row r="79" spans="1:2" x14ac:dyDescent="0.3">
      <c r="A79" s="5">
        <v>39904</v>
      </c>
      <c r="B79" s="11">
        <v>118.30756378173828</v>
      </c>
    </row>
    <row r="80" spans="1:2" x14ac:dyDescent="0.3">
      <c r="A80" s="5">
        <v>39995</v>
      </c>
      <c r="B80" s="11">
        <v>123.33607482910156</v>
      </c>
    </row>
    <row r="81" spans="1:2" x14ac:dyDescent="0.3">
      <c r="A81" s="5">
        <v>40087</v>
      </c>
      <c r="B81" s="11">
        <v>129.08633422851563</v>
      </c>
    </row>
    <row r="82" spans="1:2" x14ac:dyDescent="0.3">
      <c r="A82" s="5">
        <v>40179</v>
      </c>
      <c r="B82" s="11">
        <v>129.22099304199219</v>
      </c>
    </row>
    <row r="83" spans="1:2" x14ac:dyDescent="0.3">
      <c r="A83" s="5">
        <v>40269</v>
      </c>
      <c r="B83" s="11">
        <v>116.7222900390625</v>
      </c>
    </row>
    <row r="84" spans="1:2" x14ac:dyDescent="0.3">
      <c r="A84" s="5">
        <v>40360</v>
      </c>
      <c r="B84" s="11">
        <v>122.15208435058594</v>
      </c>
    </row>
    <row r="85" spans="1:2" x14ac:dyDescent="0.3">
      <c r="A85" s="5">
        <v>40452</v>
      </c>
      <c r="B85" s="11">
        <v>135.25946044921875</v>
      </c>
    </row>
    <row r="86" spans="1:2" x14ac:dyDescent="0.3">
      <c r="A86" s="5">
        <v>40544</v>
      </c>
      <c r="B86" s="11">
        <v>140.15420532226563</v>
      </c>
    </row>
    <row r="87" spans="1:2" x14ac:dyDescent="0.3">
      <c r="A87" s="5">
        <v>40634</v>
      </c>
      <c r="B87" s="11">
        <v>134.537841796875</v>
      </c>
    </row>
    <row r="88" spans="1:2" x14ac:dyDescent="0.3">
      <c r="A88" s="5">
        <v>40725</v>
      </c>
      <c r="B88" s="11">
        <v>137.34945678710938</v>
      </c>
    </row>
    <row r="89" spans="1:2" x14ac:dyDescent="0.3">
      <c r="A89" s="5">
        <v>40817</v>
      </c>
      <c r="B89" s="11">
        <v>143.41786193847656</v>
      </c>
    </row>
    <row r="90" spans="1:2" x14ac:dyDescent="0.3">
      <c r="A90" s="5">
        <v>40909</v>
      </c>
      <c r="B90" s="11">
        <v>145.60697937011719</v>
      </c>
    </row>
    <row r="91" spans="1:2" x14ac:dyDescent="0.3">
      <c r="A91" s="5">
        <v>41000</v>
      </c>
      <c r="B91" s="11">
        <v>134.10629272460938</v>
      </c>
    </row>
    <row r="92" spans="1:2" x14ac:dyDescent="0.3">
      <c r="A92" s="5">
        <v>41091</v>
      </c>
      <c r="B92" s="11">
        <v>147.82197570800781</v>
      </c>
    </row>
    <row r="93" spans="1:2" x14ac:dyDescent="0.3">
      <c r="A93" s="5">
        <v>41183</v>
      </c>
      <c r="B93" s="11">
        <v>151.33447265625</v>
      </c>
    </row>
    <row r="94" spans="1:2" x14ac:dyDescent="0.3">
      <c r="A94" s="5">
        <v>41275</v>
      </c>
      <c r="B94" s="11">
        <v>141.08921813964844</v>
      </c>
    </row>
    <row r="95" spans="1:2" x14ac:dyDescent="0.3">
      <c r="A95" s="5">
        <v>41365</v>
      </c>
      <c r="B95" s="11">
        <v>131.40655517578125</v>
      </c>
    </row>
    <row r="96" spans="1:2" x14ac:dyDescent="0.3">
      <c r="A96" s="5">
        <v>41456</v>
      </c>
      <c r="B96" s="11">
        <v>135.25404357910156</v>
      </c>
    </row>
    <row r="97" spans="1:2" x14ac:dyDescent="0.3">
      <c r="A97" s="5">
        <v>41548</v>
      </c>
      <c r="B97" s="11">
        <v>133.63754272460938</v>
      </c>
    </row>
    <row r="98" spans="1:2" x14ac:dyDescent="0.3">
      <c r="A98" s="5">
        <v>41640</v>
      </c>
      <c r="B98" s="11">
        <v>134.48710632324219</v>
      </c>
    </row>
    <row r="99" spans="1:2" x14ac:dyDescent="0.3">
      <c r="A99" s="5">
        <v>41730</v>
      </c>
      <c r="B99" s="11">
        <v>135.98773193359375</v>
      </c>
    </row>
    <row r="100" spans="1:2" x14ac:dyDescent="0.3">
      <c r="A100" s="5">
        <v>41821</v>
      </c>
      <c r="B100" s="11">
        <v>131.86689758300781</v>
      </c>
    </row>
    <row r="101" spans="1:2" x14ac:dyDescent="0.3">
      <c r="A101" s="5">
        <v>41913</v>
      </c>
      <c r="B101" s="11">
        <v>127.26057434082031</v>
      </c>
    </row>
    <row r="102" spans="1:2" x14ac:dyDescent="0.3">
      <c r="A102" s="5">
        <v>42005</v>
      </c>
      <c r="B102" s="11">
        <v>129.24493408203125</v>
      </c>
    </row>
    <row r="103" spans="1:2" x14ac:dyDescent="0.3">
      <c r="A103" s="5">
        <v>42095</v>
      </c>
      <c r="B103" s="11">
        <v>121.73967742919922</v>
      </c>
    </row>
    <row r="104" spans="1:2" x14ac:dyDescent="0.3">
      <c r="A104" s="5">
        <v>42186</v>
      </c>
      <c r="B104" s="11">
        <v>126.10747528076172</v>
      </c>
    </row>
    <row r="105" spans="1:2" x14ac:dyDescent="0.3">
      <c r="A105" s="5">
        <v>42278</v>
      </c>
      <c r="B105" s="11">
        <v>129.0491943359375</v>
      </c>
    </row>
    <row r="106" spans="1:2" x14ac:dyDescent="0.3">
      <c r="A106" s="5">
        <v>42370</v>
      </c>
      <c r="B106" s="11">
        <v>128.64816284179688</v>
      </c>
    </row>
    <row r="107" spans="1:2" x14ac:dyDescent="0.3">
      <c r="A107" s="5">
        <v>42461</v>
      </c>
      <c r="B107" s="11">
        <v>133.12217712402344</v>
      </c>
    </row>
    <row r="108" spans="1:2" x14ac:dyDescent="0.3">
      <c r="A108" s="5">
        <v>42552</v>
      </c>
      <c r="B108" s="11">
        <v>139.55157470703125</v>
      </c>
    </row>
    <row r="109" spans="1:2" x14ac:dyDescent="0.3">
      <c r="A109" s="5">
        <v>42644</v>
      </c>
      <c r="B109" s="11">
        <v>135.1016845703125</v>
      </c>
    </row>
    <row r="110" spans="1:2" x14ac:dyDescent="0.3">
      <c r="A110" s="5">
        <v>42736</v>
      </c>
      <c r="B110" s="11">
        <v>130.49827575683594</v>
      </c>
    </row>
    <row r="111" spans="1:2" x14ac:dyDescent="0.3">
      <c r="A111" s="5">
        <v>42826</v>
      </c>
      <c r="B111" s="11">
        <v>126.98412322998047</v>
      </c>
    </row>
    <row r="112" spans="1:2" x14ac:dyDescent="0.3">
      <c r="A112" s="5">
        <v>42917</v>
      </c>
      <c r="B112" s="11">
        <v>128.04460144042969</v>
      </c>
    </row>
    <row r="113" spans="1:2" x14ac:dyDescent="0.3">
      <c r="A113" s="5">
        <v>43009</v>
      </c>
      <c r="B113" s="11">
        <v>135.63319396972656</v>
      </c>
    </row>
    <row r="114" spans="1:2" x14ac:dyDescent="0.3">
      <c r="A114" s="5">
        <v>43101</v>
      </c>
      <c r="B114" s="11">
        <v>143.38121032714844</v>
      </c>
    </row>
    <row r="115" spans="1:2" x14ac:dyDescent="0.3">
      <c r="A115" s="5">
        <v>43191</v>
      </c>
      <c r="B115" s="11">
        <v>149.79283142089844</v>
      </c>
    </row>
    <row r="116" spans="1:2" x14ac:dyDescent="0.3">
      <c r="A116" s="5">
        <v>43282</v>
      </c>
      <c r="B116" s="11">
        <v>138.09921264648438</v>
      </c>
    </row>
    <row r="117" spans="1:2" x14ac:dyDescent="0.3">
      <c r="A117" s="5">
        <v>43374</v>
      </c>
      <c r="B117" s="11">
        <v>128.23284912109375</v>
      </c>
    </row>
    <row r="118" spans="1:2" x14ac:dyDescent="0.3">
      <c r="A118" s="5">
        <v>43466</v>
      </c>
      <c r="B118" s="11">
        <v>129.07499694824219</v>
      </c>
    </row>
    <row r="119" spans="1:2" x14ac:dyDescent="0.3">
      <c r="A119" s="5">
        <v>43556</v>
      </c>
      <c r="B119" s="11">
        <v>129.39398193359375</v>
      </c>
    </row>
    <row r="120" spans="1:2" x14ac:dyDescent="0.3">
      <c r="A120" s="5">
        <v>43647</v>
      </c>
      <c r="B120" s="11">
        <v>130.95008850097656</v>
      </c>
    </row>
    <row r="121" spans="1:2" x14ac:dyDescent="0.3">
      <c r="A121" s="5">
        <v>43739</v>
      </c>
      <c r="B121" s="11">
        <v>133.49383544921875</v>
      </c>
    </row>
    <row r="122" spans="1:2" x14ac:dyDescent="0.3">
      <c r="A122" s="5">
        <v>43831</v>
      </c>
      <c r="B122" s="11">
        <v>131.48265075683594</v>
      </c>
    </row>
    <row r="123" spans="1:2" x14ac:dyDescent="0.3">
      <c r="A123" s="5">
        <v>43922</v>
      </c>
      <c r="B123" s="11">
        <v>125.66256713867188</v>
      </c>
    </row>
    <row r="124" spans="1:2" x14ac:dyDescent="0.3">
      <c r="A124" s="5">
        <v>44013</v>
      </c>
      <c r="B124" s="11">
        <v>131.18815612792969</v>
      </c>
    </row>
    <row r="125" spans="1:2" x14ac:dyDescent="0.3">
      <c r="A125" s="5">
        <v>44105</v>
      </c>
      <c r="B125" s="11">
        <v>137.42842102050781</v>
      </c>
    </row>
    <row r="126" spans="1:2" x14ac:dyDescent="0.3">
      <c r="A126" s="5">
        <v>44197</v>
      </c>
      <c r="B126" s="11">
        <v>146.98234558105469</v>
      </c>
    </row>
    <row r="127" spans="1:2" x14ac:dyDescent="0.3">
      <c r="A127" s="5">
        <v>44287</v>
      </c>
      <c r="B127" s="11">
        <v>143.69888305664063</v>
      </c>
    </row>
    <row r="128" spans="1:2" x14ac:dyDescent="0.3">
      <c r="A128" s="5">
        <v>44378</v>
      </c>
      <c r="B128" s="11">
        <v>141.36593627929688</v>
      </c>
    </row>
    <row r="129" spans="1:2" x14ac:dyDescent="0.3">
      <c r="A129" s="5">
        <v>44470</v>
      </c>
      <c r="B129" s="11">
        <v>144.24594116210938</v>
      </c>
    </row>
    <row r="130" spans="1:2" x14ac:dyDescent="0.3">
      <c r="A130" s="5">
        <v>44562</v>
      </c>
      <c r="B130" s="11">
        <v>152.27784729003906</v>
      </c>
    </row>
    <row r="131" spans="1:2" x14ac:dyDescent="0.3">
      <c r="A131" s="5">
        <v>44652</v>
      </c>
      <c r="B131" s="11">
        <v>139.29850769042969</v>
      </c>
    </row>
    <row r="132" spans="1:2" x14ac:dyDescent="0.3">
      <c r="A132" s="5">
        <v>44743</v>
      </c>
      <c r="B132" s="11">
        <v>132.87445068359375</v>
      </c>
    </row>
    <row r="133" spans="1:2" x14ac:dyDescent="0.3">
      <c r="A133" s="5">
        <v>44835</v>
      </c>
      <c r="B133" s="11">
        <v>151.86802673339844</v>
      </c>
    </row>
    <row r="134" spans="1:2" x14ac:dyDescent="0.3">
      <c r="A134" s="5">
        <v>44927</v>
      </c>
      <c r="B134" s="11">
        <v>142.5396728515625</v>
      </c>
    </row>
    <row r="135" spans="1:2" x14ac:dyDescent="0.3">
      <c r="A135" s="5">
        <v>45017</v>
      </c>
      <c r="B135" s="11">
        <v>132.55703735351563</v>
      </c>
    </row>
    <row r="136" spans="1:2" x14ac:dyDescent="0.3">
      <c r="A136" s="5">
        <v>45108</v>
      </c>
      <c r="B136" s="11">
        <v>136.84889221191406</v>
      </c>
    </row>
    <row r="137" spans="1:2" x14ac:dyDescent="0.3">
      <c r="A137" s="5">
        <v>45200</v>
      </c>
      <c r="B137" s="11">
        <v>140.34214782714844</v>
      </c>
    </row>
    <row r="138" spans="1:2" x14ac:dyDescent="0.3">
      <c r="A138" s="5">
        <v>45292</v>
      </c>
      <c r="B138" s="11">
        <v>138.38897705078125</v>
      </c>
    </row>
    <row r="139" spans="1:2" x14ac:dyDescent="0.3">
      <c r="A139" s="5">
        <v>45383</v>
      </c>
      <c r="B139" s="11">
        <v>129.70094299316406</v>
      </c>
    </row>
    <row r="140" spans="1:2" x14ac:dyDescent="0.3">
      <c r="A140" s="5">
        <v>45474</v>
      </c>
      <c r="B140" s="11">
        <v>131.3040771484375</v>
      </c>
    </row>
    <row r="141" spans="1:2" x14ac:dyDescent="0.3">
      <c r="A141" s="5">
        <v>45566</v>
      </c>
      <c r="B141" s="11">
        <v>142.11552429199219</v>
      </c>
    </row>
    <row r="142" spans="1:2" x14ac:dyDescent="0.3">
      <c r="A142" s="5">
        <v>45658</v>
      </c>
      <c r="B142" s="11">
        <v>148.15101623535156</v>
      </c>
    </row>
    <row r="143" spans="1:2" x14ac:dyDescent="0.3">
      <c r="A143" s="5">
        <v>45748</v>
      </c>
      <c r="B143" s="11">
        <v>138.16546630859375</v>
      </c>
    </row>
    <row r="144" spans="1:2" x14ac:dyDescent="0.3">
      <c r="A144" s="5">
        <v>45839</v>
      </c>
      <c r="B144" s="11">
        <v>138.03994750976563</v>
      </c>
    </row>
    <row r="145" spans="1:2" x14ac:dyDescent="0.3">
      <c r="A145" s="5">
        <v>45931</v>
      </c>
      <c r="B145" s="11">
        <v>140.67915344238281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"/>
  <sheetViews>
    <sheetView tabSelected="1" workbookViewId="0"/>
  </sheetViews>
  <sheetFormatPr baseColWidth="10" defaultRowHeight="14.4" x14ac:dyDescent="0.3"/>
  <sheetData>
    <row r="1" spans="1:11" x14ac:dyDescent="0.3">
      <c r="A1" s="7" t="s">
        <v>10</v>
      </c>
      <c r="B1" s="7" t="s">
        <v>4063</v>
      </c>
      <c r="C1" s="7" t="s">
        <v>4064</v>
      </c>
      <c r="D1" s="7" t="s">
        <v>4065</v>
      </c>
      <c r="E1" s="7" t="s">
        <v>4066</v>
      </c>
      <c r="F1" s="7" t="s">
        <v>4067</v>
      </c>
      <c r="G1" s="7" t="s">
        <v>4068</v>
      </c>
      <c r="H1" s="7" t="s">
        <v>4069</v>
      </c>
      <c r="I1" s="7" t="s">
        <v>4070</v>
      </c>
      <c r="J1" s="7" t="s">
        <v>4071</v>
      </c>
      <c r="K1" s="7" t="s">
        <v>4072</v>
      </c>
    </row>
    <row r="2" spans="1:11" x14ac:dyDescent="0.3">
      <c r="A2" s="7" t="s">
        <v>4022</v>
      </c>
      <c r="B2" s="11">
        <v>2238.071533203125</v>
      </c>
      <c r="C2" s="11">
        <v>6.7250180244445801</v>
      </c>
      <c r="D2" s="11">
        <v>-25.250213623046875</v>
      </c>
      <c r="E2" s="11">
        <v>-2.6315500736236572</v>
      </c>
      <c r="F2" s="11">
        <v>1072.5721435546875</v>
      </c>
      <c r="G2" s="11">
        <v>286.14654541015625</v>
      </c>
      <c r="H2" s="11">
        <v>900.34539794921875</v>
      </c>
      <c r="I2" s="11">
        <v>-0.48638483881950378</v>
      </c>
      <c r="J2" s="11">
        <v>38.449726104736328</v>
      </c>
      <c r="K2" s="11">
        <v>-51.145275115966797</v>
      </c>
    </row>
    <row r="3" spans="1:11" x14ac:dyDescent="0.3">
      <c r="A3" s="7" t="s">
        <v>4023</v>
      </c>
      <c r="B3" s="11">
        <v>1214.205810546875</v>
      </c>
      <c r="C3" s="11">
        <v>12.865131378173828</v>
      </c>
      <c r="D3" s="11">
        <v>14.220999717712402</v>
      </c>
      <c r="E3" s="11">
        <v>2.3956717923283577E-2</v>
      </c>
      <c r="F3" s="11">
        <v>-306.17037963867188</v>
      </c>
      <c r="G3" s="11">
        <v>948.56683349609375</v>
      </c>
      <c r="H3" s="11">
        <v>288.94674682617188</v>
      </c>
      <c r="I3" s="11">
        <v>-1.5720487833023071</v>
      </c>
      <c r="J3" s="11">
        <v>-13.193440437316895</v>
      </c>
      <c r="K3" s="11">
        <v>-19.166757583618164</v>
      </c>
    </row>
    <row r="4" spans="1:11" x14ac:dyDescent="0.3">
      <c r="A4" s="7" t="s">
        <v>4024</v>
      </c>
      <c r="B4" s="11">
        <v>2386.55908203125</v>
      </c>
      <c r="C4" s="11">
        <v>42.850666046142578</v>
      </c>
      <c r="D4" s="11">
        <v>2.4711589813232422</v>
      </c>
      <c r="E4" s="11">
        <v>0.16315238177776337</v>
      </c>
      <c r="F4" s="11">
        <v>916.8387451171875</v>
      </c>
      <c r="G4" s="11">
        <v>129.66163635253906</v>
      </c>
      <c r="H4" s="11">
        <v>647.0853271484375</v>
      </c>
      <c r="I4" s="11">
        <v>-1.7556999921798706</v>
      </c>
      <c r="J4" s="11">
        <v>3.6130189895629883</v>
      </c>
      <c r="K4" s="11">
        <v>-28.880973815917969</v>
      </c>
    </row>
    <row r="5" spans="1:11" x14ac:dyDescent="0.3">
      <c r="A5" s="7" t="s">
        <v>4025</v>
      </c>
      <c r="B5" s="11">
        <v>403.43411254882813</v>
      </c>
      <c r="C5" s="11">
        <v>-37.902141571044922</v>
      </c>
      <c r="D5" s="11">
        <v>-35.060321807861328</v>
      </c>
      <c r="E5" s="11">
        <v>0.2195049524307251</v>
      </c>
      <c r="F5" s="11">
        <v>-529.40179443359375</v>
      </c>
      <c r="G5" s="11">
        <v>161.7611083984375</v>
      </c>
      <c r="H5" s="11">
        <v>100.4696044921875</v>
      </c>
      <c r="I5" s="11">
        <v>-1.7416719198226929</v>
      </c>
      <c r="J5" s="11">
        <v>-86.358299255371094</v>
      </c>
      <c r="K5" s="11">
        <v>-39.130496978759766</v>
      </c>
    </row>
    <row r="6" spans="1:11" x14ac:dyDescent="0.3">
      <c r="A6" s="7" t="s">
        <v>4026</v>
      </c>
      <c r="B6" s="11">
        <v>2890.3466796875</v>
      </c>
      <c r="C6" s="11">
        <v>47.945316314697266</v>
      </c>
      <c r="D6" s="11">
        <v>24.368278503417969</v>
      </c>
      <c r="E6" s="11">
        <v>-1.0824202327057719E-3</v>
      </c>
      <c r="F6" s="11">
        <v>829.98681640625</v>
      </c>
      <c r="G6" s="11">
        <v>574.240478515625</v>
      </c>
      <c r="H6" s="11">
        <v>732.3260498046875</v>
      </c>
      <c r="I6" s="11">
        <v>0.95999938249588013</v>
      </c>
      <c r="J6" s="11">
        <v>4.7088103294372559</v>
      </c>
      <c r="K6" s="11">
        <v>27.630388259887695</v>
      </c>
    </row>
    <row r="7" spans="1:11" x14ac:dyDescent="0.3">
      <c r="A7" s="7" t="s">
        <v>4027</v>
      </c>
      <c r="B7" s="11">
        <v>788.13861083984375</v>
      </c>
      <c r="C7" s="11">
        <v>56.895351409912109</v>
      </c>
      <c r="D7" s="11">
        <v>31.102561950683594</v>
      </c>
      <c r="E7" s="11">
        <v>0.20727773010730743</v>
      </c>
      <c r="F7" s="11">
        <v>-53.46826171875</v>
      </c>
      <c r="G7" s="11">
        <v>698.73675537109375</v>
      </c>
      <c r="H7" s="11">
        <v>179.46075439453125</v>
      </c>
      <c r="I7" s="11">
        <v>1.7959375381469727</v>
      </c>
      <c r="J7" s="11">
        <v>3.4532811641693115</v>
      </c>
      <c r="K7" s="11">
        <v>-249.50529479980469</v>
      </c>
    </row>
    <row r="8" spans="1:11" x14ac:dyDescent="0.3">
      <c r="A8" s="7" t="s">
        <v>4028</v>
      </c>
      <c r="B8" s="11">
        <v>2267.24365234375</v>
      </c>
      <c r="C8" s="11">
        <v>48.922210693359375</v>
      </c>
      <c r="D8" s="11">
        <v>29.307226181030273</v>
      </c>
      <c r="E8" s="11">
        <v>0.11209554225206375</v>
      </c>
      <c r="F8" s="11">
        <v>920.78167724609375</v>
      </c>
      <c r="G8" s="11">
        <v>887.00811767578125</v>
      </c>
      <c r="H8" s="11">
        <v>35.320159912109375</v>
      </c>
      <c r="I8" s="11">
        <v>0.98872572183609009</v>
      </c>
      <c r="J8" s="11">
        <v>3.2966713905334473</v>
      </c>
      <c r="K8" s="11">
        <v>-92.651992797851563</v>
      </c>
    </row>
    <row r="9" spans="1:11" x14ac:dyDescent="0.3">
      <c r="A9" s="7" t="s">
        <v>4029</v>
      </c>
      <c r="B9" s="11">
        <v>988.22979736328125</v>
      </c>
      <c r="C9" s="11">
        <v>124.83290863037109</v>
      </c>
      <c r="D9" s="11">
        <v>68.671974182128906</v>
      </c>
      <c r="E9" s="11">
        <v>3.3551312983036041E-2</v>
      </c>
      <c r="F9" s="11">
        <v>-49.497344970703125</v>
      </c>
      <c r="G9" s="11">
        <v>500.07437133789063</v>
      </c>
      <c r="H9" s="11">
        <v>305.62295532226563</v>
      </c>
      <c r="I9" s="11">
        <v>2.7511773109436035</v>
      </c>
      <c r="J9" s="11">
        <v>2.5955555438995361</v>
      </c>
      <c r="K9" s="11">
        <v>104.43704986572266</v>
      </c>
    </row>
    <row r="10" spans="1:11" x14ac:dyDescent="0.3">
      <c r="A10" s="7" t="s">
        <v>4030</v>
      </c>
      <c r="B10" s="11">
        <v>1236.516357421875</v>
      </c>
      <c r="C10" s="11">
        <v>70.792182922363281</v>
      </c>
      <c r="D10" s="11">
        <v>1.6292017698287964</v>
      </c>
      <c r="E10" s="11">
        <v>8.9559845626354218E-2</v>
      </c>
      <c r="F10" s="11">
        <v>-174.19442749023438</v>
      </c>
      <c r="G10" s="11">
        <v>387.78213500976563</v>
      </c>
      <c r="H10" s="11">
        <v>139.28857421875</v>
      </c>
      <c r="I10" s="11">
        <v>1.0530521869659424</v>
      </c>
      <c r="J10" s="11">
        <v>4.8024649620056152</v>
      </c>
      <c r="K10" s="11">
        <v>68.423919677734375</v>
      </c>
    </row>
    <row r="11" spans="1:11" x14ac:dyDescent="0.3">
      <c r="A11" s="7" t="s">
        <v>4031</v>
      </c>
      <c r="B11" s="11">
        <v>2480.21728515625</v>
      </c>
      <c r="C11" s="11">
        <v>83.016571044921875</v>
      </c>
      <c r="D11" s="11">
        <v>1.702553391456604</v>
      </c>
      <c r="E11" s="11">
        <v>0.1712462306022644</v>
      </c>
      <c r="F11" s="11">
        <v>805.68572998046875</v>
      </c>
      <c r="G11" s="11">
        <v>334.11184692382813</v>
      </c>
      <c r="H11" s="11">
        <v>199.11497497558594</v>
      </c>
      <c r="I11" s="11">
        <v>1.7812987565994263</v>
      </c>
      <c r="J11" s="11">
        <v>5.0894651412963867</v>
      </c>
      <c r="K11" s="11">
        <v>-96.454261779785156</v>
      </c>
    </row>
    <row r="12" spans="1:11" x14ac:dyDescent="0.3">
      <c r="A12" s="7" t="s">
        <v>4032</v>
      </c>
      <c r="B12" s="11">
        <v>1993.0052490234375</v>
      </c>
      <c r="C12" s="11">
        <v>99.266319274902344</v>
      </c>
      <c r="D12" s="11">
        <v>48.008098602294922</v>
      </c>
      <c r="E12" s="11">
        <v>0.66522353887557983</v>
      </c>
      <c r="F12" s="11">
        <v>257.63290405273438</v>
      </c>
      <c r="G12" s="11">
        <v>1074.63134765625</v>
      </c>
      <c r="H12" s="11">
        <v>-224.74662780761719</v>
      </c>
      <c r="I12" s="11">
        <v>5.1419072151184082</v>
      </c>
      <c r="J12" s="11">
        <v>6.7390995025634766</v>
      </c>
      <c r="K12" s="11">
        <v>82.284278869628906</v>
      </c>
    </row>
    <row r="13" spans="1:11" x14ac:dyDescent="0.3">
      <c r="A13" s="7" t="s">
        <v>4033</v>
      </c>
      <c r="B13" s="11">
        <v>2574.388671875</v>
      </c>
      <c r="C13" s="11">
        <v>50.382179260253906</v>
      </c>
      <c r="D13" s="11">
        <v>56.426837921142578</v>
      </c>
      <c r="E13" s="11">
        <v>-0.15650466084480286</v>
      </c>
      <c r="F13" s="11">
        <v>935.292236328125</v>
      </c>
      <c r="G13" s="11">
        <v>944.90972900390625</v>
      </c>
      <c r="H13" s="11">
        <v>295.03564453125</v>
      </c>
      <c r="I13" s="11">
        <v>-0.1088557094335556</v>
      </c>
      <c r="J13" s="11">
        <v>4.2616696357727051</v>
      </c>
      <c r="K13" s="11">
        <v>55.615325927734375</v>
      </c>
    </row>
    <row r="14" spans="1:11" x14ac:dyDescent="0.3">
      <c r="A14" s="7" t="s">
        <v>4034</v>
      </c>
      <c r="B14" s="11">
        <v>3924.42431640625</v>
      </c>
      <c r="C14" s="11">
        <v>234.84710693359375</v>
      </c>
      <c r="D14" s="11">
        <v>47.722057342529297</v>
      </c>
      <c r="E14" s="11">
        <v>-7.4773684144020081E-2</v>
      </c>
      <c r="F14" s="11">
        <v>-142.17546081542969</v>
      </c>
      <c r="G14" s="11">
        <v>2241.58837890625</v>
      </c>
      <c r="H14" s="11">
        <v>366.58456420898438</v>
      </c>
      <c r="I14" s="11">
        <v>7.4521243572235107E-2</v>
      </c>
      <c r="J14" s="11">
        <v>11.582524299621582</v>
      </c>
      <c r="K14" s="11">
        <v>-24.725000381469727</v>
      </c>
    </row>
    <row r="15" spans="1:11" x14ac:dyDescent="0.3">
      <c r="A15" s="7" t="s">
        <v>4035</v>
      </c>
      <c r="B15" s="11">
        <v>3162.115966796875</v>
      </c>
      <c r="C15" s="11">
        <v>46.203948974609375</v>
      </c>
      <c r="D15" s="11">
        <v>84.417755126953125</v>
      </c>
      <c r="E15" s="11">
        <v>-0.23170749843120575</v>
      </c>
      <c r="F15" s="11">
        <v>-41.505615234375</v>
      </c>
      <c r="G15" s="11">
        <v>1817.9658203125</v>
      </c>
      <c r="H15" s="11">
        <v>340.52069091796875</v>
      </c>
      <c r="I15" s="11">
        <v>5.8109884262084961</v>
      </c>
      <c r="J15" s="11">
        <v>4.252509593963623</v>
      </c>
      <c r="K15" s="11">
        <v>25.990943908691406</v>
      </c>
    </row>
    <row r="16" spans="1:11" x14ac:dyDescent="0.3">
      <c r="A16" s="7" t="s">
        <v>4036</v>
      </c>
      <c r="B16" s="11">
        <v>4782.66357421875</v>
      </c>
      <c r="C16" s="11">
        <v>143.40786743164063</v>
      </c>
      <c r="D16" s="11">
        <v>76.50537109375</v>
      </c>
      <c r="E16" s="11">
        <v>-2.0203518215566874E-3</v>
      </c>
      <c r="F16" s="11">
        <v>1273.1890869140625</v>
      </c>
      <c r="G16" s="11">
        <v>1722.10498046875</v>
      </c>
      <c r="H16" s="11">
        <v>178.03813171386719</v>
      </c>
      <c r="I16" s="11">
        <v>5.117821216583252</v>
      </c>
      <c r="J16" s="11">
        <v>3.9121582508087158</v>
      </c>
      <c r="K16" s="11">
        <v>-45.848194122314453</v>
      </c>
    </row>
    <row r="17" spans="1:11" x14ac:dyDescent="0.3">
      <c r="A17" s="7" t="s">
        <v>4037</v>
      </c>
      <c r="B17" s="11">
        <v>269.85092163085938</v>
      </c>
      <c r="C17" s="11">
        <v>40.395233154296875</v>
      </c>
      <c r="D17" s="11">
        <v>92.015403747558594</v>
      </c>
      <c r="E17" s="11">
        <v>-1.7163403332233429E-2</v>
      </c>
      <c r="F17" s="11">
        <v>-17.719308853149414</v>
      </c>
      <c r="G17" s="11">
        <v>-304.7569580078125</v>
      </c>
      <c r="H17" s="11">
        <v>163.26278686523438</v>
      </c>
      <c r="I17" s="11">
        <v>1.5909775495529175</v>
      </c>
      <c r="J17" s="11">
        <v>-2.2672321796417236</v>
      </c>
      <c r="K17" s="11">
        <v>-70.851081848144531</v>
      </c>
    </row>
    <row r="18" spans="1:11" x14ac:dyDescent="0.3">
      <c r="A18" s="7" t="s">
        <v>4038</v>
      </c>
      <c r="B18" s="11">
        <v>1118.8265380859375</v>
      </c>
      <c r="C18" s="11">
        <v>4.8329744338989258</v>
      </c>
      <c r="D18" s="11">
        <v>16.766494750976563</v>
      </c>
      <c r="E18" s="11">
        <v>0.23901869356632233</v>
      </c>
      <c r="F18" s="11">
        <v>804.87420654296875</v>
      </c>
      <c r="G18" s="11">
        <v>-313.3800048828125</v>
      </c>
      <c r="H18" s="11">
        <v>44.674701690673828</v>
      </c>
      <c r="I18" s="11">
        <v>3.8059887886047363</v>
      </c>
      <c r="J18" s="11">
        <v>0.46485847234725952</v>
      </c>
      <c r="K18" s="11">
        <v>7.6187481880187988</v>
      </c>
    </row>
    <row r="19" spans="1:11" x14ac:dyDescent="0.3">
      <c r="A19" s="7" t="s">
        <v>4039</v>
      </c>
      <c r="B19" s="11">
        <v>71.574638366699219</v>
      </c>
      <c r="C19" s="11">
        <v>8.2711648941040039</v>
      </c>
      <c r="D19" s="11">
        <v>88.357048034667969</v>
      </c>
      <c r="E19" s="11">
        <v>-1.587761752307415E-2</v>
      </c>
      <c r="F19" s="11">
        <v>-413.60479736328125</v>
      </c>
      <c r="G19" s="11">
        <v>-49.456741333007813</v>
      </c>
      <c r="H19" s="11">
        <v>169.71699523925781</v>
      </c>
      <c r="I19" s="11">
        <v>1.8359172344207764</v>
      </c>
      <c r="J19" s="11">
        <v>-0.11588117480278015</v>
      </c>
      <c r="K19" s="11">
        <v>-2.9659841060638428</v>
      </c>
    </row>
    <row r="20" spans="1:11" x14ac:dyDescent="0.3">
      <c r="A20" s="7" t="s">
        <v>4040</v>
      </c>
      <c r="B20" s="11">
        <v>1363.2808837890625</v>
      </c>
      <c r="C20" s="11">
        <v>22.53734016418457</v>
      </c>
      <c r="D20" s="11">
        <v>52.703754425048828</v>
      </c>
      <c r="E20" s="11">
        <v>-0.2834668755531311</v>
      </c>
      <c r="F20" s="11">
        <v>458.9007568359375</v>
      </c>
      <c r="G20" s="11">
        <v>64.396514892578125</v>
      </c>
      <c r="H20" s="11">
        <v>236.82057189941406</v>
      </c>
      <c r="I20" s="11">
        <v>8.0908002853393555</v>
      </c>
      <c r="J20" s="11">
        <v>-1.2668051719665527</v>
      </c>
      <c r="K20" s="11">
        <v>5.2815742492675781</v>
      </c>
    </row>
    <row r="21" spans="1:11" x14ac:dyDescent="0.3">
      <c r="A21" s="7" t="s">
        <v>4041</v>
      </c>
      <c r="B21" s="11">
        <v>1212.75341796875</v>
      </c>
      <c r="C21" s="11">
        <v>81.645896911621094</v>
      </c>
      <c r="D21" s="11">
        <v>11.861083030700684</v>
      </c>
      <c r="E21" s="11">
        <v>0.61460244655609131</v>
      </c>
      <c r="F21" s="11">
        <v>-21.240749359130859</v>
      </c>
      <c r="G21" s="11">
        <v>562.3392333984375</v>
      </c>
      <c r="H21" s="11">
        <v>191.04603576660156</v>
      </c>
      <c r="I21" s="11">
        <v>3.8678596019744873</v>
      </c>
      <c r="J21" s="11">
        <v>5.8588180541992188</v>
      </c>
      <c r="K21" s="11">
        <v>8.0956058502197266</v>
      </c>
    </row>
    <row r="22" spans="1:11" x14ac:dyDescent="0.3">
      <c r="A22" s="7" t="s">
        <v>4042</v>
      </c>
      <c r="B22" s="11">
        <v>3126.5458984375</v>
      </c>
      <c r="C22" s="11">
        <v>-6.0395407676696777</v>
      </c>
      <c r="D22" s="11">
        <v>57.034393310546875</v>
      </c>
      <c r="E22" s="11">
        <v>-1.7774432897567749E-2</v>
      </c>
      <c r="F22" s="11">
        <v>1178.005615234375</v>
      </c>
      <c r="G22" s="11">
        <v>993.4949951171875</v>
      </c>
      <c r="H22" s="11">
        <v>284.543701171875</v>
      </c>
      <c r="I22" s="11">
        <v>6.220890998840332</v>
      </c>
      <c r="J22" s="11">
        <v>3.9131481647491455</v>
      </c>
      <c r="K22" s="11">
        <v>9.6957731246948242</v>
      </c>
    </row>
    <row r="23" spans="1:11" x14ac:dyDescent="0.3">
      <c r="A23" s="7" t="s">
        <v>4043</v>
      </c>
      <c r="B23" s="11">
        <v>1682.5693359375</v>
      </c>
      <c r="C23" s="11">
        <v>106.00855255126953</v>
      </c>
      <c r="D23" s="11">
        <v>-9.23345947265625</v>
      </c>
      <c r="E23" s="11">
        <v>-4.1945591568946838E-2</v>
      </c>
      <c r="F23" s="11">
        <v>58.597515106201172</v>
      </c>
      <c r="G23" s="11">
        <v>887.70416259765625</v>
      </c>
      <c r="H23" s="11">
        <v>146.24278259277344</v>
      </c>
      <c r="I23" s="11">
        <v>6.684995174407959</v>
      </c>
      <c r="J23" s="11">
        <v>0.87727481126785278</v>
      </c>
      <c r="K23" s="11">
        <v>4.5627346038818359</v>
      </c>
    </row>
    <row r="24" spans="1:11" x14ac:dyDescent="0.3">
      <c r="A24" s="7" t="s">
        <v>4044</v>
      </c>
      <c r="B24" s="11">
        <v>3482.43994140625</v>
      </c>
      <c r="C24" s="11">
        <v>207.98123168945313</v>
      </c>
      <c r="D24" s="11">
        <v>-33.760200500488281</v>
      </c>
      <c r="E24" s="11">
        <v>0.10690990835428238</v>
      </c>
      <c r="F24" s="11">
        <v>1029.276123046875</v>
      </c>
      <c r="G24" s="11">
        <v>1210.018310546875</v>
      </c>
      <c r="H24" s="11">
        <v>105.70395660400391</v>
      </c>
      <c r="I24" s="11">
        <v>8.2216501235961914</v>
      </c>
      <c r="J24" s="11">
        <v>5.2069706916809082</v>
      </c>
      <c r="K24" s="11">
        <v>25.411762237548828</v>
      </c>
    </row>
    <row r="25" spans="1:11" x14ac:dyDescent="0.3">
      <c r="A25" s="7" t="s">
        <v>4045</v>
      </c>
      <c r="B25" s="11">
        <v>2579.406005859375</v>
      </c>
      <c r="C25" s="11">
        <v>113.53083801269531</v>
      </c>
      <c r="D25" s="11">
        <v>48.171909332275391</v>
      </c>
      <c r="E25" s="11">
        <v>-5.8000143617391586E-2</v>
      </c>
      <c r="F25" s="11">
        <v>53.282726287841797</v>
      </c>
      <c r="G25" s="11">
        <v>899.5472412109375</v>
      </c>
      <c r="H25" s="11">
        <v>287.67990112304688</v>
      </c>
      <c r="I25" s="11">
        <v>11.294858932495117</v>
      </c>
      <c r="J25" s="11">
        <v>3.6862795352935791</v>
      </c>
      <c r="K25" s="11">
        <v>3.4373202323913574</v>
      </c>
    </row>
    <row r="26" spans="1:11" x14ac:dyDescent="0.3">
      <c r="A26" s="7" t="s">
        <v>4046</v>
      </c>
      <c r="B26" s="11">
        <v>1960.8944091796875</v>
      </c>
      <c r="C26" s="11">
        <v>23.884519577026367</v>
      </c>
      <c r="D26" s="11">
        <v>5.4508109092712402</v>
      </c>
      <c r="E26" s="11">
        <v>-7.9944394528865814E-2</v>
      </c>
      <c r="F26" s="11">
        <v>-664.43768310546875</v>
      </c>
      <c r="G26" s="11">
        <v>1330.588134765625</v>
      </c>
      <c r="H26" s="11">
        <v>246.08119201660156</v>
      </c>
      <c r="I26" s="11">
        <v>11.246298789978027</v>
      </c>
      <c r="J26" s="11">
        <v>3.066439151763916</v>
      </c>
      <c r="K26" s="11">
        <v>26.017402648925781</v>
      </c>
    </row>
    <row r="27" spans="1:11" x14ac:dyDescent="0.3">
      <c r="A27" s="7" t="s">
        <v>4047</v>
      </c>
      <c r="B27" s="11">
        <v>1998.4471435546875</v>
      </c>
      <c r="C27" s="11">
        <v>53.646148681640625</v>
      </c>
      <c r="D27" s="11">
        <v>63.420520782470703</v>
      </c>
      <c r="E27" s="11">
        <v>-8.4645792841911316E-2</v>
      </c>
      <c r="F27" s="11">
        <v>-109.35629272460938</v>
      </c>
      <c r="G27" s="11">
        <v>264.66000366210938</v>
      </c>
      <c r="H27" s="11">
        <v>245.8968505859375</v>
      </c>
      <c r="I27" s="11">
        <v>8.9337291717529297</v>
      </c>
      <c r="J27" s="11">
        <v>0.74214637279510498</v>
      </c>
      <c r="K27" s="11">
        <v>44.349628448486328</v>
      </c>
    </row>
    <row r="28" spans="1:11" x14ac:dyDescent="0.3">
      <c r="A28" s="7" t="s">
        <v>4048</v>
      </c>
      <c r="B28" s="11">
        <v>3426.826416015625</v>
      </c>
      <c r="C28" s="11">
        <v>134.88023376464844</v>
      </c>
      <c r="D28" s="11">
        <v>88.668228149414063</v>
      </c>
      <c r="E28" s="11">
        <v>0.25857514142990112</v>
      </c>
      <c r="F28" s="11">
        <v>1574.10888671875</v>
      </c>
      <c r="G28" s="11">
        <v>612.20281982421875</v>
      </c>
      <c r="H28" s="11">
        <v>301.53091430664063</v>
      </c>
      <c r="I28" s="11">
        <v>-0.92079627513885498</v>
      </c>
      <c r="J28" s="11">
        <v>3.2556684017181396</v>
      </c>
      <c r="K28" s="11">
        <v>-36.072502136230469</v>
      </c>
    </row>
    <row r="29" spans="1:11" x14ac:dyDescent="0.3">
      <c r="A29" s="7" t="s">
        <v>4049</v>
      </c>
      <c r="B29" s="11">
        <v>3594.7646484375</v>
      </c>
      <c r="C29" s="11">
        <v>82.822921752929688</v>
      </c>
      <c r="D29" s="11">
        <v>96.317108154296875</v>
      </c>
      <c r="E29" s="11">
        <v>-9.0311244130134583E-2</v>
      </c>
      <c r="F29" s="11">
        <v>-39.814563751220703</v>
      </c>
      <c r="G29" s="11">
        <v>1888.166015625</v>
      </c>
      <c r="H29" s="11">
        <v>466.71524047851563</v>
      </c>
      <c r="I29" s="11">
        <v>6.9179682731628418</v>
      </c>
      <c r="J29" s="11">
        <v>-103.25478363037109</v>
      </c>
      <c r="K29" s="11">
        <v>8.8688125610351563</v>
      </c>
    </row>
    <row r="30" spans="1:11" x14ac:dyDescent="0.3">
      <c r="A30" s="7" t="s">
        <v>4050</v>
      </c>
      <c r="B30" s="11">
        <v>5810.82275390625</v>
      </c>
      <c r="C30" s="11">
        <v>100.14176177978516</v>
      </c>
      <c r="D30" s="11">
        <v>72.515838623046875</v>
      </c>
      <c r="E30" s="11">
        <v>0.2792123556137085</v>
      </c>
      <c r="F30" s="11">
        <v>2271.85205078125</v>
      </c>
      <c r="G30" s="11">
        <v>1478.833984375</v>
      </c>
      <c r="H30" s="11">
        <v>443.55108642578125</v>
      </c>
      <c r="I30" s="11">
        <v>-2.2885951995849609</v>
      </c>
      <c r="J30" s="11">
        <v>-2.0187316462397575E-2</v>
      </c>
      <c r="K30" s="11">
        <v>20.597862243652344</v>
      </c>
    </row>
    <row r="31" spans="1:11" x14ac:dyDescent="0.3">
      <c r="A31" s="7" t="s">
        <v>4051</v>
      </c>
      <c r="B31" s="11">
        <v>3901.52197265625</v>
      </c>
      <c r="C31" s="11">
        <v>58.016220092773438</v>
      </c>
      <c r="D31" s="11">
        <v>45.139156341552734</v>
      </c>
      <c r="E31" s="11">
        <v>1.0229798555374146</v>
      </c>
      <c r="F31" s="11">
        <v>810.59075927734375</v>
      </c>
      <c r="G31" s="11">
        <v>1609.52001953125</v>
      </c>
      <c r="H31" s="11">
        <v>237.38783264160156</v>
      </c>
      <c r="I31" s="11">
        <v>5.5265607833862305</v>
      </c>
      <c r="J31" s="11">
        <v>0.30690601468086243</v>
      </c>
      <c r="K31" s="11">
        <v>-22.946256637573242</v>
      </c>
    </row>
    <row r="32" spans="1:11" x14ac:dyDescent="0.3">
      <c r="A32" s="7" t="s">
        <v>4052</v>
      </c>
      <c r="B32" s="11">
        <v>3684.364501953125</v>
      </c>
      <c r="C32" s="11">
        <v>57.308322906494141</v>
      </c>
      <c r="D32" s="11">
        <v>41.794715881347656</v>
      </c>
      <c r="E32" s="11">
        <v>-0.14824220538139343</v>
      </c>
      <c r="F32" s="11">
        <v>1734.0595703125</v>
      </c>
      <c r="G32" s="11">
        <v>257.0765380859375</v>
      </c>
      <c r="H32" s="11">
        <v>239.89434814453125</v>
      </c>
      <c r="I32" s="11">
        <v>7.7339444160461426</v>
      </c>
      <c r="J32" s="11">
        <v>3.3303267955780029</v>
      </c>
      <c r="K32" s="11">
        <v>-12.804376602172852</v>
      </c>
    </row>
    <row r="33" spans="1:11" x14ac:dyDescent="0.3">
      <c r="A33" s="7" t="s">
        <v>4053</v>
      </c>
      <c r="B33" s="11">
        <v>3447.6953125</v>
      </c>
      <c r="C33" s="11">
        <v>84.466842651367188</v>
      </c>
      <c r="D33" s="11">
        <v>39.102607727050781</v>
      </c>
      <c r="E33" s="11">
        <v>-0.15985830128192902</v>
      </c>
      <c r="F33" s="11">
        <v>1469.96484375</v>
      </c>
      <c r="G33" s="11">
        <v>617.4365234375</v>
      </c>
      <c r="H33" s="11">
        <v>-35.11151123046875</v>
      </c>
      <c r="I33" s="11">
        <v>6.3533515930175781</v>
      </c>
      <c r="J33" s="11">
        <v>-2.6231632232666016</v>
      </c>
      <c r="K33" s="11">
        <v>14.046749114990234</v>
      </c>
    </row>
    <row r="34" spans="1:11" x14ac:dyDescent="0.3">
      <c r="A34" s="7" t="s">
        <v>4054</v>
      </c>
      <c r="B34" s="11">
        <v>3316.522705078125</v>
      </c>
      <c r="C34" s="11">
        <v>15.769284248352051</v>
      </c>
      <c r="D34" s="11">
        <v>-9.601527214050293</v>
      </c>
      <c r="E34" s="11">
        <v>-6.231214851140976E-2</v>
      </c>
      <c r="F34" s="11">
        <v>482.95233154296875</v>
      </c>
      <c r="G34" s="11">
        <v>1269.9422607421875</v>
      </c>
      <c r="H34" s="11">
        <v>267.06707763671875</v>
      </c>
      <c r="I34" s="11">
        <v>1.364595890045166</v>
      </c>
      <c r="J34" s="11">
        <v>1.5826817750930786</v>
      </c>
      <c r="K34" s="11">
        <v>-11.272717475891113</v>
      </c>
    </row>
    <row r="35" spans="1:11" x14ac:dyDescent="0.3">
      <c r="A35" s="7" t="s">
        <v>4055</v>
      </c>
      <c r="B35" s="11">
        <v>3628.40966796875</v>
      </c>
      <c r="C35" s="11">
        <v>-86.620223999023438</v>
      </c>
      <c r="D35" s="11">
        <v>3.6960337162017822</v>
      </c>
      <c r="E35" s="11">
        <v>-4.2334593832492828E-2</v>
      </c>
      <c r="F35" s="11">
        <v>1490.10595703125</v>
      </c>
      <c r="G35" s="11">
        <v>1149.2918701171875</v>
      </c>
      <c r="H35" s="11">
        <v>488.09942626953125</v>
      </c>
      <c r="I35" s="11">
        <v>7.2983875274658203</v>
      </c>
      <c r="J35" s="11">
        <v>1.6754465103149414</v>
      </c>
      <c r="K35" s="11">
        <v>141.4112548828125</v>
      </c>
    </row>
    <row r="36" spans="1:11" x14ac:dyDescent="0.3">
      <c r="A36" s="7" t="s">
        <v>4056</v>
      </c>
      <c r="B36" s="11">
        <v>2207.529541015625</v>
      </c>
      <c r="C36" s="11">
        <v>49.124420166015625</v>
      </c>
      <c r="D36" s="11">
        <v>79.383468627929688</v>
      </c>
      <c r="E36" s="11">
        <v>-2.6410162448883057E-2</v>
      </c>
      <c r="F36" s="11">
        <v>1161.9117431640625</v>
      </c>
      <c r="G36" s="11">
        <v>548.1802978515625</v>
      </c>
      <c r="H36" s="11">
        <v>119.00310516357422</v>
      </c>
      <c r="I36" s="11">
        <v>-0.14220210909843445</v>
      </c>
      <c r="J36" s="11">
        <v>3.5977122783660889</v>
      </c>
      <c r="K36" s="11">
        <v>-35.409507751464844</v>
      </c>
    </row>
    <row r="37" spans="1:11" x14ac:dyDescent="0.3">
      <c r="A37" s="7" t="s">
        <v>4057</v>
      </c>
      <c r="B37" s="11">
        <v>4283.38037109375</v>
      </c>
      <c r="C37" s="11">
        <v>58.732059478759766</v>
      </c>
      <c r="D37" s="11">
        <v>0.65805089473724365</v>
      </c>
      <c r="E37" s="11">
        <v>-1.5125802019611001E-3</v>
      </c>
      <c r="F37" s="11">
        <v>1912.0247802734375</v>
      </c>
      <c r="G37" s="11">
        <v>873.61138916015625</v>
      </c>
      <c r="H37" s="11">
        <v>716.93035888671875</v>
      </c>
      <c r="I37" s="11">
        <v>36.387710571289063</v>
      </c>
      <c r="J37" s="11">
        <v>-0.42659121751785278</v>
      </c>
      <c r="K37" s="11">
        <v>24.865917205810547</v>
      </c>
    </row>
    <row r="38" spans="1:11" x14ac:dyDescent="0.3">
      <c r="A38" s="7" t="s">
        <v>4058</v>
      </c>
      <c r="B38" s="11">
        <v>2672.86328125</v>
      </c>
      <c r="C38" s="11">
        <v>34.712825775146484</v>
      </c>
      <c r="D38" s="11">
        <v>-71.367111206054688</v>
      </c>
      <c r="E38" s="11">
        <v>-1.8374233040958643E-3</v>
      </c>
      <c r="F38" s="11">
        <v>486.38455200195313</v>
      </c>
      <c r="G38" s="11">
        <v>893.22027587890625</v>
      </c>
      <c r="H38" s="11">
        <v>19.931375503540039</v>
      </c>
      <c r="I38" s="11">
        <v>9.2049245834350586</v>
      </c>
      <c r="J38" s="11">
        <v>2.6453647613525391</v>
      </c>
      <c r="K38" s="11">
        <v>-61.872196197509766</v>
      </c>
    </row>
    <row r="39" spans="1:11" x14ac:dyDescent="0.3">
      <c r="A39" s="7" t="s">
        <v>4059</v>
      </c>
      <c r="B39" s="11">
        <v>-1138.823486328125</v>
      </c>
      <c r="C39" s="11">
        <v>5.1221146583557129</v>
      </c>
      <c r="D39" s="11">
        <v>-21.471094131469727</v>
      </c>
      <c r="E39" s="11">
        <v>1.6018489375710487E-2</v>
      </c>
      <c r="F39" s="11">
        <v>-3343.12548828125</v>
      </c>
      <c r="G39" s="11">
        <v>940.11541748046875</v>
      </c>
      <c r="H39" s="11">
        <v>365.83837890625</v>
      </c>
      <c r="I39" s="11">
        <v>1.0343948602676392</v>
      </c>
      <c r="J39" s="11">
        <v>1.4616388082504272</v>
      </c>
      <c r="K39" s="11">
        <v>30.168493270874023</v>
      </c>
    </row>
    <row r="40" spans="1:11" x14ac:dyDescent="0.3">
      <c r="A40" s="7" t="s">
        <v>4060</v>
      </c>
      <c r="B40" s="11">
        <v>3884.47509765625</v>
      </c>
      <c r="C40" s="11">
        <v>41.278484344482422</v>
      </c>
      <c r="D40" s="11">
        <v>53.495632171630859</v>
      </c>
      <c r="E40" s="11">
        <v>1.3560274615883827E-2</v>
      </c>
      <c r="F40" s="11">
        <v>1008.20556640625</v>
      </c>
      <c r="G40" s="11">
        <v>1619.703857421875</v>
      </c>
      <c r="H40" s="11">
        <v>264.31671142578125</v>
      </c>
      <c r="I40" s="11">
        <v>6.6696138381958008</v>
      </c>
      <c r="J40" s="11">
        <v>23.403905868530273</v>
      </c>
      <c r="K40" s="11">
        <v>-36.665729522705078</v>
      </c>
    </row>
    <row r="41" spans="1:11" x14ac:dyDescent="0.3">
      <c r="A41" s="7" t="s">
        <v>4061</v>
      </c>
      <c r="B41" s="11">
        <v>6057.07421875</v>
      </c>
      <c r="C41" s="11">
        <v>109.65940856933594</v>
      </c>
      <c r="D41" s="11">
        <v>35.703662872314453</v>
      </c>
      <c r="E41" s="11">
        <v>-0.1625170111656189</v>
      </c>
      <c r="F41" s="11">
        <v>829.204833984375</v>
      </c>
      <c r="G41" s="11">
        <v>2396.669921875</v>
      </c>
      <c r="H41" s="11">
        <v>863.61029052734375</v>
      </c>
      <c r="I41" s="11">
        <v>6.4597740173339844</v>
      </c>
      <c r="J41" s="11">
        <v>0.21993096172809601</v>
      </c>
      <c r="K41" s="11">
        <v>142.61953735351563</v>
      </c>
    </row>
    <row r="42" spans="1:11" x14ac:dyDescent="0.3">
      <c r="A42" s="7" t="s">
        <v>73</v>
      </c>
      <c r="B42" s="11">
        <v>4398.95263671875</v>
      </c>
      <c r="C42" s="11">
        <v>29.615114212036133</v>
      </c>
      <c r="D42" s="11">
        <v>30.076816558837891</v>
      </c>
      <c r="E42" s="11">
        <v>-4.8759100027382374E-3</v>
      </c>
      <c r="F42" s="11">
        <v>349.23416137695313</v>
      </c>
      <c r="G42" s="11">
        <v>2033.250244140625</v>
      </c>
      <c r="H42" s="11">
        <v>370.068359375</v>
      </c>
      <c r="I42" s="11">
        <v>8.8431453704833984</v>
      </c>
      <c r="J42" s="11">
        <v>4.8544778823852539</v>
      </c>
      <c r="K42" s="11">
        <v>60.594444274902344</v>
      </c>
    </row>
    <row r="43" spans="1:11" x14ac:dyDescent="0.3">
      <c r="A43" s="7" t="s">
        <v>163</v>
      </c>
      <c r="B43" s="11">
        <v>3478.854248046875</v>
      </c>
      <c r="C43" s="11">
        <v>51.431850433349609</v>
      </c>
      <c r="D43" s="11">
        <v>31.151596069335938</v>
      </c>
      <c r="E43" s="11">
        <v>-4.5324801467359066E-3</v>
      </c>
      <c r="F43" s="11">
        <v>408.00604248046875</v>
      </c>
      <c r="G43" s="11">
        <v>1380.869140625</v>
      </c>
      <c r="H43" s="11">
        <v>307.99508666992188</v>
      </c>
      <c r="I43" s="11">
        <v>8.886967658996582</v>
      </c>
      <c r="J43" s="11">
        <v>2.5716562271118164</v>
      </c>
      <c r="K43" s="11">
        <v>46.369396209716797</v>
      </c>
    </row>
    <row r="44" spans="1:11" x14ac:dyDescent="0.3">
      <c r="A44" s="7" t="s">
        <v>254</v>
      </c>
      <c r="B44" s="11">
        <v>3896.136962890625</v>
      </c>
      <c r="C44" s="11">
        <v>42.632678985595703</v>
      </c>
      <c r="D44" s="11">
        <v>42.598621368408203</v>
      </c>
      <c r="E44" s="11">
        <v>-4.4371699914336205E-3</v>
      </c>
      <c r="F44" s="11">
        <v>801.929443359375</v>
      </c>
      <c r="G44" s="11">
        <v>1374.0592041015625</v>
      </c>
      <c r="H44" s="11">
        <v>352.052978515625</v>
      </c>
      <c r="I44" s="11">
        <v>8.9906959533691406</v>
      </c>
      <c r="J44" s="11">
        <v>1.8036991357803345</v>
      </c>
      <c r="K44" s="11">
        <v>49.058052062988281</v>
      </c>
    </row>
    <row r="45" spans="1:11" x14ac:dyDescent="0.3">
      <c r="A45" s="7" t="s">
        <v>346</v>
      </c>
      <c r="B45" s="11">
        <v>3490.22412109375</v>
      </c>
      <c r="C45" s="11">
        <v>64.370803833007813</v>
      </c>
      <c r="D45" s="11">
        <v>-183.72845458984375</v>
      </c>
      <c r="E45" s="11">
        <v>-4.1118701919913292E-3</v>
      </c>
      <c r="F45" s="11">
        <v>393.71624755859375</v>
      </c>
      <c r="G45" s="11">
        <v>1631.4759521484375</v>
      </c>
      <c r="H45" s="11">
        <v>274.61666870117188</v>
      </c>
      <c r="I45" s="11">
        <v>8.9185562133789063</v>
      </c>
      <c r="J45" s="11">
        <v>16.846256256103516</v>
      </c>
      <c r="K45" s="11">
        <v>74.664497375488281</v>
      </c>
    </row>
    <row r="46" spans="1:11" x14ac:dyDescent="0.3">
      <c r="A46" s="7" t="s">
        <v>438</v>
      </c>
      <c r="B46" s="11">
        <v>1654.906005859375</v>
      </c>
      <c r="C46" s="11">
        <v>-33.070884704589844</v>
      </c>
      <c r="D46" s="11">
        <v>38.40155029296875</v>
      </c>
      <c r="E46" s="11">
        <v>-5.4669501259922981E-3</v>
      </c>
      <c r="F46" s="11">
        <v>563.27191162109375</v>
      </c>
      <c r="G46" s="11">
        <v>131.09266662597656</v>
      </c>
      <c r="H46" s="11">
        <v>141.91957092285156</v>
      </c>
      <c r="I46" s="11">
        <v>4.795203685760498</v>
      </c>
      <c r="J46" s="11">
        <v>13.861406326293945</v>
      </c>
      <c r="K46" s="11">
        <v>-21.330318450927734</v>
      </c>
    </row>
    <row r="47" spans="1:11" x14ac:dyDescent="0.3">
      <c r="A47" s="7" t="s">
        <v>529</v>
      </c>
      <c r="B47" s="11">
        <v>352.09405517578125</v>
      </c>
      <c r="C47" s="11">
        <v>29.443317413330078</v>
      </c>
      <c r="D47" s="11">
        <v>-35.452033996582031</v>
      </c>
      <c r="E47" s="11">
        <v>-5.3277900442481041E-3</v>
      </c>
      <c r="F47" s="11">
        <v>32.578681945800781</v>
      </c>
      <c r="G47" s="11">
        <v>-82.186355590820313</v>
      </c>
      <c r="H47" s="11">
        <v>227.13819885253906</v>
      </c>
      <c r="I47" s="11">
        <v>7.5168437957763672</v>
      </c>
      <c r="J47" s="11">
        <v>1.6514437198638916</v>
      </c>
      <c r="K47" s="11">
        <v>-4.35235595703125</v>
      </c>
    </row>
    <row r="48" spans="1:11" x14ac:dyDescent="0.3">
      <c r="A48" s="7" t="s">
        <v>620</v>
      </c>
      <c r="B48" s="11">
        <v>-211.9644775390625</v>
      </c>
      <c r="C48" s="11">
        <v>24.522665023803711</v>
      </c>
      <c r="D48" s="11">
        <v>4.4746670722961426</v>
      </c>
      <c r="E48" s="11">
        <v>-5.0285197794437408E-3</v>
      </c>
      <c r="F48" s="11">
        <v>153.72425842285156</v>
      </c>
      <c r="G48" s="11">
        <v>-937.68438720703125</v>
      </c>
      <c r="H48" s="11">
        <v>123.79833984375</v>
      </c>
      <c r="I48" s="11">
        <v>12.364459037780762</v>
      </c>
      <c r="J48" s="11">
        <v>2.5360074043273926</v>
      </c>
      <c r="K48" s="11">
        <v>38.162506103515625</v>
      </c>
    </row>
    <row r="49" spans="1:11" x14ac:dyDescent="0.3">
      <c r="A49" s="7" t="s">
        <v>712</v>
      </c>
      <c r="B49" s="11">
        <v>-1400.3243408203125</v>
      </c>
      <c r="C49" s="11">
        <v>-42.433742523193359</v>
      </c>
      <c r="D49" s="11">
        <v>-33.920082092285156</v>
      </c>
      <c r="E49" s="11">
        <v>-6.0229301452636719E-3</v>
      </c>
      <c r="F49" s="11">
        <v>-375.93203735351563</v>
      </c>
      <c r="G49" s="11">
        <v>-688.6988525390625</v>
      </c>
      <c r="H49" s="11">
        <v>-80.883949279785156</v>
      </c>
      <c r="I49" s="11">
        <v>1.2575415372848511</v>
      </c>
      <c r="J49" s="11">
        <v>0.96466130018234253</v>
      </c>
      <c r="K49" s="11">
        <v>51.900829315185547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mensual</vt:lpstr>
      <vt:lpstr>trimestral</vt:lpstr>
      <vt:lpstr>anual</vt:lpstr>
      <vt:lpstr>serie_pbi</vt:lpstr>
      <vt:lpstr>diaria</vt:lpstr>
      <vt:lpstr>tcn</vt:lpstr>
      <vt:lpstr>reservas</vt:lpstr>
      <vt:lpstr>deuda_25</vt:lpstr>
      <vt:lpstr>desempleo</vt:lpstr>
      <vt:lpstr>deuda_23</vt:lpstr>
      <vt:lpstr>lorenz</vt:lpstr>
      <vt:lpstr>w y desempleo</vt:lpstr>
      <vt:lpstr>cc</vt:lpstr>
      <vt:lpstr>tot</vt:lpstr>
      <vt:lpstr>ied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2025-07-26T18:54:32Z</dcterms:created>
  <dcterms:modified xsi:type="dcterms:W3CDTF">2026-02-15T21:22:35Z</dcterms:modified>
</cp:coreProperties>
</file>